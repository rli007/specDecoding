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<sst xmlns="http://schemas.openxmlformats.org/spreadsheetml/2006/main" count="12607" uniqueCount="482">
  <si>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</si>
  <si>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</si>
  <si>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</si>
  <si>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</si>
  <si>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</si>
  <si>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</si>
  <si>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</si>
  <si>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</si>
  <si>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</si>
  <si>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</si>
  <si>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</si>
  <si>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</si>
  <si>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</si>
  <si>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</si>
  <si>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</si>
  <si>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</si>
  <si>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</si>
  <si>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</si>
  <si>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1x2x4096</t>
  </si>
  <si>
    <t>model_layers_0_input_layernorm_layer_norm_fused</t>
  </si>
  <si>
    <t>1x4x4096</t>
  </si>
  <si>
    <t>model_layers_0_self_attn_q_proj_fused</t>
  </si>
  <si>
    <t>gemm</t>
  </si>
  <si>
    <t>128x4096</t>
  </si>
  <si>
    <t>1x4x128</t>
  </si>
  <si>
    <t>model_layers_0_self_attn_k_proj_fused</t>
  </si>
  <si>
    <t>model_layers_0_self_attn_v_proj_fused</t>
  </si>
  <si>
    <t>neg</t>
  </si>
  <si>
    <t>1x16x4x64</t>
  </si>
  <si>
    <t>mul_3</t>
  </si>
  <si>
    <t>1x16x4x128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</si>
  <si>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</si>
  <si>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</si>
  <si>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</si>
  <si>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</si>
  <si>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</si>
  <si>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</si>
  <si>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</si>
  <si>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1x1x4x128</t>
  </si>
  <si>
    <t>1x1x640x128</t>
  </si>
  <si>
    <t>1x1x4x640</t>
  </si>
  <si>
    <t>softmax_softmax_fused</t>
  </si>
  <si>
    <t>1x8x4x640</t>
  </si>
  <si>
    <t>sub_39</t>
  </si>
  <si>
    <t>4</t>
  </si>
  <si>
    <t>quantize_mx_3</t>
  </si>
  <si>
    <t>1x4x128x128</t>
  </si>
  <si>
    <t>matmul_mx_1</t>
  </si>
  <si>
    <t>1x1x128x128</t>
  </si>
  <si>
    <t>matmul_mx_fused</t>
  </si>
  <si>
    <t>1x1x4x512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</si>
  <si>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</si>
  <si>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</si>
  <si>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</si>
  <si>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</si>
  <si>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</si>
  <si>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</si>
  <si>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1x4x256</t>
  </si>
  <si>
    <t>model_layers_0_mlp_up_proj_fused</t>
  </si>
  <si>
    <t>model_layers_0_mlp_down_proj</t>
  </si>
  <si>
    <t>2048x256</t>
  </si>
  <si>
    <t>1x4x2048</t>
  </si>
  <si>
    <t>model_layers_0_mlp_down_proj_fused_1</t>
  </si>
  <si>
    <t>model_layers_0_mlp_down_proj_fused</t>
  </si>
  <si>
    <t>model_layers_0_mlp_down_proj_add_1_fused</t>
  </si>
  <si>
    <t>lm_head</t>
  </si>
  <si>
    <t>4x4096</t>
  </si>
  <si>
    <t>640x4096</t>
  </si>
  <si>
    <t>4x640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</si>
  <si>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</si>
  <si>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</si>
  <si>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</si>
  <si>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</si>
  <si>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</si>
  <si>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</si>
  <si>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</si>
  <si>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</si>
  <si>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</si>
  <si>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</si>
  <si>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</si>
  <si>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</si>
  <si>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</si>
  <si>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</si>
  <si>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</si>
  <si>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</si>
  <si>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</si>
  <si>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</si>
  <si>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</si>
  <si>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</si>
  <si>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</si>
  <si>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</si>
  <si>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</si>
  <si>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</si>
  <si>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</si>
  <si>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</si>
  <si>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</si>
  <si>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</si>
  <si>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</si>
  <si>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async_wait_15</t>
  </si>
  <si>
    <t>async_wait_16</t>
  </si>
  <si>
    <t>async_copy_43</t>
  </si>
  <si>
    <t>async_copy_44</t>
  </si>
  <si>
    <t>async_wait_19</t>
  </si>
  <si>
    <t>async_wait_21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</si>
  <si>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</si>
  <si>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</si>
  <si>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</si>
  <si>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</si>
  <si>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</si>
  <si>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</si>
  <si>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</si>
  <si>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(2,)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</si>
  <si>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</si>
  <si>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</si>
  <si>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</si>
  <si>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</si>
  <si>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</si>
  <si>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</si>
  <si>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</si>
  <si>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</si>
  <si>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</si>
  <si>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</si>
  <si>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</si>
  <si>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</si>
  <si>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</si>
  <si>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</si>
  <si>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</si>
  <si>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</si>
  <si>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</si>
  <si>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</si>
  <si>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</si>
  <si>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</si>
  <si>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</si>
  <si>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</si>
  <si>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</si>
  <si>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</si>
  <si>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</si>
  <si>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</si>
  <si>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</si>
  <si>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</si>
  <si>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</si>
  <si>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</si>
  <si>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</si>
  <si>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</si>
  <si>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</si>
  <si>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</si>
  <si>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</si>
  <si>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</si>
  <si>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</si>
  <si>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</si>
  <si>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</si>
  <si>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</si>
  <si>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</si>
  <si>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</si>
  <si>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</si>
  <si>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</si>
  <si>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</si>
  <si>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</si>
  <si>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</si>
  <si>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</si>
  <si>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</si>
  <si>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</si>
  <si>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</si>
  <si>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</si>
  <si>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</si>
  <si>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</si>
  <si>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</si>
  <si>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</si>
  <si>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</si>
  <si>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</si>
  <si>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</si>
  <si>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</si>
  <si>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</si>
  <si>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</si>
  <si>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</si>
  <si>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</si>
  <si>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</si>
  <si>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</si>
  <si>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</si>
  <si>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</si>
  <si>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</si>
  <si>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</si>
  <si>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</si>
  <si>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</si>
  <si>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</si>
  <si>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</si>
  <si>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</si>
  <si>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</si>
  <si>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</si>
  <si>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</si>
  <si>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</si>
  <si>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</si>
  <si>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</si>
  <si>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</si>
  <si>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</si>
  <si>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</si>
  <si>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</si>
  <si>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</si>
  <si>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</si>
  <si>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</si>
  <si>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</si>
  <si>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</si>
  <si>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</si>
  <si>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</si>
  <si>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</si>
  <si>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</si>
  <si>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</si>
  <si>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</si>
  <si>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</si>
  <si>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</si>
  <si>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</si>
  <si>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</si>
  <si>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</si>
  <si>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</si>
  <si>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</si>
  <si>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</si>
  <si>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</si>
  <si>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</si>
  <si>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</si>
  <si>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</si>
  <si>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</si>
  <si>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</si>
  <si>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</si>
  <si>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</si>
  <si>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</si>
  <si>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</si>
  <si>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</si>
  <si>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</si>
  <si>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</si>
  <si>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</si>
  <si>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</si>
  <si>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</si>
  <si>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</si>
  <si>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</si>
  <si>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</si>
  <si>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</si>
  <si>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</si>
  <si>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</si>
  <si>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</si>
  <si>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</si>
  <si>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</si>
  <si>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</si>
  <si>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</si>
  <si>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</si>
  <si>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</si>
  <si>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</si>
  <si>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</si>
  <si>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</si>
  <si>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</si>
  <si>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</si>
  <si>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</si>
  <si>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</si>
  <si>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</si>
  <si>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</si>
  <si>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</si>
  <si>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</si>
  <si>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</si>
  <si>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</si>
  <si>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</si>
  <si>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</si>
  <si>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</si>
  <si>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</si>
  <si>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</si>
  <si>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</si>
  <si>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</si>
  <si>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</si>
  <si>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</si>
  <si>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</si>
  <si>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</si>
  <si>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</si>
  <si>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</si>
  <si>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</si>
  <si>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</si>
  <si>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</si>
  <si>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</si>
  <si>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</si>
  <si>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</si>
  <si>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</si>
  <si>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</si>
  <si>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</si>
  <si>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</si>
  <si>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</si>
  <si>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</si>
  <si>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</si>
  <si>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</si>
  <si>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</si>
  <si>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</si>
  <si>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</si>
  <si>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</si>
  <si>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</si>
  <si>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</si>
  <si>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</si>
  <si>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</si>
  <si>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</si>
  <si>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</si>
  <si>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</si>
  <si>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</si>
  <si>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</si>
  <si>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</si>
  <si>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</si>
  <si>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</si>
  <si>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</si>
  <si>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</si>
  <si>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</si>
  <si>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</si>
  <si>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</si>
  <si>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</si>
  <si>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</si>
  <si>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</si>
  <si>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</si>
  <si>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</si>
  <si>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</si>
  <si>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</si>
  <si>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</si>
  <si>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</si>
  <si>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</si>
  <si>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</si>
  <si>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</si>
  <si>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</si>
  <si>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</si>
  <si>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</si>
  <si>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</si>
  <si>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</si>
  <si>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</si>
  <si>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</si>
  <si>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</si>
  <si>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</si>
  <si>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</si>
  <si>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async_wait_115</t>
  </si>
  <si>
    <t>async_wait_116</t>
  </si>
  <si>
    <t>async_copy_145</t>
  </si>
  <si>
    <t>async_copy_146</t>
  </si>
  <si>
    <t>async_wait_119</t>
  </si>
  <si>
    <t>async_wait_121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</si>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</sst>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3098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async_wait_15</c:v>
                </c:pt>
                <c:pt idx="13">
                  <c:v>async_wait_16</c:v>
                </c:pt>
                <c:pt idx="14">
                  <c:v>model_layers_0_input_layernorm_layer_norm_fused</c:v>
                </c:pt>
                <c:pt idx="15">
                  <c:v>async_copy_43</c:v>
                </c:pt>
                <c:pt idx="16">
                  <c:v>async_copy_44</c:v>
                </c:pt>
                <c:pt idx="17">
                  <c:v>async_wait_19</c:v>
                </c:pt>
                <c:pt idx="18">
                  <c:v>async_wait_21</c:v>
                </c:pt>
                <c:pt idx="19">
                  <c:v>async_copy_45</c:v>
                </c:pt>
                <c:pt idx="20">
                  <c:v>async_copy_46</c:v>
                </c:pt>
                <c:pt idx="21">
                  <c:v>async_copy_47</c:v>
                </c:pt>
                <c:pt idx="22">
                  <c:v>async_copy_48</c:v>
                </c:pt>
                <c:pt idx="23">
                  <c:v>model_layers_0_self_attn_q_proj_fused</c:v>
                </c:pt>
                <c:pt idx="24">
                  <c:v>async_copy_46</c:v>
                </c:pt>
                <c:pt idx="25">
                  <c:v>async_copy_48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async_copy_49</c:v>
                </c:pt>
                <c:pt idx="29">
                  <c:v>async_copy_46</c:v>
                </c:pt>
                <c:pt idx="30">
                  <c:v>async_copy_48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async_copy_49</c:v>
                </c:pt>
                <c:pt idx="34">
                  <c:v>async_copy_46</c:v>
                </c:pt>
                <c:pt idx="35">
                  <c:v>async_copy_48</c:v>
                </c:pt>
                <c:pt idx="36">
                  <c:v>model_layers_0_self_attn_q_proj_fused</c:v>
                </c:pt>
                <c:pt idx="37">
                  <c:v>async_wait_23</c:v>
                </c:pt>
                <c:pt idx="38">
                  <c:v>async_copy_49</c:v>
                </c:pt>
                <c:pt idx="39">
                  <c:v>async_copy_46</c:v>
                </c:pt>
                <c:pt idx="40">
                  <c:v>async_copy_48</c:v>
                </c:pt>
                <c:pt idx="41">
                  <c:v>model_layers_0_self_attn_q_proj_fused</c:v>
                </c:pt>
                <c:pt idx="42">
                  <c:v>async_wait_23</c:v>
                </c:pt>
                <c:pt idx="43">
                  <c:v>async_copy_49</c:v>
                </c:pt>
                <c:pt idx="44">
                  <c:v>async_copy_46</c:v>
                </c:pt>
                <c:pt idx="45">
                  <c:v>async_copy_48</c:v>
                </c:pt>
                <c:pt idx="46">
                  <c:v>model_layers_0_self_attn_q_proj_fused</c:v>
                </c:pt>
                <c:pt idx="47">
                  <c:v>async_wait_23</c:v>
                </c:pt>
                <c:pt idx="48">
                  <c:v>async_copy_49</c:v>
                </c:pt>
                <c:pt idx="49">
                  <c:v>async_copy_46</c:v>
                </c:pt>
                <c:pt idx="50">
                  <c:v>async_copy_48</c:v>
                </c:pt>
                <c:pt idx="51">
                  <c:v>model_layers_0_self_attn_q_proj_fused</c:v>
                </c:pt>
                <c:pt idx="52">
                  <c:v>async_wait_23</c:v>
                </c:pt>
                <c:pt idx="53">
                  <c:v>async_copy_49</c:v>
                </c:pt>
                <c:pt idx="54">
                  <c:v>async_copy_46</c:v>
                </c:pt>
                <c:pt idx="55">
                  <c:v>async_copy_48</c:v>
                </c:pt>
                <c:pt idx="56">
                  <c:v>model_layers_0_self_attn_q_proj_fused</c:v>
                </c:pt>
                <c:pt idx="57">
                  <c:v>async_wait_23</c:v>
                </c:pt>
                <c:pt idx="58">
                  <c:v>async_copy_49</c:v>
                </c:pt>
                <c:pt idx="59">
                  <c:v>async_copy_46</c:v>
                </c:pt>
                <c:pt idx="60">
                  <c:v>async_copy_48</c:v>
                </c:pt>
                <c:pt idx="61">
                  <c:v>model_layers_0_self_attn_q_proj_fused</c:v>
                </c:pt>
                <c:pt idx="62">
                  <c:v>async_wait_23</c:v>
                </c:pt>
                <c:pt idx="63">
                  <c:v>async_copy_49</c:v>
                </c:pt>
                <c:pt idx="64">
                  <c:v>async_copy_46</c:v>
                </c:pt>
                <c:pt idx="65">
                  <c:v>async_copy_48</c:v>
                </c:pt>
                <c:pt idx="66">
                  <c:v>model_layers_0_self_attn_q_proj_fused</c:v>
                </c:pt>
                <c:pt idx="67">
                  <c:v>async_wait_23</c:v>
                </c:pt>
                <c:pt idx="68">
                  <c:v>async_copy_49</c:v>
                </c:pt>
                <c:pt idx="69">
                  <c:v>async_copy_46</c:v>
                </c:pt>
                <c:pt idx="70">
                  <c:v>async_copy_48</c:v>
                </c:pt>
                <c:pt idx="71">
                  <c:v>model_layers_0_self_attn_q_proj_fused</c:v>
                </c:pt>
                <c:pt idx="72">
                  <c:v>async_wait_23</c:v>
                </c:pt>
                <c:pt idx="73">
                  <c:v>async_copy_49</c:v>
                </c:pt>
                <c:pt idx="74">
                  <c:v>async_copy_46</c:v>
                </c:pt>
                <c:pt idx="75">
                  <c:v>async_copy_48</c:v>
                </c:pt>
                <c:pt idx="76">
                  <c:v>model_layers_0_self_attn_q_proj_fused</c:v>
                </c:pt>
                <c:pt idx="77">
                  <c:v>async_wait_23</c:v>
                </c:pt>
                <c:pt idx="78">
                  <c:v>async_copy_49</c:v>
                </c:pt>
                <c:pt idx="79">
                  <c:v>async_copy_46</c:v>
                </c:pt>
                <c:pt idx="80">
                  <c:v>async_copy_48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async_copy_49</c:v>
                </c:pt>
                <c:pt idx="84">
                  <c:v>async_copy_46</c:v>
                </c:pt>
                <c:pt idx="85">
                  <c:v>async_copy_48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async_copy_49</c:v>
                </c:pt>
                <c:pt idx="89">
                  <c:v>async_copy_46</c:v>
                </c:pt>
                <c:pt idx="90">
                  <c:v>async_copy_48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async_copy_49</c:v>
                </c:pt>
                <c:pt idx="94">
                  <c:v>async_copy_46</c:v>
                </c:pt>
                <c:pt idx="95">
                  <c:v>async_copy_48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async_copy_49</c:v>
                </c:pt>
                <c:pt idx="99">
                  <c:v>async_copy_46</c:v>
                </c:pt>
                <c:pt idx="100">
                  <c:v>async_copy_48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async_copy_49</c:v>
                </c:pt>
                <c:pt idx="104">
                  <c:v>async_copy_46</c:v>
                </c:pt>
                <c:pt idx="105">
                  <c:v>async_copy_48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async_copy_49</c:v>
                </c:pt>
                <c:pt idx="109">
                  <c:v>async_copy_46</c:v>
                </c:pt>
                <c:pt idx="110">
                  <c:v>async_copy_48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async_copy_49</c:v>
                </c:pt>
                <c:pt idx="114">
                  <c:v>async_copy_46</c:v>
                </c:pt>
                <c:pt idx="115">
                  <c:v>async_copy_48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async_copy_49</c:v>
                </c:pt>
                <c:pt idx="119">
                  <c:v>async_copy_46</c:v>
                </c:pt>
                <c:pt idx="120">
                  <c:v>async_copy_48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async_copy_49</c:v>
                </c:pt>
                <c:pt idx="124">
                  <c:v>async_copy_46</c:v>
                </c:pt>
                <c:pt idx="125">
                  <c:v>async_copy_48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async_copy_49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async_wait_24</c:v>
                </c:pt>
                <c:pt idx="180">
                  <c:v>async_copy_50</c:v>
                </c:pt>
                <c:pt idx="181">
                  <c:v>async_wait_25</c:v>
                </c:pt>
                <c:pt idx="182">
                  <c:v>async_wait_26</c:v>
                </c:pt>
                <c:pt idx="183">
                  <c:v>async_copy_51</c:v>
                </c:pt>
                <c:pt idx="184">
                  <c:v>async_copy_52</c:v>
                </c:pt>
                <c:pt idx="185">
                  <c:v>async_copy_53</c:v>
                </c:pt>
                <c:pt idx="186">
                  <c:v>async_copy_54</c:v>
                </c:pt>
                <c:pt idx="187">
                  <c:v>model_layers_0_self_attn_k_proj_fused</c:v>
                </c:pt>
                <c:pt idx="188">
                  <c:v>async_copy_52</c:v>
                </c:pt>
                <c:pt idx="189">
                  <c:v>async_copy_54</c:v>
                </c:pt>
                <c:pt idx="190">
                  <c:v>model_layers_0_self_attn_k_proj_fused</c:v>
                </c:pt>
                <c:pt idx="191">
                  <c:v>async_wait_27</c:v>
                </c:pt>
                <c:pt idx="192">
                  <c:v>async_copy_55</c:v>
                </c:pt>
                <c:pt idx="193">
                  <c:v>async_copy_52</c:v>
                </c:pt>
                <c:pt idx="194">
                  <c:v>async_copy_54</c:v>
                </c:pt>
                <c:pt idx="195">
                  <c:v>model_layers_0_self_attn_k_proj_fused</c:v>
                </c:pt>
                <c:pt idx="196">
                  <c:v>async_wait_27</c:v>
                </c:pt>
                <c:pt idx="197">
                  <c:v>async_copy_55</c:v>
                </c:pt>
                <c:pt idx="198">
                  <c:v>async_copy_52</c:v>
                </c:pt>
                <c:pt idx="199">
                  <c:v>async_copy_54</c:v>
                </c:pt>
                <c:pt idx="200">
                  <c:v>model_layers_0_self_attn_k_proj_fused</c:v>
                </c:pt>
                <c:pt idx="201">
                  <c:v>async_wait_27</c:v>
                </c:pt>
                <c:pt idx="202">
                  <c:v>async_copy_55</c:v>
                </c:pt>
                <c:pt idx="203">
                  <c:v>async_copy_52</c:v>
                </c:pt>
                <c:pt idx="204">
                  <c:v>async_copy_54</c:v>
                </c:pt>
                <c:pt idx="205">
                  <c:v>model_layers_0_self_attn_k_proj_fused</c:v>
                </c:pt>
                <c:pt idx="206">
                  <c:v>async_wait_27</c:v>
                </c:pt>
                <c:pt idx="207">
                  <c:v>async_copy_55</c:v>
                </c:pt>
                <c:pt idx="208">
                  <c:v>async_copy_52</c:v>
                </c:pt>
                <c:pt idx="209">
                  <c:v>async_copy_54</c:v>
                </c:pt>
                <c:pt idx="210">
                  <c:v>model_layers_0_self_attn_k_proj_fused</c:v>
                </c:pt>
                <c:pt idx="211">
                  <c:v>async_wait_27</c:v>
                </c:pt>
                <c:pt idx="212">
                  <c:v>async_copy_55</c:v>
                </c:pt>
                <c:pt idx="213">
                  <c:v>async_copy_52</c:v>
                </c:pt>
                <c:pt idx="214">
                  <c:v>async_copy_54</c:v>
                </c:pt>
                <c:pt idx="215">
                  <c:v>model_layers_0_self_attn_k_proj_fused</c:v>
                </c:pt>
                <c:pt idx="216">
                  <c:v>async_wait_27</c:v>
                </c:pt>
                <c:pt idx="217">
                  <c:v>async_copy_55</c:v>
                </c:pt>
                <c:pt idx="218">
                  <c:v>async_copy_52</c:v>
                </c:pt>
                <c:pt idx="219">
                  <c:v>async_copy_54</c:v>
                </c:pt>
                <c:pt idx="220">
                  <c:v>model_layers_0_self_attn_k_proj_fused</c:v>
                </c:pt>
                <c:pt idx="221">
                  <c:v>async_wait_27</c:v>
                </c:pt>
                <c:pt idx="222">
                  <c:v>async_copy_55</c:v>
                </c:pt>
                <c:pt idx="223">
                  <c:v>async_copy_52</c:v>
                </c:pt>
                <c:pt idx="224">
                  <c:v>async_copy_54</c:v>
                </c:pt>
                <c:pt idx="225">
                  <c:v>model_layers_0_self_attn_k_proj_fused</c:v>
                </c:pt>
                <c:pt idx="226">
                  <c:v>async_wait_27</c:v>
                </c:pt>
                <c:pt idx="227">
                  <c:v>async_copy_55</c:v>
                </c:pt>
                <c:pt idx="228">
                  <c:v>async_copy_52</c:v>
                </c:pt>
                <c:pt idx="229">
                  <c:v>async_copy_54</c:v>
                </c:pt>
                <c:pt idx="230">
                  <c:v>model_layers_0_self_attn_k_proj_fused</c:v>
                </c:pt>
                <c:pt idx="231">
                  <c:v>async_wait_27</c:v>
                </c:pt>
                <c:pt idx="232">
                  <c:v>async_copy_55</c:v>
                </c:pt>
                <c:pt idx="233">
                  <c:v>async_copy_52</c:v>
                </c:pt>
                <c:pt idx="234">
                  <c:v>async_copy_54</c:v>
                </c:pt>
                <c:pt idx="235">
                  <c:v>model_layers_0_self_attn_k_proj_fused</c:v>
                </c:pt>
                <c:pt idx="236">
                  <c:v>async_wait_27</c:v>
                </c:pt>
                <c:pt idx="237">
                  <c:v>async_copy_55</c:v>
                </c:pt>
                <c:pt idx="238">
                  <c:v>async_copy_52</c:v>
                </c:pt>
                <c:pt idx="239">
                  <c:v>async_copy_54</c:v>
                </c:pt>
                <c:pt idx="240">
                  <c:v>model_layers_0_self_attn_k_proj_fused</c:v>
                </c:pt>
                <c:pt idx="241">
                  <c:v>async_wait_27</c:v>
                </c:pt>
                <c:pt idx="242">
                  <c:v>async_copy_55</c:v>
                </c:pt>
                <c:pt idx="243">
                  <c:v>async_copy_52</c:v>
                </c:pt>
                <c:pt idx="244">
                  <c:v>async_copy_54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async_copy_55</c:v>
                </c:pt>
                <c:pt idx="248">
                  <c:v>async_copy_52</c:v>
                </c:pt>
                <c:pt idx="249">
                  <c:v>async_copy_54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async_copy_55</c:v>
                </c:pt>
                <c:pt idx="253">
                  <c:v>async_copy_52</c:v>
                </c:pt>
                <c:pt idx="254">
                  <c:v>async_copy_54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async_copy_55</c:v>
                </c:pt>
                <c:pt idx="258">
                  <c:v>async_copy_52</c:v>
                </c:pt>
                <c:pt idx="259">
                  <c:v>async_copy_54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async_copy_55</c:v>
                </c:pt>
                <c:pt idx="263">
                  <c:v>async_copy_52</c:v>
                </c:pt>
                <c:pt idx="264">
                  <c:v>async_copy_54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async_copy_55</c:v>
                </c:pt>
                <c:pt idx="268">
                  <c:v>async_copy_52</c:v>
                </c:pt>
                <c:pt idx="269">
                  <c:v>async_copy_54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async_copy_55</c:v>
                </c:pt>
                <c:pt idx="273">
                  <c:v>async_copy_52</c:v>
                </c:pt>
                <c:pt idx="274">
                  <c:v>async_copy_54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async_copy_55</c:v>
                </c:pt>
                <c:pt idx="278">
                  <c:v>async_copy_52</c:v>
                </c:pt>
                <c:pt idx="279">
                  <c:v>async_copy_54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async_copy_55</c:v>
                </c:pt>
                <c:pt idx="283">
                  <c:v>async_copy_52</c:v>
                </c:pt>
                <c:pt idx="284">
                  <c:v>async_copy_54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async_copy_55</c:v>
                </c:pt>
                <c:pt idx="288">
                  <c:v>async_copy_52</c:v>
                </c:pt>
                <c:pt idx="289">
                  <c:v>async_copy_54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async_copy_55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async_wait_28</c:v>
                </c:pt>
                <c:pt idx="344">
                  <c:v>async_copy_56</c:v>
                </c:pt>
                <c:pt idx="345">
                  <c:v>async_wait_29</c:v>
                </c:pt>
                <c:pt idx="346">
                  <c:v>async_wait_30</c:v>
                </c:pt>
                <c:pt idx="347">
                  <c:v>async_copy_57</c:v>
                </c:pt>
                <c:pt idx="348">
                  <c:v>async_copy_58</c:v>
                </c:pt>
                <c:pt idx="349">
                  <c:v>async_copy_59</c:v>
                </c:pt>
                <c:pt idx="350">
                  <c:v>async_copy_60</c:v>
                </c:pt>
                <c:pt idx="351">
                  <c:v>model_layers_0_self_attn_v_proj_fused</c:v>
                </c:pt>
                <c:pt idx="352">
                  <c:v>async_copy_58</c:v>
                </c:pt>
                <c:pt idx="353">
                  <c:v>async_copy_60</c:v>
                </c:pt>
                <c:pt idx="354">
                  <c:v>model_layers_0_self_attn_v_proj_fused</c:v>
                </c:pt>
                <c:pt idx="355">
                  <c:v>async_wait_31</c:v>
                </c:pt>
                <c:pt idx="356">
                  <c:v>async_copy_61</c:v>
                </c:pt>
                <c:pt idx="357">
                  <c:v>async_copy_58</c:v>
                </c:pt>
                <c:pt idx="358">
                  <c:v>async_copy_60</c:v>
                </c:pt>
                <c:pt idx="359">
                  <c:v>model_layers_0_self_attn_v_proj_fused</c:v>
                </c:pt>
                <c:pt idx="360">
                  <c:v>async_wait_31</c:v>
                </c:pt>
                <c:pt idx="361">
                  <c:v>async_copy_61</c:v>
                </c:pt>
                <c:pt idx="362">
                  <c:v>async_copy_58</c:v>
                </c:pt>
                <c:pt idx="363">
                  <c:v>async_copy_60</c:v>
                </c:pt>
                <c:pt idx="364">
                  <c:v>model_layers_0_self_attn_v_proj_fused</c:v>
                </c:pt>
                <c:pt idx="365">
                  <c:v>async_wait_31</c:v>
                </c:pt>
                <c:pt idx="366">
                  <c:v>async_copy_61</c:v>
                </c:pt>
                <c:pt idx="367">
                  <c:v>async_copy_58</c:v>
                </c:pt>
                <c:pt idx="368">
                  <c:v>async_copy_60</c:v>
                </c:pt>
                <c:pt idx="369">
                  <c:v>model_layers_0_self_attn_v_proj_fused</c:v>
                </c:pt>
                <c:pt idx="370">
                  <c:v>async_wait_31</c:v>
                </c:pt>
                <c:pt idx="371">
                  <c:v>async_copy_61</c:v>
                </c:pt>
                <c:pt idx="372">
                  <c:v>async_copy_58</c:v>
                </c:pt>
                <c:pt idx="373">
                  <c:v>async_copy_60</c:v>
                </c:pt>
                <c:pt idx="374">
                  <c:v>model_layers_0_self_attn_v_proj_fused</c:v>
                </c:pt>
                <c:pt idx="375">
                  <c:v>async_wait_31</c:v>
                </c:pt>
                <c:pt idx="376">
                  <c:v>async_copy_61</c:v>
                </c:pt>
                <c:pt idx="377">
                  <c:v>async_copy_58</c:v>
                </c:pt>
                <c:pt idx="378">
                  <c:v>async_copy_60</c:v>
                </c:pt>
                <c:pt idx="379">
                  <c:v>model_layers_0_self_attn_v_proj_fused</c:v>
                </c:pt>
                <c:pt idx="380">
                  <c:v>async_wait_31</c:v>
                </c:pt>
                <c:pt idx="381">
                  <c:v>async_copy_61</c:v>
                </c:pt>
                <c:pt idx="382">
                  <c:v>async_copy_58</c:v>
                </c:pt>
                <c:pt idx="383">
                  <c:v>async_copy_60</c:v>
                </c:pt>
                <c:pt idx="384">
                  <c:v>model_layers_0_self_attn_v_proj_fused</c:v>
                </c:pt>
                <c:pt idx="385">
                  <c:v>async_wait_31</c:v>
                </c:pt>
                <c:pt idx="386">
                  <c:v>async_copy_61</c:v>
                </c:pt>
                <c:pt idx="387">
                  <c:v>async_copy_58</c:v>
                </c:pt>
                <c:pt idx="388">
                  <c:v>async_copy_60</c:v>
                </c:pt>
                <c:pt idx="389">
                  <c:v>model_layers_0_self_attn_v_proj_fused</c:v>
                </c:pt>
                <c:pt idx="390">
                  <c:v>async_wait_31</c:v>
                </c:pt>
                <c:pt idx="391">
                  <c:v>async_copy_61</c:v>
                </c:pt>
                <c:pt idx="392">
                  <c:v>async_copy_58</c:v>
                </c:pt>
                <c:pt idx="393">
                  <c:v>async_copy_60</c:v>
                </c:pt>
                <c:pt idx="394">
                  <c:v>model_layers_0_self_attn_v_proj_fused</c:v>
                </c:pt>
                <c:pt idx="395">
                  <c:v>async_wait_31</c:v>
                </c:pt>
                <c:pt idx="396">
                  <c:v>async_copy_61</c:v>
                </c:pt>
                <c:pt idx="397">
                  <c:v>async_copy_58</c:v>
                </c:pt>
                <c:pt idx="398">
                  <c:v>async_copy_60</c:v>
                </c:pt>
                <c:pt idx="399">
                  <c:v>model_layers_0_self_attn_v_proj_fused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356</c:v>
                </c:pt>
                <c:pt idx="2">
                  <c:v>0</c:v>
                </c:pt>
                <c:pt idx="3">
                  <c:v>356</c:v>
                </c:pt>
                <c:pt idx="4">
                  <c:v>712</c:v>
                </c:pt>
                <c:pt idx="5">
                  <c:v>676</c:v>
                </c:pt>
                <c:pt idx="6">
                  <c:v>712</c:v>
                </c:pt>
                <c:pt idx="7">
                  <c:v>1032</c:v>
                </c:pt>
                <c:pt idx="8">
                  <c:v>1032</c:v>
                </c:pt>
                <c:pt idx="9">
                  <c:v>1032</c:v>
                </c:pt>
                <c:pt idx="10">
                  <c:v>1260</c:v>
                </c:pt>
                <c:pt idx="11">
                  <c:v>1616</c:v>
                </c:pt>
                <c:pt idx="12">
                  <c:v>1260</c:v>
                </c:pt>
                <c:pt idx="13">
                  <c:v>1616</c:v>
                </c:pt>
                <c:pt idx="14">
                  <c:v>1844</c:v>
                </c:pt>
                <c:pt idx="15">
                  <c:v>10292</c:v>
                </c:pt>
                <c:pt idx="16">
                  <c:v>10396</c:v>
                </c:pt>
                <c:pt idx="17">
                  <c:v>10292</c:v>
                </c:pt>
                <c:pt idx="18">
                  <c:v>10396</c:v>
                </c:pt>
                <c:pt idx="19">
                  <c:v>10624</c:v>
                </c:pt>
                <c:pt idx="20">
                  <c:v>10852</c:v>
                </c:pt>
                <c:pt idx="21">
                  <c:v>15048</c:v>
                </c:pt>
                <c:pt idx="22">
                  <c:v>15152</c:v>
                </c:pt>
                <c:pt idx="23">
                  <c:v>15380</c:v>
                </c:pt>
                <c:pt idx="24">
                  <c:v>15380</c:v>
                </c:pt>
                <c:pt idx="25">
                  <c:v>19576</c:v>
                </c:pt>
                <c:pt idx="26">
                  <c:v>23833</c:v>
                </c:pt>
                <c:pt idx="27">
                  <c:v>10624</c:v>
                </c:pt>
                <c:pt idx="28">
                  <c:v>23833</c:v>
                </c:pt>
                <c:pt idx="29">
                  <c:v>23949</c:v>
                </c:pt>
                <c:pt idx="30">
                  <c:v>28145</c:v>
                </c:pt>
                <c:pt idx="31">
                  <c:v>32286</c:v>
                </c:pt>
                <c:pt idx="32">
                  <c:v>23833</c:v>
                </c:pt>
                <c:pt idx="33">
                  <c:v>32286</c:v>
                </c:pt>
                <c:pt idx="34">
                  <c:v>32402</c:v>
                </c:pt>
                <c:pt idx="35">
                  <c:v>36598</c:v>
                </c:pt>
                <c:pt idx="36">
                  <c:v>40739</c:v>
                </c:pt>
                <c:pt idx="37">
                  <c:v>32286</c:v>
                </c:pt>
                <c:pt idx="38">
                  <c:v>40739</c:v>
                </c:pt>
                <c:pt idx="39">
                  <c:v>40855</c:v>
                </c:pt>
                <c:pt idx="40">
                  <c:v>45051</c:v>
                </c:pt>
                <c:pt idx="41">
                  <c:v>49192</c:v>
                </c:pt>
                <c:pt idx="42">
                  <c:v>40739</c:v>
                </c:pt>
                <c:pt idx="43">
                  <c:v>49192</c:v>
                </c:pt>
                <c:pt idx="44">
                  <c:v>49308</c:v>
                </c:pt>
                <c:pt idx="45">
                  <c:v>53504</c:v>
                </c:pt>
                <c:pt idx="46">
                  <c:v>57645</c:v>
                </c:pt>
                <c:pt idx="47">
                  <c:v>49192</c:v>
                </c:pt>
                <c:pt idx="48">
                  <c:v>57645</c:v>
                </c:pt>
                <c:pt idx="49">
                  <c:v>57761</c:v>
                </c:pt>
                <c:pt idx="50">
                  <c:v>61957</c:v>
                </c:pt>
                <c:pt idx="51">
                  <c:v>66098</c:v>
                </c:pt>
                <c:pt idx="52">
                  <c:v>57645</c:v>
                </c:pt>
                <c:pt idx="53">
                  <c:v>66098</c:v>
                </c:pt>
                <c:pt idx="54">
                  <c:v>66214</c:v>
                </c:pt>
                <c:pt idx="55">
                  <c:v>70410</c:v>
                </c:pt>
                <c:pt idx="56">
                  <c:v>74551</c:v>
                </c:pt>
                <c:pt idx="57">
                  <c:v>66098</c:v>
                </c:pt>
                <c:pt idx="58">
                  <c:v>74551</c:v>
                </c:pt>
                <c:pt idx="59">
                  <c:v>74667</c:v>
                </c:pt>
                <c:pt idx="60">
                  <c:v>78863</c:v>
                </c:pt>
                <c:pt idx="61">
                  <c:v>83004</c:v>
                </c:pt>
                <c:pt idx="62">
                  <c:v>74551</c:v>
                </c:pt>
                <c:pt idx="63">
                  <c:v>83004</c:v>
                </c:pt>
                <c:pt idx="64">
                  <c:v>83120</c:v>
                </c:pt>
                <c:pt idx="65">
                  <c:v>87316</c:v>
                </c:pt>
                <c:pt idx="66">
                  <c:v>91457</c:v>
                </c:pt>
                <c:pt idx="67">
                  <c:v>83004</c:v>
                </c:pt>
                <c:pt idx="68">
                  <c:v>91457</c:v>
                </c:pt>
                <c:pt idx="69">
                  <c:v>91573</c:v>
                </c:pt>
                <c:pt idx="70">
                  <c:v>95769</c:v>
                </c:pt>
                <c:pt idx="71">
                  <c:v>99910</c:v>
                </c:pt>
                <c:pt idx="72">
                  <c:v>91457</c:v>
                </c:pt>
                <c:pt idx="73">
                  <c:v>99910</c:v>
                </c:pt>
                <c:pt idx="74">
                  <c:v>100026</c:v>
                </c:pt>
                <c:pt idx="75">
                  <c:v>104222</c:v>
                </c:pt>
                <c:pt idx="76">
                  <c:v>108363</c:v>
                </c:pt>
                <c:pt idx="77">
                  <c:v>99910</c:v>
                </c:pt>
                <c:pt idx="78">
                  <c:v>108363</c:v>
                </c:pt>
                <c:pt idx="79">
                  <c:v>108479</c:v>
                </c:pt>
                <c:pt idx="80">
                  <c:v>112675</c:v>
                </c:pt>
                <c:pt idx="81">
                  <c:v>116816</c:v>
                </c:pt>
                <c:pt idx="82">
                  <c:v>108363</c:v>
                </c:pt>
                <c:pt idx="83">
                  <c:v>116816</c:v>
                </c:pt>
                <c:pt idx="84">
                  <c:v>116932</c:v>
                </c:pt>
                <c:pt idx="85">
                  <c:v>121128</c:v>
                </c:pt>
                <c:pt idx="86">
                  <c:v>125269</c:v>
                </c:pt>
                <c:pt idx="87">
                  <c:v>116816</c:v>
                </c:pt>
                <c:pt idx="88">
                  <c:v>125269</c:v>
                </c:pt>
                <c:pt idx="89">
                  <c:v>125385</c:v>
                </c:pt>
                <c:pt idx="90">
                  <c:v>129581</c:v>
                </c:pt>
                <c:pt idx="91">
                  <c:v>133722</c:v>
                </c:pt>
                <c:pt idx="92">
                  <c:v>125269</c:v>
                </c:pt>
                <c:pt idx="93">
                  <c:v>133722</c:v>
                </c:pt>
                <c:pt idx="94">
                  <c:v>133838</c:v>
                </c:pt>
                <c:pt idx="95">
                  <c:v>138034</c:v>
                </c:pt>
                <c:pt idx="96">
                  <c:v>142175</c:v>
                </c:pt>
                <c:pt idx="97">
                  <c:v>133722</c:v>
                </c:pt>
                <c:pt idx="98">
                  <c:v>142175</c:v>
                </c:pt>
                <c:pt idx="99">
                  <c:v>142291</c:v>
                </c:pt>
                <c:pt idx="100">
                  <c:v>146487</c:v>
                </c:pt>
                <c:pt idx="101">
                  <c:v>150628</c:v>
                </c:pt>
                <c:pt idx="102">
                  <c:v>142175</c:v>
                </c:pt>
                <c:pt idx="103">
                  <c:v>150628</c:v>
                </c:pt>
                <c:pt idx="104">
                  <c:v>150744</c:v>
                </c:pt>
                <c:pt idx="105">
                  <c:v>154940</c:v>
                </c:pt>
                <c:pt idx="106">
                  <c:v>159081</c:v>
                </c:pt>
                <c:pt idx="107">
                  <c:v>150628</c:v>
                </c:pt>
                <c:pt idx="108">
                  <c:v>159081</c:v>
                </c:pt>
                <c:pt idx="109">
                  <c:v>159197</c:v>
                </c:pt>
                <c:pt idx="110">
                  <c:v>163393</c:v>
                </c:pt>
                <c:pt idx="111">
                  <c:v>167534</c:v>
                </c:pt>
                <c:pt idx="112">
                  <c:v>159081</c:v>
                </c:pt>
                <c:pt idx="113">
                  <c:v>167534</c:v>
                </c:pt>
                <c:pt idx="114">
                  <c:v>167650</c:v>
                </c:pt>
                <c:pt idx="115">
                  <c:v>171846</c:v>
                </c:pt>
                <c:pt idx="116">
                  <c:v>175987</c:v>
                </c:pt>
                <c:pt idx="117">
                  <c:v>167534</c:v>
                </c:pt>
                <c:pt idx="118">
                  <c:v>175987</c:v>
                </c:pt>
                <c:pt idx="119">
                  <c:v>176103</c:v>
                </c:pt>
                <c:pt idx="120">
                  <c:v>180299</c:v>
                </c:pt>
                <c:pt idx="121">
                  <c:v>184440</c:v>
                </c:pt>
                <c:pt idx="122">
                  <c:v>175987</c:v>
                </c:pt>
                <c:pt idx="123">
                  <c:v>184440</c:v>
                </c:pt>
                <c:pt idx="124">
                  <c:v>184556</c:v>
                </c:pt>
                <c:pt idx="125">
                  <c:v>188752</c:v>
                </c:pt>
                <c:pt idx="126">
                  <c:v>192893</c:v>
                </c:pt>
                <c:pt idx="127">
                  <c:v>184440</c:v>
                </c:pt>
                <c:pt idx="128">
                  <c:v>192893</c:v>
                </c:pt>
                <c:pt idx="129">
                  <c:v>193009</c:v>
                </c:pt>
                <c:pt idx="130">
                  <c:v>197205</c:v>
                </c:pt>
                <c:pt idx="131">
                  <c:v>201346</c:v>
                </c:pt>
                <c:pt idx="132">
                  <c:v>192893</c:v>
                </c:pt>
                <c:pt idx="133">
                  <c:v>201346</c:v>
                </c:pt>
                <c:pt idx="134">
                  <c:v>201462</c:v>
                </c:pt>
                <c:pt idx="135">
                  <c:v>205658</c:v>
                </c:pt>
                <c:pt idx="136">
                  <c:v>209799</c:v>
                </c:pt>
                <c:pt idx="137">
                  <c:v>201346</c:v>
                </c:pt>
                <c:pt idx="138">
                  <c:v>209799</c:v>
                </c:pt>
                <c:pt idx="139">
                  <c:v>209915</c:v>
                </c:pt>
                <c:pt idx="140">
                  <c:v>214111</c:v>
                </c:pt>
                <c:pt idx="141">
                  <c:v>218252</c:v>
                </c:pt>
                <c:pt idx="142">
                  <c:v>209799</c:v>
                </c:pt>
                <c:pt idx="143">
                  <c:v>218252</c:v>
                </c:pt>
                <c:pt idx="144">
                  <c:v>218368</c:v>
                </c:pt>
                <c:pt idx="145">
                  <c:v>222564</c:v>
                </c:pt>
                <c:pt idx="146">
                  <c:v>226705</c:v>
                </c:pt>
                <c:pt idx="147">
                  <c:v>218252</c:v>
                </c:pt>
                <c:pt idx="148">
                  <c:v>226705</c:v>
                </c:pt>
                <c:pt idx="149">
                  <c:v>226821</c:v>
                </c:pt>
                <c:pt idx="150">
                  <c:v>231017</c:v>
                </c:pt>
                <c:pt idx="151">
                  <c:v>235158</c:v>
                </c:pt>
                <c:pt idx="152">
                  <c:v>226705</c:v>
                </c:pt>
                <c:pt idx="153">
                  <c:v>235158</c:v>
                </c:pt>
                <c:pt idx="154">
                  <c:v>235274</c:v>
                </c:pt>
                <c:pt idx="155">
                  <c:v>239470</c:v>
                </c:pt>
                <c:pt idx="156">
                  <c:v>243611</c:v>
                </c:pt>
                <c:pt idx="157">
                  <c:v>235158</c:v>
                </c:pt>
                <c:pt idx="158">
                  <c:v>243611</c:v>
                </c:pt>
                <c:pt idx="159">
                  <c:v>243727</c:v>
                </c:pt>
                <c:pt idx="160">
                  <c:v>247923</c:v>
                </c:pt>
                <c:pt idx="161">
                  <c:v>252064</c:v>
                </c:pt>
                <c:pt idx="162">
                  <c:v>243611</c:v>
                </c:pt>
                <c:pt idx="163">
                  <c:v>252064</c:v>
                </c:pt>
                <c:pt idx="164">
                  <c:v>252180</c:v>
                </c:pt>
                <c:pt idx="165">
                  <c:v>256376</c:v>
                </c:pt>
                <c:pt idx="166">
                  <c:v>260517</c:v>
                </c:pt>
                <c:pt idx="167">
                  <c:v>252064</c:v>
                </c:pt>
                <c:pt idx="168">
                  <c:v>260517</c:v>
                </c:pt>
                <c:pt idx="169">
                  <c:v>260633</c:v>
                </c:pt>
                <c:pt idx="170">
                  <c:v>264829</c:v>
                </c:pt>
                <c:pt idx="171">
                  <c:v>268970</c:v>
                </c:pt>
                <c:pt idx="172">
                  <c:v>260517</c:v>
                </c:pt>
                <c:pt idx="173">
                  <c:v>268970</c:v>
                </c:pt>
                <c:pt idx="174">
                  <c:v>269086</c:v>
                </c:pt>
                <c:pt idx="175">
                  <c:v>273282</c:v>
                </c:pt>
                <c:pt idx="176">
                  <c:v>277423</c:v>
                </c:pt>
                <c:pt idx="177">
                  <c:v>268970</c:v>
                </c:pt>
                <c:pt idx="178">
                  <c:v>277423</c:v>
                </c:pt>
                <c:pt idx="179">
                  <c:v>277423</c:v>
                </c:pt>
                <c:pt idx="180">
                  <c:v>285876</c:v>
                </c:pt>
                <c:pt idx="181">
                  <c:v>285876</c:v>
                </c:pt>
                <c:pt idx="182">
                  <c:v>285876</c:v>
                </c:pt>
                <c:pt idx="183">
                  <c:v>285992</c:v>
                </c:pt>
                <c:pt idx="184">
                  <c:v>286220</c:v>
                </c:pt>
                <c:pt idx="185">
                  <c:v>290416</c:v>
                </c:pt>
                <c:pt idx="186">
                  <c:v>290520</c:v>
                </c:pt>
                <c:pt idx="187">
                  <c:v>290748</c:v>
                </c:pt>
                <c:pt idx="188">
                  <c:v>290748</c:v>
                </c:pt>
                <c:pt idx="189">
                  <c:v>294944</c:v>
                </c:pt>
                <c:pt idx="190">
                  <c:v>299201</c:v>
                </c:pt>
                <c:pt idx="191">
                  <c:v>285992</c:v>
                </c:pt>
                <c:pt idx="192">
                  <c:v>299201</c:v>
                </c:pt>
                <c:pt idx="193">
                  <c:v>299317</c:v>
                </c:pt>
                <c:pt idx="194">
                  <c:v>303513</c:v>
                </c:pt>
                <c:pt idx="195">
                  <c:v>307654</c:v>
                </c:pt>
                <c:pt idx="196">
                  <c:v>299201</c:v>
                </c:pt>
                <c:pt idx="197">
                  <c:v>307654</c:v>
                </c:pt>
                <c:pt idx="198">
                  <c:v>307770</c:v>
                </c:pt>
                <c:pt idx="199">
                  <c:v>311966</c:v>
                </c:pt>
                <c:pt idx="200">
                  <c:v>316107</c:v>
                </c:pt>
                <c:pt idx="201">
                  <c:v>307654</c:v>
                </c:pt>
                <c:pt idx="202">
                  <c:v>316107</c:v>
                </c:pt>
                <c:pt idx="203">
                  <c:v>316223</c:v>
                </c:pt>
                <c:pt idx="204">
                  <c:v>320419</c:v>
                </c:pt>
                <c:pt idx="205">
                  <c:v>324560</c:v>
                </c:pt>
                <c:pt idx="206">
                  <c:v>316107</c:v>
                </c:pt>
                <c:pt idx="207">
                  <c:v>324560</c:v>
                </c:pt>
                <c:pt idx="208">
                  <c:v>324676</c:v>
                </c:pt>
                <c:pt idx="209">
                  <c:v>328872</c:v>
                </c:pt>
                <c:pt idx="210">
                  <c:v>333013</c:v>
                </c:pt>
                <c:pt idx="211">
                  <c:v>324560</c:v>
                </c:pt>
                <c:pt idx="212">
                  <c:v>333013</c:v>
                </c:pt>
                <c:pt idx="213">
                  <c:v>333129</c:v>
                </c:pt>
                <c:pt idx="214">
                  <c:v>337325</c:v>
                </c:pt>
                <c:pt idx="215">
                  <c:v>341466</c:v>
                </c:pt>
                <c:pt idx="216">
                  <c:v>333013</c:v>
                </c:pt>
                <c:pt idx="217">
                  <c:v>341466</c:v>
                </c:pt>
                <c:pt idx="218">
                  <c:v>341582</c:v>
                </c:pt>
                <c:pt idx="219">
                  <c:v>345778</c:v>
                </c:pt>
                <c:pt idx="220">
                  <c:v>349919</c:v>
                </c:pt>
                <c:pt idx="221">
                  <c:v>341466</c:v>
                </c:pt>
                <c:pt idx="222">
                  <c:v>349919</c:v>
                </c:pt>
                <c:pt idx="223">
                  <c:v>350035</c:v>
                </c:pt>
                <c:pt idx="224">
                  <c:v>354231</c:v>
                </c:pt>
                <c:pt idx="225">
                  <c:v>358372</c:v>
                </c:pt>
                <c:pt idx="226">
                  <c:v>349919</c:v>
                </c:pt>
                <c:pt idx="227">
                  <c:v>358372</c:v>
                </c:pt>
                <c:pt idx="228">
                  <c:v>358488</c:v>
                </c:pt>
                <c:pt idx="229">
                  <c:v>362684</c:v>
                </c:pt>
                <c:pt idx="230">
                  <c:v>366825</c:v>
                </c:pt>
                <c:pt idx="231">
                  <c:v>358372</c:v>
                </c:pt>
                <c:pt idx="232">
                  <c:v>366825</c:v>
                </c:pt>
                <c:pt idx="233">
                  <c:v>366941</c:v>
                </c:pt>
                <c:pt idx="234">
                  <c:v>371137</c:v>
                </c:pt>
                <c:pt idx="235">
                  <c:v>375278</c:v>
                </c:pt>
                <c:pt idx="236">
                  <c:v>366825</c:v>
                </c:pt>
                <c:pt idx="237">
                  <c:v>375278</c:v>
                </c:pt>
                <c:pt idx="238">
                  <c:v>375394</c:v>
                </c:pt>
                <c:pt idx="239">
                  <c:v>379590</c:v>
                </c:pt>
                <c:pt idx="240">
                  <c:v>383731</c:v>
                </c:pt>
                <c:pt idx="241">
                  <c:v>375278</c:v>
                </c:pt>
                <c:pt idx="242">
                  <c:v>383731</c:v>
                </c:pt>
                <c:pt idx="243">
                  <c:v>383847</c:v>
                </c:pt>
                <c:pt idx="244">
                  <c:v>388043</c:v>
                </c:pt>
                <c:pt idx="245">
                  <c:v>392184</c:v>
                </c:pt>
                <c:pt idx="246">
                  <c:v>383731</c:v>
                </c:pt>
                <c:pt idx="247">
                  <c:v>392184</c:v>
                </c:pt>
                <c:pt idx="248">
                  <c:v>392300</c:v>
                </c:pt>
                <c:pt idx="249">
                  <c:v>396496</c:v>
                </c:pt>
                <c:pt idx="250">
                  <c:v>400637</c:v>
                </c:pt>
                <c:pt idx="251">
                  <c:v>392184</c:v>
                </c:pt>
                <c:pt idx="252">
                  <c:v>400637</c:v>
                </c:pt>
                <c:pt idx="253">
                  <c:v>400753</c:v>
                </c:pt>
                <c:pt idx="254">
                  <c:v>404949</c:v>
                </c:pt>
                <c:pt idx="255">
                  <c:v>409090</c:v>
                </c:pt>
                <c:pt idx="256">
                  <c:v>400637</c:v>
                </c:pt>
                <c:pt idx="257">
                  <c:v>409090</c:v>
                </c:pt>
                <c:pt idx="258">
                  <c:v>409206</c:v>
                </c:pt>
                <c:pt idx="259">
                  <c:v>413402</c:v>
                </c:pt>
                <c:pt idx="260">
                  <c:v>417543</c:v>
                </c:pt>
                <c:pt idx="261">
                  <c:v>409090</c:v>
                </c:pt>
                <c:pt idx="262">
                  <c:v>417543</c:v>
                </c:pt>
                <c:pt idx="263">
                  <c:v>417659</c:v>
                </c:pt>
                <c:pt idx="264">
                  <c:v>421855</c:v>
                </c:pt>
                <c:pt idx="265">
                  <c:v>425996</c:v>
                </c:pt>
                <c:pt idx="266">
                  <c:v>417543</c:v>
                </c:pt>
                <c:pt idx="267">
                  <c:v>425996</c:v>
                </c:pt>
                <c:pt idx="268">
                  <c:v>426112</c:v>
                </c:pt>
                <c:pt idx="269">
                  <c:v>430308</c:v>
                </c:pt>
                <c:pt idx="270">
                  <c:v>434449</c:v>
                </c:pt>
                <c:pt idx="271">
                  <c:v>425996</c:v>
                </c:pt>
                <c:pt idx="272">
                  <c:v>434449</c:v>
                </c:pt>
                <c:pt idx="273">
                  <c:v>434565</c:v>
                </c:pt>
                <c:pt idx="274">
                  <c:v>438761</c:v>
                </c:pt>
                <c:pt idx="275">
                  <c:v>442902</c:v>
                </c:pt>
                <c:pt idx="276">
                  <c:v>434449</c:v>
                </c:pt>
                <c:pt idx="277">
                  <c:v>442902</c:v>
                </c:pt>
                <c:pt idx="278">
                  <c:v>443018</c:v>
                </c:pt>
                <c:pt idx="279">
                  <c:v>447214</c:v>
                </c:pt>
                <c:pt idx="280">
                  <c:v>451355</c:v>
                </c:pt>
                <c:pt idx="281">
                  <c:v>442902</c:v>
                </c:pt>
                <c:pt idx="282">
                  <c:v>451355</c:v>
                </c:pt>
                <c:pt idx="283">
                  <c:v>451471</c:v>
                </c:pt>
                <c:pt idx="284">
                  <c:v>455667</c:v>
                </c:pt>
                <c:pt idx="285">
                  <c:v>459808</c:v>
                </c:pt>
                <c:pt idx="286">
                  <c:v>451355</c:v>
                </c:pt>
                <c:pt idx="287">
                  <c:v>459808</c:v>
                </c:pt>
                <c:pt idx="288">
                  <c:v>459924</c:v>
                </c:pt>
                <c:pt idx="289">
                  <c:v>464120</c:v>
                </c:pt>
                <c:pt idx="290">
                  <c:v>468261</c:v>
                </c:pt>
                <c:pt idx="291">
                  <c:v>459808</c:v>
                </c:pt>
                <c:pt idx="292">
                  <c:v>468261</c:v>
                </c:pt>
                <c:pt idx="293">
                  <c:v>468377</c:v>
                </c:pt>
                <c:pt idx="294">
                  <c:v>472573</c:v>
                </c:pt>
                <c:pt idx="295">
                  <c:v>476714</c:v>
                </c:pt>
                <c:pt idx="296">
                  <c:v>468261</c:v>
                </c:pt>
                <c:pt idx="297">
                  <c:v>476714</c:v>
                </c:pt>
                <c:pt idx="298">
                  <c:v>476830</c:v>
                </c:pt>
                <c:pt idx="299">
                  <c:v>481026</c:v>
                </c:pt>
                <c:pt idx="300">
                  <c:v>485167</c:v>
                </c:pt>
                <c:pt idx="301">
                  <c:v>476714</c:v>
                </c:pt>
                <c:pt idx="302">
                  <c:v>485167</c:v>
                </c:pt>
                <c:pt idx="303">
                  <c:v>485283</c:v>
                </c:pt>
                <c:pt idx="304">
                  <c:v>489479</c:v>
                </c:pt>
                <c:pt idx="305">
                  <c:v>493620</c:v>
                </c:pt>
                <c:pt idx="306">
                  <c:v>485167</c:v>
                </c:pt>
                <c:pt idx="307">
                  <c:v>493620</c:v>
                </c:pt>
                <c:pt idx="308">
                  <c:v>493736</c:v>
                </c:pt>
                <c:pt idx="309">
                  <c:v>497932</c:v>
                </c:pt>
                <c:pt idx="310">
                  <c:v>502073</c:v>
                </c:pt>
                <c:pt idx="311">
                  <c:v>493620</c:v>
                </c:pt>
                <c:pt idx="312">
                  <c:v>502073</c:v>
                </c:pt>
                <c:pt idx="313">
                  <c:v>502189</c:v>
                </c:pt>
                <c:pt idx="314">
                  <c:v>506385</c:v>
                </c:pt>
                <c:pt idx="315">
                  <c:v>510526</c:v>
                </c:pt>
                <c:pt idx="316">
                  <c:v>502073</c:v>
                </c:pt>
                <c:pt idx="317">
                  <c:v>510526</c:v>
                </c:pt>
                <c:pt idx="318">
                  <c:v>510642</c:v>
                </c:pt>
                <c:pt idx="319">
                  <c:v>514838</c:v>
                </c:pt>
                <c:pt idx="320">
                  <c:v>518979</c:v>
                </c:pt>
                <c:pt idx="321">
                  <c:v>510526</c:v>
                </c:pt>
                <c:pt idx="322">
                  <c:v>518979</c:v>
                </c:pt>
                <c:pt idx="323">
                  <c:v>519095</c:v>
                </c:pt>
                <c:pt idx="324">
                  <c:v>523291</c:v>
                </c:pt>
                <c:pt idx="325">
                  <c:v>527432</c:v>
                </c:pt>
                <c:pt idx="326">
                  <c:v>518979</c:v>
                </c:pt>
                <c:pt idx="327">
                  <c:v>527432</c:v>
                </c:pt>
                <c:pt idx="328">
                  <c:v>527548</c:v>
                </c:pt>
                <c:pt idx="329">
                  <c:v>531744</c:v>
                </c:pt>
                <c:pt idx="330">
                  <c:v>535885</c:v>
                </c:pt>
                <c:pt idx="331">
                  <c:v>527432</c:v>
                </c:pt>
                <c:pt idx="332">
                  <c:v>535885</c:v>
                </c:pt>
                <c:pt idx="333">
                  <c:v>536001</c:v>
                </c:pt>
                <c:pt idx="334">
                  <c:v>540197</c:v>
                </c:pt>
                <c:pt idx="335">
                  <c:v>544338</c:v>
                </c:pt>
                <c:pt idx="336">
                  <c:v>535885</c:v>
                </c:pt>
                <c:pt idx="337">
                  <c:v>544338</c:v>
                </c:pt>
                <c:pt idx="338">
                  <c:v>544454</c:v>
                </c:pt>
                <c:pt idx="339">
                  <c:v>548650</c:v>
                </c:pt>
                <c:pt idx="340">
                  <c:v>552791</c:v>
                </c:pt>
                <c:pt idx="341">
                  <c:v>544338</c:v>
                </c:pt>
                <c:pt idx="342">
                  <c:v>552791</c:v>
                </c:pt>
                <c:pt idx="343">
                  <c:v>552791</c:v>
                </c:pt>
                <c:pt idx="344">
                  <c:v>561244</c:v>
                </c:pt>
                <c:pt idx="345">
                  <c:v>561244</c:v>
                </c:pt>
                <c:pt idx="346">
                  <c:v>561244</c:v>
                </c:pt>
                <c:pt idx="347">
                  <c:v>561360</c:v>
                </c:pt>
                <c:pt idx="348">
                  <c:v>561588</c:v>
                </c:pt>
                <c:pt idx="349">
                  <c:v>565784</c:v>
                </c:pt>
                <c:pt idx="350">
                  <c:v>565888</c:v>
                </c:pt>
                <c:pt idx="351">
                  <c:v>566116</c:v>
                </c:pt>
                <c:pt idx="352">
                  <c:v>566116</c:v>
                </c:pt>
                <c:pt idx="353">
                  <c:v>570312</c:v>
                </c:pt>
                <c:pt idx="354">
                  <c:v>574569</c:v>
                </c:pt>
                <c:pt idx="355">
                  <c:v>561360</c:v>
                </c:pt>
                <c:pt idx="356">
                  <c:v>574569</c:v>
                </c:pt>
                <c:pt idx="357">
                  <c:v>574685</c:v>
                </c:pt>
                <c:pt idx="358">
                  <c:v>578881</c:v>
                </c:pt>
                <c:pt idx="359">
                  <c:v>583022</c:v>
                </c:pt>
                <c:pt idx="360">
                  <c:v>574569</c:v>
                </c:pt>
                <c:pt idx="361">
                  <c:v>583022</c:v>
                </c:pt>
                <c:pt idx="362">
                  <c:v>583138</c:v>
                </c:pt>
                <c:pt idx="363">
                  <c:v>587334</c:v>
                </c:pt>
                <c:pt idx="364">
                  <c:v>591475</c:v>
                </c:pt>
                <c:pt idx="365">
                  <c:v>583022</c:v>
                </c:pt>
                <c:pt idx="366">
                  <c:v>591475</c:v>
                </c:pt>
                <c:pt idx="367">
                  <c:v>591591</c:v>
                </c:pt>
                <c:pt idx="368">
                  <c:v>595787</c:v>
                </c:pt>
                <c:pt idx="369">
                  <c:v>599928</c:v>
                </c:pt>
                <c:pt idx="370">
                  <c:v>591475</c:v>
                </c:pt>
                <c:pt idx="371">
                  <c:v>599928</c:v>
                </c:pt>
                <c:pt idx="372">
                  <c:v>600044</c:v>
                </c:pt>
                <c:pt idx="373">
                  <c:v>604240</c:v>
                </c:pt>
                <c:pt idx="374">
                  <c:v>608381</c:v>
                </c:pt>
                <c:pt idx="375">
                  <c:v>599928</c:v>
                </c:pt>
                <c:pt idx="376">
                  <c:v>608381</c:v>
                </c:pt>
                <c:pt idx="377">
                  <c:v>608497</c:v>
                </c:pt>
                <c:pt idx="378">
                  <c:v>612693</c:v>
                </c:pt>
                <c:pt idx="379">
                  <c:v>616834</c:v>
                </c:pt>
                <c:pt idx="380">
                  <c:v>608381</c:v>
                </c:pt>
                <c:pt idx="381">
                  <c:v>616834</c:v>
                </c:pt>
                <c:pt idx="382">
                  <c:v>616950</c:v>
                </c:pt>
                <c:pt idx="383">
                  <c:v>621146</c:v>
                </c:pt>
                <c:pt idx="384">
                  <c:v>625287</c:v>
                </c:pt>
                <c:pt idx="385">
                  <c:v>616834</c:v>
                </c:pt>
                <c:pt idx="386">
                  <c:v>625287</c:v>
                </c:pt>
                <c:pt idx="387">
                  <c:v>625403</c:v>
                </c:pt>
                <c:pt idx="388">
                  <c:v>629599</c:v>
                </c:pt>
                <c:pt idx="389">
                  <c:v>633740</c:v>
                </c:pt>
                <c:pt idx="390">
                  <c:v>625287</c:v>
                </c:pt>
                <c:pt idx="391">
                  <c:v>633740</c:v>
                </c:pt>
                <c:pt idx="392">
                  <c:v>633856</c:v>
                </c:pt>
                <c:pt idx="393">
                  <c:v>638052</c:v>
                </c:pt>
                <c:pt idx="394">
                  <c:v>642193</c:v>
                </c:pt>
                <c:pt idx="395">
                  <c:v>633740</c:v>
                </c:pt>
                <c:pt idx="396">
                  <c:v>642193</c:v>
                </c:pt>
                <c:pt idx="397">
                  <c:v>642309</c:v>
                </c:pt>
                <c:pt idx="398">
                  <c:v>646505</c:v>
                </c:pt>
                <c:pt idx="399">
                  <c:v>650646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async_wait_15</c:v>
                </c:pt>
                <c:pt idx="13">
                  <c:v>async_wait_16</c:v>
                </c:pt>
                <c:pt idx="14">
                  <c:v>model_layers_0_input_layernorm_layer_norm_fused</c:v>
                </c:pt>
                <c:pt idx="15">
                  <c:v>async_copy_43</c:v>
                </c:pt>
                <c:pt idx="16">
                  <c:v>async_copy_44</c:v>
                </c:pt>
                <c:pt idx="17">
                  <c:v>async_wait_19</c:v>
                </c:pt>
                <c:pt idx="18">
                  <c:v>async_wait_21</c:v>
                </c:pt>
                <c:pt idx="19">
                  <c:v>async_copy_45</c:v>
                </c:pt>
                <c:pt idx="20">
                  <c:v>async_copy_46</c:v>
                </c:pt>
                <c:pt idx="21">
                  <c:v>async_copy_47</c:v>
                </c:pt>
                <c:pt idx="22">
                  <c:v>async_copy_48</c:v>
                </c:pt>
                <c:pt idx="23">
                  <c:v>model_layers_0_self_attn_q_proj_fused</c:v>
                </c:pt>
                <c:pt idx="24">
                  <c:v>async_copy_46</c:v>
                </c:pt>
                <c:pt idx="25">
                  <c:v>async_copy_48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async_copy_49</c:v>
                </c:pt>
                <c:pt idx="29">
                  <c:v>async_copy_46</c:v>
                </c:pt>
                <c:pt idx="30">
                  <c:v>async_copy_48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async_copy_49</c:v>
                </c:pt>
                <c:pt idx="34">
                  <c:v>async_copy_46</c:v>
                </c:pt>
                <c:pt idx="35">
                  <c:v>async_copy_48</c:v>
                </c:pt>
                <c:pt idx="36">
                  <c:v>model_layers_0_self_attn_q_proj_fused</c:v>
                </c:pt>
                <c:pt idx="37">
                  <c:v>async_wait_23</c:v>
                </c:pt>
                <c:pt idx="38">
                  <c:v>async_copy_49</c:v>
                </c:pt>
                <c:pt idx="39">
                  <c:v>async_copy_46</c:v>
                </c:pt>
                <c:pt idx="40">
                  <c:v>async_copy_48</c:v>
                </c:pt>
                <c:pt idx="41">
                  <c:v>model_layers_0_self_attn_q_proj_fused</c:v>
                </c:pt>
                <c:pt idx="42">
                  <c:v>async_wait_23</c:v>
                </c:pt>
                <c:pt idx="43">
                  <c:v>async_copy_49</c:v>
                </c:pt>
                <c:pt idx="44">
                  <c:v>async_copy_46</c:v>
                </c:pt>
                <c:pt idx="45">
                  <c:v>async_copy_48</c:v>
                </c:pt>
                <c:pt idx="46">
                  <c:v>model_layers_0_self_attn_q_proj_fused</c:v>
                </c:pt>
                <c:pt idx="47">
                  <c:v>async_wait_23</c:v>
                </c:pt>
                <c:pt idx="48">
                  <c:v>async_copy_49</c:v>
                </c:pt>
                <c:pt idx="49">
                  <c:v>async_copy_46</c:v>
                </c:pt>
                <c:pt idx="50">
                  <c:v>async_copy_48</c:v>
                </c:pt>
                <c:pt idx="51">
                  <c:v>model_layers_0_self_attn_q_proj_fused</c:v>
                </c:pt>
                <c:pt idx="52">
                  <c:v>async_wait_23</c:v>
                </c:pt>
                <c:pt idx="53">
                  <c:v>async_copy_49</c:v>
                </c:pt>
                <c:pt idx="54">
                  <c:v>async_copy_46</c:v>
                </c:pt>
                <c:pt idx="55">
                  <c:v>async_copy_48</c:v>
                </c:pt>
                <c:pt idx="56">
                  <c:v>model_layers_0_self_attn_q_proj_fused</c:v>
                </c:pt>
                <c:pt idx="57">
                  <c:v>async_wait_23</c:v>
                </c:pt>
                <c:pt idx="58">
                  <c:v>async_copy_49</c:v>
                </c:pt>
                <c:pt idx="59">
                  <c:v>async_copy_46</c:v>
                </c:pt>
                <c:pt idx="60">
                  <c:v>async_copy_48</c:v>
                </c:pt>
                <c:pt idx="61">
                  <c:v>model_layers_0_self_attn_q_proj_fused</c:v>
                </c:pt>
                <c:pt idx="62">
                  <c:v>async_wait_23</c:v>
                </c:pt>
                <c:pt idx="63">
                  <c:v>async_copy_49</c:v>
                </c:pt>
                <c:pt idx="64">
                  <c:v>async_copy_46</c:v>
                </c:pt>
                <c:pt idx="65">
                  <c:v>async_copy_48</c:v>
                </c:pt>
                <c:pt idx="66">
                  <c:v>model_layers_0_self_attn_q_proj_fused</c:v>
                </c:pt>
                <c:pt idx="67">
                  <c:v>async_wait_23</c:v>
                </c:pt>
                <c:pt idx="68">
                  <c:v>async_copy_49</c:v>
                </c:pt>
                <c:pt idx="69">
                  <c:v>async_copy_46</c:v>
                </c:pt>
                <c:pt idx="70">
                  <c:v>async_copy_48</c:v>
                </c:pt>
                <c:pt idx="71">
                  <c:v>model_layers_0_self_attn_q_proj_fused</c:v>
                </c:pt>
                <c:pt idx="72">
                  <c:v>async_wait_23</c:v>
                </c:pt>
                <c:pt idx="73">
                  <c:v>async_copy_49</c:v>
                </c:pt>
                <c:pt idx="74">
                  <c:v>async_copy_46</c:v>
                </c:pt>
                <c:pt idx="75">
                  <c:v>async_copy_48</c:v>
                </c:pt>
                <c:pt idx="76">
                  <c:v>model_layers_0_self_attn_q_proj_fused</c:v>
                </c:pt>
                <c:pt idx="77">
                  <c:v>async_wait_23</c:v>
                </c:pt>
                <c:pt idx="78">
                  <c:v>async_copy_49</c:v>
                </c:pt>
                <c:pt idx="79">
                  <c:v>async_copy_46</c:v>
                </c:pt>
                <c:pt idx="80">
                  <c:v>async_copy_48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async_copy_49</c:v>
                </c:pt>
                <c:pt idx="84">
                  <c:v>async_copy_46</c:v>
                </c:pt>
                <c:pt idx="85">
                  <c:v>async_copy_48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async_copy_49</c:v>
                </c:pt>
                <c:pt idx="89">
                  <c:v>async_copy_46</c:v>
                </c:pt>
                <c:pt idx="90">
                  <c:v>async_copy_48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async_copy_49</c:v>
                </c:pt>
                <c:pt idx="94">
                  <c:v>async_copy_46</c:v>
                </c:pt>
                <c:pt idx="95">
                  <c:v>async_copy_48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async_copy_49</c:v>
                </c:pt>
                <c:pt idx="99">
                  <c:v>async_copy_46</c:v>
                </c:pt>
                <c:pt idx="100">
                  <c:v>async_copy_48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async_copy_49</c:v>
                </c:pt>
                <c:pt idx="104">
                  <c:v>async_copy_46</c:v>
                </c:pt>
                <c:pt idx="105">
                  <c:v>async_copy_48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async_copy_49</c:v>
                </c:pt>
                <c:pt idx="109">
                  <c:v>async_copy_46</c:v>
                </c:pt>
                <c:pt idx="110">
                  <c:v>async_copy_48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async_copy_49</c:v>
                </c:pt>
                <c:pt idx="114">
                  <c:v>async_copy_46</c:v>
                </c:pt>
                <c:pt idx="115">
                  <c:v>async_copy_48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async_copy_49</c:v>
                </c:pt>
                <c:pt idx="119">
                  <c:v>async_copy_46</c:v>
                </c:pt>
                <c:pt idx="120">
                  <c:v>async_copy_48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async_copy_49</c:v>
                </c:pt>
                <c:pt idx="124">
                  <c:v>async_copy_46</c:v>
                </c:pt>
                <c:pt idx="125">
                  <c:v>async_copy_48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async_copy_49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async_wait_24</c:v>
                </c:pt>
                <c:pt idx="180">
                  <c:v>async_copy_50</c:v>
                </c:pt>
                <c:pt idx="181">
                  <c:v>async_wait_25</c:v>
                </c:pt>
                <c:pt idx="182">
                  <c:v>async_wait_26</c:v>
                </c:pt>
                <c:pt idx="183">
                  <c:v>async_copy_51</c:v>
                </c:pt>
                <c:pt idx="184">
                  <c:v>async_copy_52</c:v>
                </c:pt>
                <c:pt idx="185">
                  <c:v>async_copy_53</c:v>
                </c:pt>
                <c:pt idx="186">
                  <c:v>async_copy_54</c:v>
                </c:pt>
                <c:pt idx="187">
                  <c:v>model_layers_0_self_attn_k_proj_fused</c:v>
                </c:pt>
                <c:pt idx="188">
                  <c:v>async_copy_52</c:v>
                </c:pt>
                <c:pt idx="189">
                  <c:v>async_copy_54</c:v>
                </c:pt>
                <c:pt idx="190">
                  <c:v>model_layers_0_self_attn_k_proj_fused</c:v>
                </c:pt>
                <c:pt idx="191">
                  <c:v>async_wait_27</c:v>
                </c:pt>
                <c:pt idx="192">
                  <c:v>async_copy_55</c:v>
                </c:pt>
                <c:pt idx="193">
                  <c:v>async_copy_52</c:v>
                </c:pt>
                <c:pt idx="194">
                  <c:v>async_copy_54</c:v>
                </c:pt>
                <c:pt idx="195">
                  <c:v>model_layers_0_self_attn_k_proj_fused</c:v>
                </c:pt>
                <c:pt idx="196">
                  <c:v>async_wait_27</c:v>
                </c:pt>
                <c:pt idx="197">
                  <c:v>async_copy_55</c:v>
                </c:pt>
                <c:pt idx="198">
                  <c:v>async_copy_52</c:v>
                </c:pt>
                <c:pt idx="199">
                  <c:v>async_copy_54</c:v>
                </c:pt>
                <c:pt idx="200">
                  <c:v>model_layers_0_self_attn_k_proj_fused</c:v>
                </c:pt>
                <c:pt idx="201">
                  <c:v>async_wait_27</c:v>
                </c:pt>
                <c:pt idx="202">
                  <c:v>async_copy_55</c:v>
                </c:pt>
                <c:pt idx="203">
                  <c:v>async_copy_52</c:v>
                </c:pt>
                <c:pt idx="204">
                  <c:v>async_copy_54</c:v>
                </c:pt>
                <c:pt idx="205">
                  <c:v>model_layers_0_self_attn_k_proj_fused</c:v>
                </c:pt>
                <c:pt idx="206">
                  <c:v>async_wait_27</c:v>
                </c:pt>
                <c:pt idx="207">
                  <c:v>async_copy_55</c:v>
                </c:pt>
                <c:pt idx="208">
                  <c:v>async_copy_52</c:v>
                </c:pt>
                <c:pt idx="209">
                  <c:v>async_copy_54</c:v>
                </c:pt>
                <c:pt idx="210">
                  <c:v>model_layers_0_self_attn_k_proj_fused</c:v>
                </c:pt>
                <c:pt idx="211">
                  <c:v>async_wait_27</c:v>
                </c:pt>
                <c:pt idx="212">
                  <c:v>async_copy_55</c:v>
                </c:pt>
                <c:pt idx="213">
                  <c:v>async_copy_52</c:v>
                </c:pt>
                <c:pt idx="214">
                  <c:v>async_copy_54</c:v>
                </c:pt>
                <c:pt idx="215">
                  <c:v>model_layers_0_self_attn_k_proj_fused</c:v>
                </c:pt>
                <c:pt idx="216">
                  <c:v>async_wait_27</c:v>
                </c:pt>
                <c:pt idx="217">
                  <c:v>async_copy_55</c:v>
                </c:pt>
                <c:pt idx="218">
                  <c:v>async_copy_52</c:v>
                </c:pt>
                <c:pt idx="219">
                  <c:v>async_copy_54</c:v>
                </c:pt>
                <c:pt idx="220">
                  <c:v>model_layers_0_self_attn_k_proj_fused</c:v>
                </c:pt>
                <c:pt idx="221">
                  <c:v>async_wait_27</c:v>
                </c:pt>
                <c:pt idx="222">
                  <c:v>async_copy_55</c:v>
                </c:pt>
                <c:pt idx="223">
                  <c:v>async_copy_52</c:v>
                </c:pt>
                <c:pt idx="224">
                  <c:v>async_copy_54</c:v>
                </c:pt>
                <c:pt idx="225">
                  <c:v>model_layers_0_self_attn_k_proj_fused</c:v>
                </c:pt>
                <c:pt idx="226">
                  <c:v>async_wait_27</c:v>
                </c:pt>
                <c:pt idx="227">
                  <c:v>async_copy_55</c:v>
                </c:pt>
                <c:pt idx="228">
                  <c:v>async_copy_52</c:v>
                </c:pt>
                <c:pt idx="229">
                  <c:v>async_copy_54</c:v>
                </c:pt>
                <c:pt idx="230">
                  <c:v>model_layers_0_self_attn_k_proj_fused</c:v>
                </c:pt>
                <c:pt idx="231">
                  <c:v>async_wait_27</c:v>
                </c:pt>
                <c:pt idx="232">
                  <c:v>async_copy_55</c:v>
                </c:pt>
                <c:pt idx="233">
                  <c:v>async_copy_52</c:v>
                </c:pt>
                <c:pt idx="234">
                  <c:v>async_copy_54</c:v>
                </c:pt>
                <c:pt idx="235">
                  <c:v>model_layers_0_self_attn_k_proj_fused</c:v>
                </c:pt>
                <c:pt idx="236">
                  <c:v>async_wait_27</c:v>
                </c:pt>
                <c:pt idx="237">
                  <c:v>async_copy_55</c:v>
                </c:pt>
                <c:pt idx="238">
                  <c:v>async_copy_52</c:v>
                </c:pt>
                <c:pt idx="239">
                  <c:v>async_copy_54</c:v>
                </c:pt>
                <c:pt idx="240">
                  <c:v>model_layers_0_self_attn_k_proj_fused</c:v>
                </c:pt>
                <c:pt idx="241">
                  <c:v>async_wait_27</c:v>
                </c:pt>
                <c:pt idx="242">
                  <c:v>async_copy_55</c:v>
                </c:pt>
                <c:pt idx="243">
                  <c:v>async_copy_52</c:v>
                </c:pt>
                <c:pt idx="244">
                  <c:v>async_copy_54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async_copy_55</c:v>
                </c:pt>
                <c:pt idx="248">
                  <c:v>async_copy_52</c:v>
                </c:pt>
                <c:pt idx="249">
                  <c:v>async_copy_54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async_copy_55</c:v>
                </c:pt>
                <c:pt idx="253">
                  <c:v>async_copy_52</c:v>
                </c:pt>
                <c:pt idx="254">
                  <c:v>async_copy_54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async_copy_55</c:v>
                </c:pt>
                <c:pt idx="258">
                  <c:v>async_copy_52</c:v>
                </c:pt>
                <c:pt idx="259">
                  <c:v>async_copy_54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async_copy_55</c:v>
                </c:pt>
                <c:pt idx="263">
                  <c:v>async_copy_52</c:v>
                </c:pt>
                <c:pt idx="264">
                  <c:v>async_copy_54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async_copy_55</c:v>
                </c:pt>
                <c:pt idx="268">
                  <c:v>async_copy_52</c:v>
                </c:pt>
                <c:pt idx="269">
                  <c:v>async_copy_54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async_copy_55</c:v>
                </c:pt>
                <c:pt idx="273">
                  <c:v>async_copy_52</c:v>
                </c:pt>
                <c:pt idx="274">
                  <c:v>async_copy_54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async_copy_55</c:v>
                </c:pt>
                <c:pt idx="278">
                  <c:v>async_copy_52</c:v>
                </c:pt>
                <c:pt idx="279">
                  <c:v>async_copy_54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async_copy_55</c:v>
                </c:pt>
                <c:pt idx="283">
                  <c:v>async_copy_52</c:v>
                </c:pt>
                <c:pt idx="284">
                  <c:v>async_copy_54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async_copy_55</c:v>
                </c:pt>
                <c:pt idx="288">
                  <c:v>async_copy_52</c:v>
                </c:pt>
                <c:pt idx="289">
                  <c:v>async_copy_54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async_copy_55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async_wait_28</c:v>
                </c:pt>
                <c:pt idx="344">
                  <c:v>async_copy_56</c:v>
                </c:pt>
                <c:pt idx="345">
                  <c:v>async_wait_29</c:v>
                </c:pt>
                <c:pt idx="346">
                  <c:v>async_wait_30</c:v>
                </c:pt>
                <c:pt idx="347">
                  <c:v>async_copy_57</c:v>
                </c:pt>
                <c:pt idx="348">
                  <c:v>async_copy_58</c:v>
                </c:pt>
                <c:pt idx="349">
                  <c:v>async_copy_59</c:v>
                </c:pt>
                <c:pt idx="350">
                  <c:v>async_copy_60</c:v>
                </c:pt>
                <c:pt idx="351">
                  <c:v>model_layers_0_self_attn_v_proj_fused</c:v>
                </c:pt>
                <c:pt idx="352">
                  <c:v>async_copy_58</c:v>
                </c:pt>
                <c:pt idx="353">
                  <c:v>async_copy_60</c:v>
                </c:pt>
                <c:pt idx="354">
                  <c:v>model_layers_0_self_attn_v_proj_fused</c:v>
                </c:pt>
                <c:pt idx="355">
                  <c:v>async_wait_31</c:v>
                </c:pt>
                <c:pt idx="356">
                  <c:v>async_copy_61</c:v>
                </c:pt>
                <c:pt idx="357">
                  <c:v>async_copy_58</c:v>
                </c:pt>
                <c:pt idx="358">
                  <c:v>async_copy_60</c:v>
                </c:pt>
                <c:pt idx="359">
                  <c:v>model_layers_0_self_attn_v_proj_fused</c:v>
                </c:pt>
                <c:pt idx="360">
                  <c:v>async_wait_31</c:v>
                </c:pt>
                <c:pt idx="361">
                  <c:v>async_copy_61</c:v>
                </c:pt>
                <c:pt idx="362">
                  <c:v>async_copy_58</c:v>
                </c:pt>
                <c:pt idx="363">
                  <c:v>async_copy_60</c:v>
                </c:pt>
                <c:pt idx="364">
                  <c:v>model_layers_0_self_attn_v_proj_fused</c:v>
                </c:pt>
                <c:pt idx="365">
                  <c:v>async_wait_31</c:v>
                </c:pt>
                <c:pt idx="366">
                  <c:v>async_copy_61</c:v>
                </c:pt>
                <c:pt idx="367">
                  <c:v>async_copy_58</c:v>
                </c:pt>
                <c:pt idx="368">
                  <c:v>async_copy_60</c:v>
                </c:pt>
                <c:pt idx="369">
                  <c:v>model_layers_0_self_attn_v_proj_fused</c:v>
                </c:pt>
                <c:pt idx="370">
                  <c:v>async_wait_31</c:v>
                </c:pt>
                <c:pt idx="371">
                  <c:v>async_copy_61</c:v>
                </c:pt>
                <c:pt idx="372">
                  <c:v>async_copy_58</c:v>
                </c:pt>
                <c:pt idx="373">
                  <c:v>async_copy_60</c:v>
                </c:pt>
                <c:pt idx="374">
                  <c:v>model_layers_0_self_attn_v_proj_fused</c:v>
                </c:pt>
                <c:pt idx="375">
                  <c:v>async_wait_31</c:v>
                </c:pt>
                <c:pt idx="376">
                  <c:v>async_copy_61</c:v>
                </c:pt>
                <c:pt idx="377">
                  <c:v>async_copy_58</c:v>
                </c:pt>
                <c:pt idx="378">
                  <c:v>async_copy_60</c:v>
                </c:pt>
                <c:pt idx="379">
                  <c:v>model_layers_0_self_attn_v_proj_fused</c:v>
                </c:pt>
                <c:pt idx="380">
                  <c:v>async_wait_31</c:v>
                </c:pt>
                <c:pt idx="381">
                  <c:v>async_copy_61</c:v>
                </c:pt>
                <c:pt idx="382">
                  <c:v>async_copy_58</c:v>
                </c:pt>
                <c:pt idx="383">
                  <c:v>async_copy_60</c:v>
                </c:pt>
                <c:pt idx="384">
                  <c:v>model_layers_0_self_attn_v_proj_fused</c:v>
                </c:pt>
                <c:pt idx="385">
                  <c:v>async_wait_31</c:v>
                </c:pt>
                <c:pt idx="386">
                  <c:v>async_copy_61</c:v>
                </c:pt>
                <c:pt idx="387">
                  <c:v>async_copy_58</c:v>
                </c:pt>
                <c:pt idx="388">
                  <c:v>async_copy_60</c:v>
                </c:pt>
                <c:pt idx="389">
                  <c:v>model_layers_0_self_attn_v_proj_fused</c:v>
                </c:pt>
                <c:pt idx="390">
                  <c:v>async_wait_31</c:v>
                </c:pt>
                <c:pt idx="391">
                  <c:v>async_copy_61</c:v>
                </c:pt>
                <c:pt idx="392">
                  <c:v>async_copy_58</c:v>
                </c:pt>
                <c:pt idx="393">
                  <c:v>async_copy_60</c:v>
                </c:pt>
                <c:pt idx="394">
                  <c:v>model_layers_0_self_attn_v_proj_fused</c:v>
                </c:pt>
                <c:pt idx="395">
                  <c:v>async_wait_31</c:v>
                </c:pt>
                <c:pt idx="396">
                  <c:v>async_copy_61</c:v>
                </c:pt>
                <c:pt idx="397">
                  <c:v>async_copy_58</c:v>
                </c:pt>
                <c:pt idx="398">
                  <c:v>async_copy_60</c:v>
                </c:pt>
                <c:pt idx="399">
                  <c:v>model_layers_0_self_attn_v_proj_fused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320</c:v>
                </c:pt>
                <c:pt idx="4">
                  <c:v>0</c:v>
                </c:pt>
                <c:pt idx="5">
                  <c:v>0</c:v>
                </c:pt>
                <c:pt idx="6">
                  <c:v>320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8448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8453</c:v>
                </c:pt>
                <c:pt idx="24">
                  <c:v>0</c:v>
                </c:pt>
                <c:pt idx="25">
                  <c:v>0</c:v>
                </c:pt>
                <c:pt idx="26">
                  <c:v>8453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8453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8453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8453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8453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8453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8453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8453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8453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8453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8453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8453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8453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8453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8453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8453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8453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8453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8453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8453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8453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8453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8453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8453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8453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8453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8453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8453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8453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8453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8453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8453</c:v>
                </c:pt>
                <c:pt idx="188">
                  <c:v>0</c:v>
                </c:pt>
                <c:pt idx="189">
                  <c:v>0</c:v>
                </c:pt>
                <c:pt idx="190">
                  <c:v>8453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8453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8453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8453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8453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8453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8453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8453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8453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8453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8453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8453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8453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8453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8453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8453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8453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8453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8453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8453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8453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8453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8453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8453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8453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8453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8453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8453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8453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8453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8453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8453</c:v>
                </c:pt>
                <c:pt idx="352">
                  <c:v>0</c:v>
                </c:pt>
                <c:pt idx="353">
                  <c:v>0</c:v>
                </c:pt>
                <c:pt idx="354">
                  <c:v>8453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8453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8453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8453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8453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8453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8453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8453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8453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8453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async_wait_15</c:v>
                </c:pt>
                <c:pt idx="13">
                  <c:v>async_wait_16</c:v>
                </c:pt>
                <c:pt idx="14">
                  <c:v>model_layers_0_input_layernorm_layer_norm_fused</c:v>
                </c:pt>
                <c:pt idx="15">
                  <c:v>async_copy_43</c:v>
                </c:pt>
                <c:pt idx="16">
                  <c:v>async_copy_44</c:v>
                </c:pt>
                <c:pt idx="17">
                  <c:v>async_wait_19</c:v>
                </c:pt>
                <c:pt idx="18">
                  <c:v>async_wait_21</c:v>
                </c:pt>
                <c:pt idx="19">
                  <c:v>async_copy_45</c:v>
                </c:pt>
                <c:pt idx="20">
                  <c:v>async_copy_46</c:v>
                </c:pt>
                <c:pt idx="21">
                  <c:v>async_copy_47</c:v>
                </c:pt>
                <c:pt idx="22">
                  <c:v>async_copy_48</c:v>
                </c:pt>
                <c:pt idx="23">
                  <c:v>model_layers_0_self_attn_q_proj_fused</c:v>
                </c:pt>
                <c:pt idx="24">
                  <c:v>async_copy_46</c:v>
                </c:pt>
                <c:pt idx="25">
                  <c:v>async_copy_48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async_copy_49</c:v>
                </c:pt>
                <c:pt idx="29">
                  <c:v>async_copy_46</c:v>
                </c:pt>
                <c:pt idx="30">
                  <c:v>async_copy_48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async_copy_49</c:v>
                </c:pt>
                <c:pt idx="34">
                  <c:v>async_copy_46</c:v>
                </c:pt>
                <c:pt idx="35">
                  <c:v>async_copy_48</c:v>
                </c:pt>
                <c:pt idx="36">
                  <c:v>model_layers_0_self_attn_q_proj_fused</c:v>
                </c:pt>
                <c:pt idx="37">
                  <c:v>async_wait_23</c:v>
                </c:pt>
                <c:pt idx="38">
                  <c:v>async_copy_49</c:v>
                </c:pt>
                <c:pt idx="39">
                  <c:v>async_copy_46</c:v>
                </c:pt>
                <c:pt idx="40">
                  <c:v>async_copy_48</c:v>
                </c:pt>
                <c:pt idx="41">
                  <c:v>model_layers_0_self_attn_q_proj_fused</c:v>
                </c:pt>
                <c:pt idx="42">
                  <c:v>async_wait_23</c:v>
                </c:pt>
                <c:pt idx="43">
                  <c:v>async_copy_49</c:v>
                </c:pt>
                <c:pt idx="44">
                  <c:v>async_copy_46</c:v>
                </c:pt>
                <c:pt idx="45">
                  <c:v>async_copy_48</c:v>
                </c:pt>
                <c:pt idx="46">
                  <c:v>model_layers_0_self_attn_q_proj_fused</c:v>
                </c:pt>
                <c:pt idx="47">
                  <c:v>async_wait_23</c:v>
                </c:pt>
                <c:pt idx="48">
                  <c:v>async_copy_49</c:v>
                </c:pt>
                <c:pt idx="49">
                  <c:v>async_copy_46</c:v>
                </c:pt>
                <c:pt idx="50">
                  <c:v>async_copy_48</c:v>
                </c:pt>
                <c:pt idx="51">
                  <c:v>model_layers_0_self_attn_q_proj_fused</c:v>
                </c:pt>
                <c:pt idx="52">
                  <c:v>async_wait_23</c:v>
                </c:pt>
                <c:pt idx="53">
                  <c:v>async_copy_49</c:v>
                </c:pt>
                <c:pt idx="54">
                  <c:v>async_copy_46</c:v>
                </c:pt>
                <c:pt idx="55">
                  <c:v>async_copy_48</c:v>
                </c:pt>
                <c:pt idx="56">
                  <c:v>model_layers_0_self_attn_q_proj_fused</c:v>
                </c:pt>
                <c:pt idx="57">
                  <c:v>async_wait_23</c:v>
                </c:pt>
                <c:pt idx="58">
                  <c:v>async_copy_49</c:v>
                </c:pt>
                <c:pt idx="59">
                  <c:v>async_copy_46</c:v>
                </c:pt>
                <c:pt idx="60">
                  <c:v>async_copy_48</c:v>
                </c:pt>
                <c:pt idx="61">
                  <c:v>model_layers_0_self_attn_q_proj_fused</c:v>
                </c:pt>
                <c:pt idx="62">
                  <c:v>async_wait_23</c:v>
                </c:pt>
                <c:pt idx="63">
                  <c:v>async_copy_49</c:v>
                </c:pt>
                <c:pt idx="64">
                  <c:v>async_copy_46</c:v>
                </c:pt>
                <c:pt idx="65">
                  <c:v>async_copy_48</c:v>
                </c:pt>
                <c:pt idx="66">
                  <c:v>model_layers_0_self_attn_q_proj_fused</c:v>
                </c:pt>
                <c:pt idx="67">
                  <c:v>async_wait_23</c:v>
                </c:pt>
                <c:pt idx="68">
                  <c:v>async_copy_49</c:v>
                </c:pt>
                <c:pt idx="69">
                  <c:v>async_copy_46</c:v>
                </c:pt>
                <c:pt idx="70">
                  <c:v>async_copy_48</c:v>
                </c:pt>
                <c:pt idx="71">
                  <c:v>model_layers_0_self_attn_q_proj_fused</c:v>
                </c:pt>
                <c:pt idx="72">
                  <c:v>async_wait_23</c:v>
                </c:pt>
                <c:pt idx="73">
                  <c:v>async_copy_49</c:v>
                </c:pt>
                <c:pt idx="74">
                  <c:v>async_copy_46</c:v>
                </c:pt>
                <c:pt idx="75">
                  <c:v>async_copy_48</c:v>
                </c:pt>
                <c:pt idx="76">
                  <c:v>model_layers_0_self_attn_q_proj_fused</c:v>
                </c:pt>
                <c:pt idx="77">
                  <c:v>async_wait_23</c:v>
                </c:pt>
                <c:pt idx="78">
                  <c:v>async_copy_49</c:v>
                </c:pt>
                <c:pt idx="79">
                  <c:v>async_copy_46</c:v>
                </c:pt>
                <c:pt idx="80">
                  <c:v>async_copy_48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async_copy_49</c:v>
                </c:pt>
                <c:pt idx="84">
                  <c:v>async_copy_46</c:v>
                </c:pt>
                <c:pt idx="85">
                  <c:v>async_copy_48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async_copy_49</c:v>
                </c:pt>
                <c:pt idx="89">
                  <c:v>async_copy_46</c:v>
                </c:pt>
                <c:pt idx="90">
                  <c:v>async_copy_48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async_copy_49</c:v>
                </c:pt>
                <c:pt idx="94">
                  <c:v>async_copy_46</c:v>
                </c:pt>
                <c:pt idx="95">
                  <c:v>async_copy_48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async_copy_49</c:v>
                </c:pt>
                <c:pt idx="99">
                  <c:v>async_copy_46</c:v>
                </c:pt>
                <c:pt idx="100">
                  <c:v>async_copy_48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async_copy_49</c:v>
                </c:pt>
                <c:pt idx="104">
                  <c:v>async_copy_46</c:v>
                </c:pt>
                <c:pt idx="105">
                  <c:v>async_copy_48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async_copy_49</c:v>
                </c:pt>
                <c:pt idx="109">
                  <c:v>async_copy_46</c:v>
                </c:pt>
                <c:pt idx="110">
                  <c:v>async_copy_48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async_copy_49</c:v>
                </c:pt>
                <c:pt idx="114">
                  <c:v>async_copy_46</c:v>
                </c:pt>
                <c:pt idx="115">
                  <c:v>async_copy_48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async_copy_49</c:v>
                </c:pt>
                <c:pt idx="119">
                  <c:v>async_copy_46</c:v>
                </c:pt>
                <c:pt idx="120">
                  <c:v>async_copy_48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async_copy_49</c:v>
                </c:pt>
                <c:pt idx="124">
                  <c:v>async_copy_46</c:v>
                </c:pt>
                <c:pt idx="125">
                  <c:v>async_copy_48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async_copy_49</c:v>
                </c:pt>
                <c:pt idx="129">
                  <c:v>async_copy_46</c:v>
                </c:pt>
                <c:pt idx="130">
                  <c:v>async_copy_48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async_copy_49</c:v>
                </c:pt>
                <c:pt idx="134">
                  <c:v>async_copy_46</c:v>
                </c:pt>
                <c:pt idx="135">
                  <c:v>async_copy_48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async_copy_49</c:v>
                </c:pt>
                <c:pt idx="139">
                  <c:v>async_copy_46</c:v>
                </c:pt>
                <c:pt idx="140">
                  <c:v>async_copy_48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async_copy_49</c:v>
                </c:pt>
                <c:pt idx="144">
                  <c:v>async_copy_46</c:v>
                </c:pt>
                <c:pt idx="145">
                  <c:v>async_copy_48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async_copy_49</c:v>
                </c:pt>
                <c:pt idx="149">
                  <c:v>async_copy_46</c:v>
                </c:pt>
                <c:pt idx="150">
                  <c:v>async_copy_48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async_copy_49</c:v>
                </c:pt>
                <c:pt idx="154">
                  <c:v>async_copy_46</c:v>
                </c:pt>
                <c:pt idx="155">
                  <c:v>async_copy_48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async_copy_49</c:v>
                </c:pt>
                <c:pt idx="159">
                  <c:v>async_copy_46</c:v>
                </c:pt>
                <c:pt idx="160">
                  <c:v>async_copy_48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async_copy_49</c:v>
                </c:pt>
                <c:pt idx="164">
                  <c:v>async_copy_46</c:v>
                </c:pt>
                <c:pt idx="165">
                  <c:v>async_copy_48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async_copy_49</c:v>
                </c:pt>
                <c:pt idx="169">
                  <c:v>async_copy_46</c:v>
                </c:pt>
                <c:pt idx="170">
                  <c:v>async_copy_48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async_copy_49</c:v>
                </c:pt>
                <c:pt idx="174">
                  <c:v>async_copy_46</c:v>
                </c:pt>
                <c:pt idx="175">
                  <c:v>async_copy_48</c:v>
                </c:pt>
                <c:pt idx="176">
                  <c:v>model_layers_0_self_attn_q_proj_fused</c:v>
                </c:pt>
                <c:pt idx="177">
                  <c:v>async_wait_23</c:v>
                </c:pt>
                <c:pt idx="178">
                  <c:v>async_copy_49</c:v>
                </c:pt>
                <c:pt idx="179">
                  <c:v>async_wait_24</c:v>
                </c:pt>
                <c:pt idx="180">
                  <c:v>async_copy_50</c:v>
                </c:pt>
                <c:pt idx="181">
                  <c:v>async_wait_25</c:v>
                </c:pt>
                <c:pt idx="182">
                  <c:v>async_wait_26</c:v>
                </c:pt>
                <c:pt idx="183">
                  <c:v>async_copy_51</c:v>
                </c:pt>
                <c:pt idx="184">
                  <c:v>async_copy_52</c:v>
                </c:pt>
                <c:pt idx="185">
                  <c:v>async_copy_53</c:v>
                </c:pt>
                <c:pt idx="186">
                  <c:v>async_copy_54</c:v>
                </c:pt>
                <c:pt idx="187">
                  <c:v>model_layers_0_self_attn_k_proj_fused</c:v>
                </c:pt>
                <c:pt idx="188">
                  <c:v>async_copy_52</c:v>
                </c:pt>
                <c:pt idx="189">
                  <c:v>async_copy_54</c:v>
                </c:pt>
                <c:pt idx="190">
                  <c:v>model_layers_0_self_attn_k_proj_fused</c:v>
                </c:pt>
                <c:pt idx="191">
                  <c:v>async_wait_27</c:v>
                </c:pt>
                <c:pt idx="192">
                  <c:v>async_copy_55</c:v>
                </c:pt>
                <c:pt idx="193">
                  <c:v>async_copy_52</c:v>
                </c:pt>
                <c:pt idx="194">
                  <c:v>async_copy_54</c:v>
                </c:pt>
                <c:pt idx="195">
                  <c:v>model_layers_0_self_attn_k_proj_fused</c:v>
                </c:pt>
                <c:pt idx="196">
                  <c:v>async_wait_27</c:v>
                </c:pt>
                <c:pt idx="197">
                  <c:v>async_copy_55</c:v>
                </c:pt>
                <c:pt idx="198">
                  <c:v>async_copy_52</c:v>
                </c:pt>
                <c:pt idx="199">
                  <c:v>async_copy_54</c:v>
                </c:pt>
                <c:pt idx="200">
                  <c:v>model_layers_0_self_attn_k_proj_fused</c:v>
                </c:pt>
                <c:pt idx="201">
                  <c:v>async_wait_27</c:v>
                </c:pt>
                <c:pt idx="202">
                  <c:v>async_copy_55</c:v>
                </c:pt>
                <c:pt idx="203">
                  <c:v>async_copy_52</c:v>
                </c:pt>
                <c:pt idx="204">
                  <c:v>async_copy_54</c:v>
                </c:pt>
                <c:pt idx="205">
                  <c:v>model_layers_0_self_attn_k_proj_fused</c:v>
                </c:pt>
                <c:pt idx="206">
                  <c:v>async_wait_27</c:v>
                </c:pt>
                <c:pt idx="207">
                  <c:v>async_copy_55</c:v>
                </c:pt>
                <c:pt idx="208">
                  <c:v>async_copy_52</c:v>
                </c:pt>
                <c:pt idx="209">
                  <c:v>async_copy_54</c:v>
                </c:pt>
                <c:pt idx="210">
                  <c:v>model_layers_0_self_attn_k_proj_fused</c:v>
                </c:pt>
                <c:pt idx="211">
                  <c:v>async_wait_27</c:v>
                </c:pt>
                <c:pt idx="212">
                  <c:v>async_copy_55</c:v>
                </c:pt>
                <c:pt idx="213">
                  <c:v>async_copy_52</c:v>
                </c:pt>
                <c:pt idx="214">
                  <c:v>async_copy_54</c:v>
                </c:pt>
                <c:pt idx="215">
                  <c:v>model_layers_0_self_attn_k_proj_fused</c:v>
                </c:pt>
                <c:pt idx="216">
                  <c:v>async_wait_27</c:v>
                </c:pt>
                <c:pt idx="217">
                  <c:v>async_copy_55</c:v>
                </c:pt>
                <c:pt idx="218">
                  <c:v>async_copy_52</c:v>
                </c:pt>
                <c:pt idx="219">
                  <c:v>async_copy_54</c:v>
                </c:pt>
                <c:pt idx="220">
                  <c:v>model_layers_0_self_attn_k_proj_fused</c:v>
                </c:pt>
                <c:pt idx="221">
                  <c:v>async_wait_27</c:v>
                </c:pt>
                <c:pt idx="222">
                  <c:v>async_copy_55</c:v>
                </c:pt>
                <c:pt idx="223">
                  <c:v>async_copy_52</c:v>
                </c:pt>
                <c:pt idx="224">
                  <c:v>async_copy_54</c:v>
                </c:pt>
                <c:pt idx="225">
                  <c:v>model_layers_0_self_attn_k_proj_fused</c:v>
                </c:pt>
                <c:pt idx="226">
                  <c:v>async_wait_27</c:v>
                </c:pt>
                <c:pt idx="227">
                  <c:v>async_copy_55</c:v>
                </c:pt>
                <c:pt idx="228">
                  <c:v>async_copy_52</c:v>
                </c:pt>
                <c:pt idx="229">
                  <c:v>async_copy_54</c:v>
                </c:pt>
                <c:pt idx="230">
                  <c:v>model_layers_0_self_attn_k_proj_fused</c:v>
                </c:pt>
                <c:pt idx="231">
                  <c:v>async_wait_27</c:v>
                </c:pt>
                <c:pt idx="232">
                  <c:v>async_copy_55</c:v>
                </c:pt>
                <c:pt idx="233">
                  <c:v>async_copy_52</c:v>
                </c:pt>
                <c:pt idx="234">
                  <c:v>async_copy_54</c:v>
                </c:pt>
                <c:pt idx="235">
                  <c:v>model_layers_0_self_attn_k_proj_fused</c:v>
                </c:pt>
                <c:pt idx="236">
                  <c:v>async_wait_27</c:v>
                </c:pt>
                <c:pt idx="237">
                  <c:v>async_copy_55</c:v>
                </c:pt>
                <c:pt idx="238">
                  <c:v>async_copy_52</c:v>
                </c:pt>
                <c:pt idx="239">
                  <c:v>async_copy_54</c:v>
                </c:pt>
                <c:pt idx="240">
                  <c:v>model_layers_0_self_attn_k_proj_fused</c:v>
                </c:pt>
                <c:pt idx="241">
                  <c:v>async_wait_27</c:v>
                </c:pt>
                <c:pt idx="242">
                  <c:v>async_copy_55</c:v>
                </c:pt>
                <c:pt idx="243">
                  <c:v>async_copy_52</c:v>
                </c:pt>
                <c:pt idx="244">
                  <c:v>async_copy_54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async_copy_55</c:v>
                </c:pt>
                <c:pt idx="248">
                  <c:v>async_copy_52</c:v>
                </c:pt>
                <c:pt idx="249">
                  <c:v>async_copy_54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async_copy_55</c:v>
                </c:pt>
                <c:pt idx="253">
                  <c:v>async_copy_52</c:v>
                </c:pt>
                <c:pt idx="254">
                  <c:v>async_copy_54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async_copy_55</c:v>
                </c:pt>
                <c:pt idx="258">
                  <c:v>async_copy_52</c:v>
                </c:pt>
                <c:pt idx="259">
                  <c:v>async_copy_54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async_copy_55</c:v>
                </c:pt>
                <c:pt idx="263">
                  <c:v>async_copy_52</c:v>
                </c:pt>
                <c:pt idx="264">
                  <c:v>async_copy_54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async_copy_55</c:v>
                </c:pt>
                <c:pt idx="268">
                  <c:v>async_copy_52</c:v>
                </c:pt>
                <c:pt idx="269">
                  <c:v>async_copy_54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async_copy_55</c:v>
                </c:pt>
                <c:pt idx="273">
                  <c:v>async_copy_52</c:v>
                </c:pt>
                <c:pt idx="274">
                  <c:v>async_copy_54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async_copy_55</c:v>
                </c:pt>
                <c:pt idx="278">
                  <c:v>async_copy_52</c:v>
                </c:pt>
                <c:pt idx="279">
                  <c:v>async_copy_54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async_copy_55</c:v>
                </c:pt>
                <c:pt idx="283">
                  <c:v>async_copy_52</c:v>
                </c:pt>
                <c:pt idx="284">
                  <c:v>async_copy_54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async_copy_55</c:v>
                </c:pt>
                <c:pt idx="288">
                  <c:v>async_copy_52</c:v>
                </c:pt>
                <c:pt idx="289">
                  <c:v>async_copy_54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async_copy_55</c:v>
                </c:pt>
                <c:pt idx="293">
                  <c:v>async_copy_52</c:v>
                </c:pt>
                <c:pt idx="294">
                  <c:v>async_copy_54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async_copy_55</c:v>
                </c:pt>
                <c:pt idx="298">
                  <c:v>async_copy_52</c:v>
                </c:pt>
                <c:pt idx="299">
                  <c:v>async_copy_54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async_copy_55</c:v>
                </c:pt>
                <c:pt idx="303">
                  <c:v>async_copy_52</c:v>
                </c:pt>
                <c:pt idx="304">
                  <c:v>async_copy_54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async_copy_55</c:v>
                </c:pt>
                <c:pt idx="308">
                  <c:v>async_copy_52</c:v>
                </c:pt>
                <c:pt idx="309">
                  <c:v>async_copy_54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async_copy_55</c:v>
                </c:pt>
                <c:pt idx="313">
                  <c:v>async_copy_52</c:v>
                </c:pt>
                <c:pt idx="314">
                  <c:v>async_copy_54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async_copy_55</c:v>
                </c:pt>
                <c:pt idx="318">
                  <c:v>async_copy_52</c:v>
                </c:pt>
                <c:pt idx="319">
                  <c:v>async_copy_54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async_copy_55</c:v>
                </c:pt>
                <c:pt idx="323">
                  <c:v>async_copy_52</c:v>
                </c:pt>
                <c:pt idx="324">
                  <c:v>async_copy_54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async_copy_55</c:v>
                </c:pt>
                <c:pt idx="328">
                  <c:v>async_copy_52</c:v>
                </c:pt>
                <c:pt idx="329">
                  <c:v>async_copy_54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async_copy_55</c:v>
                </c:pt>
                <c:pt idx="333">
                  <c:v>async_copy_52</c:v>
                </c:pt>
                <c:pt idx="334">
                  <c:v>async_copy_54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async_copy_55</c:v>
                </c:pt>
                <c:pt idx="338">
                  <c:v>async_copy_52</c:v>
                </c:pt>
                <c:pt idx="339">
                  <c:v>async_copy_54</c:v>
                </c:pt>
                <c:pt idx="340">
                  <c:v>model_layers_0_self_attn_k_proj_fused</c:v>
                </c:pt>
                <c:pt idx="341">
                  <c:v>async_wait_27</c:v>
                </c:pt>
                <c:pt idx="342">
                  <c:v>async_copy_55</c:v>
                </c:pt>
                <c:pt idx="343">
                  <c:v>async_wait_28</c:v>
                </c:pt>
                <c:pt idx="344">
                  <c:v>async_copy_56</c:v>
                </c:pt>
                <c:pt idx="345">
                  <c:v>async_wait_29</c:v>
                </c:pt>
                <c:pt idx="346">
                  <c:v>async_wait_30</c:v>
                </c:pt>
                <c:pt idx="347">
                  <c:v>async_copy_57</c:v>
                </c:pt>
                <c:pt idx="348">
                  <c:v>async_copy_58</c:v>
                </c:pt>
                <c:pt idx="349">
                  <c:v>async_copy_59</c:v>
                </c:pt>
                <c:pt idx="350">
                  <c:v>async_copy_60</c:v>
                </c:pt>
                <c:pt idx="351">
                  <c:v>model_layers_0_self_attn_v_proj_fused</c:v>
                </c:pt>
                <c:pt idx="352">
                  <c:v>async_copy_58</c:v>
                </c:pt>
                <c:pt idx="353">
                  <c:v>async_copy_60</c:v>
                </c:pt>
                <c:pt idx="354">
                  <c:v>model_layers_0_self_attn_v_proj_fused</c:v>
                </c:pt>
                <c:pt idx="355">
                  <c:v>async_wait_31</c:v>
                </c:pt>
                <c:pt idx="356">
                  <c:v>async_copy_61</c:v>
                </c:pt>
                <c:pt idx="357">
                  <c:v>async_copy_58</c:v>
                </c:pt>
                <c:pt idx="358">
                  <c:v>async_copy_60</c:v>
                </c:pt>
                <c:pt idx="359">
                  <c:v>model_layers_0_self_attn_v_proj_fused</c:v>
                </c:pt>
                <c:pt idx="360">
                  <c:v>async_wait_31</c:v>
                </c:pt>
                <c:pt idx="361">
                  <c:v>async_copy_61</c:v>
                </c:pt>
                <c:pt idx="362">
                  <c:v>async_copy_58</c:v>
                </c:pt>
                <c:pt idx="363">
                  <c:v>async_copy_60</c:v>
                </c:pt>
                <c:pt idx="364">
                  <c:v>model_layers_0_self_attn_v_proj_fused</c:v>
                </c:pt>
                <c:pt idx="365">
                  <c:v>async_wait_31</c:v>
                </c:pt>
                <c:pt idx="366">
                  <c:v>async_copy_61</c:v>
                </c:pt>
                <c:pt idx="367">
                  <c:v>async_copy_58</c:v>
                </c:pt>
                <c:pt idx="368">
                  <c:v>async_copy_60</c:v>
                </c:pt>
                <c:pt idx="369">
                  <c:v>model_layers_0_self_attn_v_proj_fused</c:v>
                </c:pt>
                <c:pt idx="370">
                  <c:v>async_wait_31</c:v>
                </c:pt>
                <c:pt idx="371">
                  <c:v>async_copy_61</c:v>
                </c:pt>
                <c:pt idx="372">
                  <c:v>async_copy_58</c:v>
                </c:pt>
                <c:pt idx="373">
                  <c:v>async_copy_60</c:v>
                </c:pt>
                <c:pt idx="374">
                  <c:v>model_layers_0_self_attn_v_proj_fused</c:v>
                </c:pt>
                <c:pt idx="375">
                  <c:v>async_wait_31</c:v>
                </c:pt>
                <c:pt idx="376">
                  <c:v>async_copy_61</c:v>
                </c:pt>
                <c:pt idx="377">
                  <c:v>async_copy_58</c:v>
                </c:pt>
                <c:pt idx="378">
                  <c:v>async_copy_60</c:v>
                </c:pt>
                <c:pt idx="379">
                  <c:v>model_layers_0_self_attn_v_proj_fused</c:v>
                </c:pt>
                <c:pt idx="380">
                  <c:v>async_wait_31</c:v>
                </c:pt>
                <c:pt idx="381">
                  <c:v>async_copy_61</c:v>
                </c:pt>
                <c:pt idx="382">
                  <c:v>async_copy_58</c:v>
                </c:pt>
                <c:pt idx="383">
                  <c:v>async_copy_60</c:v>
                </c:pt>
                <c:pt idx="384">
                  <c:v>model_layers_0_self_attn_v_proj_fused</c:v>
                </c:pt>
                <c:pt idx="385">
                  <c:v>async_wait_31</c:v>
                </c:pt>
                <c:pt idx="386">
                  <c:v>async_copy_61</c:v>
                </c:pt>
                <c:pt idx="387">
                  <c:v>async_copy_58</c:v>
                </c:pt>
                <c:pt idx="388">
                  <c:v>async_copy_60</c:v>
                </c:pt>
                <c:pt idx="389">
                  <c:v>model_layers_0_self_attn_v_proj_fused</c:v>
                </c:pt>
                <c:pt idx="390">
                  <c:v>async_wait_31</c:v>
                </c:pt>
                <c:pt idx="391">
                  <c:v>async_copy_61</c:v>
                </c:pt>
                <c:pt idx="392">
                  <c:v>async_copy_58</c:v>
                </c:pt>
                <c:pt idx="393">
                  <c:v>async_copy_60</c:v>
                </c:pt>
                <c:pt idx="394">
                  <c:v>model_layers_0_self_attn_v_proj_fused</c:v>
                </c:pt>
                <c:pt idx="395">
                  <c:v>async_wait_31</c:v>
                </c:pt>
                <c:pt idx="396">
                  <c:v>async_copy_61</c:v>
                </c:pt>
                <c:pt idx="397">
                  <c:v>async_copy_58</c:v>
                </c:pt>
                <c:pt idx="398">
                  <c:v>async_copy_60</c:v>
                </c:pt>
                <c:pt idx="399">
                  <c:v>model_layers_0_self_attn_v_proj_fused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356</c:v>
                </c:pt>
                <c:pt idx="1">
                  <c:v>356</c:v>
                </c:pt>
                <c:pt idx="2">
                  <c:v>0</c:v>
                </c:pt>
                <c:pt idx="3">
                  <c:v>0</c:v>
                </c:pt>
                <c:pt idx="4">
                  <c:v>228</c:v>
                </c:pt>
                <c:pt idx="5">
                  <c:v>0</c:v>
                </c:pt>
                <c:pt idx="6">
                  <c:v>0</c:v>
                </c:pt>
                <c:pt idx="7">
                  <c:v>228</c:v>
                </c:pt>
                <c:pt idx="8">
                  <c:v>0</c:v>
                </c:pt>
                <c:pt idx="9">
                  <c:v>0</c:v>
                </c:pt>
                <c:pt idx="10">
                  <c:v>356</c:v>
                </c:pt>
                <c:pt idx="11">
                  <c:v>228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104</c:v>
                </c:pt>
                <c:pt idx="16">
                  <c:v>228</c:v>
                </c:pt>
                <c:pt idx="17">
                  <c:v>0</c:v>
                </c:pt>
                <c:pt idx="18">
                  <c:v>0</c:v>
                </c:pt>
                <c:pt idx="19">
                  <c:v>228</c:v>
                </c:pt>
                <c:pt idx="20">
                  <c:v>4196</c:v>
                </c:pt>
                <c:pt idx="21">
                  <c:v>104</c:v>
                </c:pt>
                <c:pt idx="22">
                  <c:v>228</c:v>
                </c:pt>
                <c:pt idx="23">
                  <c:v>0</c:v>
                </c:pt>
                <c:pt idx="24">
                  <c:v>4196</c:v>
                </c:pt>
                <c:pt idx="25">
                  <c:v>228</c:v>
                </c:pt>
                <c:pt idx="26">
                  <c:v>0</c:v>
                </c:pt>
                <c:pt idx="27">
                  <c:v>0</c:v>
                </c:pt>
                <c:pt idx="28">
                  <c:v>116</c:v>
                </c:pt>
                <c:pt idx="29">
                  <c:v>4196</c:v>
                </c:pt>
                <c:pt idx="30">
                  <c:v>228</c:v>
                </c:pt>
                <c:pt idx="31">
                  <c:v>0</c:v>
                </c:pt>
                <c:pt idx="32">
                  <c:v>0</c:v>
                </c:pt>
                <c:pt idx="33">
                  <c:v>116</c:v>
                </c:pt>
                <c:pt idx="34">
                  <c:v>4196</c:v>
                </c:pt>
                <c:pt idx="35">
                  <c:v>228</c:v>
                </c:pt>
                <c:pt idx="36">
                  <c:v>0</c:v>
                </c:pt>
                <c:pt idx="37">
                  <c:v>0</c:v>
                </c:pt>
                <c:pt idx="38">
                  <c:v>116</c:v>
                </c:pt>
                <c:pt idx="39">
                  <c:v>4196</c:v>
                </c:pt>
                <c:pt idx="40">
                  <c:v>228</c:v>
                </c:pt>
                <c:pt idx="41">
                  <c:v>0</c:v>
                </c:pt>
                <c:pt idx="42">
                  <c:v>0</c:v>
                </c:pt>
                <c:pt idx="43">
                  <c:v>116</c:v>
                </c:pt>
                <c:pt idx="44">
                  <c:v>4196</c:v>
                </c:pt>
                <c:pt idx="45">
                  <c:v>228</c:v>
                </c:pt>
                <c:pt idx="46">
                  <c:v>0</c:v>
                </c:pt>
                <c:pt idx="47">
                  <c:v>0</c:v>
                </c:pt>
                <c:pt idx="48">
                  <c:v>116</c:v>
                </c:pt>
                <c:pt idx="49">
                  <c:v>4196</c:v>
                </c:pt>
                <c:pt idx="50">
                  <c:v>228</c:v>
                </c:pt>
                <c:pt idx="51">
                  <c:v>0</c:v>
                </c:pt>
                <c:pt idx="52">
                  <c:v>0</c:v>
                </c:pt>
                <c:pt idx="53">
                  <c:v>116</c:v>
                </c:pt>
                <c:pt idx="54">
                  <c:v>4196</c:v>
                </c:pt>
                <c:pt idx="55">
                  <c:v>228</c:v>
                </c:pt>
                <c:pt idx="56">
                  <c:v>0</c:v>
                </c:pt>
                <c:pt idx="57">
                  <c:v>0</c:v>
                </c:pt>
                <c:pt idx="58">
                  <c:v>116</c:v>
                </c:pt>
                <c:pt idx="59">
                  <c:v>4196</c:v>
                </c:pt>
                <c:pt idx="60">
                  <c:v>228</c:v>
                </c:pt>
                <c:pt idx="61">
                  <c:v>0</c:v>
                </c:pt>
                <c:pt idx="62">
                  <c:v>0</c:v>
                </c:pt>
                <c:pt idx="63">
                  <c:v>116</c:v>
                </c:pt>
                <c:pt idx="64">
                  <c:v>4196</c:v>
                </c:pt>
                <c:pt idx="65">
                  <c:v>228</c:v>
                </c:pt>
                <c:pt idx="66">
                  <c:v>0</c:v>
                </c:pt>
                <c:pt idx="67">
                  <c:v>0</c:v>
                </c:pt>
                <c:pt idx="68">
                  <c:v>116</c:v>
                </c:pt>
                <c:pt idx="69">
                  <c:v>4196</c:v>
                </c:pt>
                <c:pt idx="70">
                  <c:v>228</c:v>
                </c:pt>
                <c:pt idx="71">
                  <c:v>0</c:v>
                </c:pt>
                <c:pt idx="72">
                  <c:v>0</c:v>
                </c:pt>
                <c:pt idx="73">
                  <c:v>116</c:v>
                </c:pt>
                <c:pt idx="74">
                  <c:v>4196</c:v>
                </c:pt>
                <c:pt idx="75">
                  <c:v>228</c:v>
                </c:pt>
                <c:pt idx="76">
                  <c:v>0</c:v>
                </c:pt>
                <c:pt idx="77">
                  <c:v>0</c:v>
                </c:pt>
                <c:pt idx="78">
                  <c:v>116</c:v>
                </c:pt>
                <c:pt idx="79">
                  <c:v>4196</c:v>
                </c:pt>
                <c:pt idx="80">
                  <c:v>228</c:v>
                </c:pt>
                <c:pt idx="81">
                  <c:v>0</c:v>
                </c:pt>
                <c:pt idx="82">
                  <c:v>0</c:v>
                </c:pt>
                <c:pt idx="83">
                  <c:v>116</c:v>
                </c:pt>
                <c:pt idx="84">
                  <c:v>4196</c:v>
                </c:pt>
                <c:pt idx="85">
                  <c:v>228</c:v>
                </c:pt>
                <c:pt idx="86">
                  <c:v>0</c:v>
                </c:pt>
                <c:pt idx="87">
                  <c:v>0</c:v>
                </c:pt>
                <c:pt idx="88">
                  <c:v>116</c:v>
                </c:pt>
                <c:pt idx="89">
                  <c:v>4196</c:v>
                </c:pt>
                <c:pt idx="90">
                  <c:v>228</c:v>
                </c:pt>
                <c:pt idx="91">
                  <c:v>0</c:v>
                </c:pt>
                <c:pt idx="92">
                  <c:v>0</c:v>
                </c:pt>
                <c:pt idx="93">
                  <c:v>116</c:v>
                </c:pt>
                <c:pt idx="94">
                  <c:v>4196</c:v>
                </c:pt>
                <c:pt idx="95">
                  <c:v>228</c:v>
                </c:pt>
                <c:pt idx="96">
                  <c:v>0</c:v>
                </c:pt>
                <c:pt idx="97">
                  <c:v>0</c:v>
                </c:pt>
                <c:pt idx="98">
                  <c:v>116</c:v>
                </c:pt>
                <c:pt idx="99">
                  <c:v>4196</c:v>
                </c:pt>
                <c:pt idx="100">
                  <c:v>228</c:v>
                </c:pt>
                <c:pt idx="101">
                  <c:v>0</c:v>
                </c:pt>
                <c:pt idx="102">
                  <c:v>0</c:v>
                </c:pt>
                <c:pt idx="103">
                  <c:v>116</c:v>
                </c:pt>
                <c:pt idx="104">
                  <c:v>4196</c:v>
                </c:pt>
                <c:pt idx="105">
                  <c:v>228</c:v>
                </c:pt>
                <c:pt idx="106">
                  <c:v>0</c:v>
                </c:pt>
                <c:pt idx="107">
                  <c:v>0</c:v>
                </c:pt>
                <c:pt idx="108">
                  <c:v>116</c:v>
                </c:pt>
                <c:pt idx="109">
                  <c:v>4196</c:v>
                </c:pt>
                <c:pt idx="110">
                  <c:v>228</c:v>
                </c:pt>
                <c:pt idx="111">
                  <c:v>0</c:v>
                </c:pt>
                <c:pt idx="112">
                  <c:v>0</c:v>
                </c:pt>
                <c:pt idx="113">
                  <c:v>116</c:v>
                </c:pt>
                <c:pt idx="114">
                  <c:v>4196</c:v>
                </c:pt>
                <c:pt idx="115">
                  <c:v>228</c:v>
                </c:pt>
                <c:pt idx="116">
                  <c:v>0</c:v>
                </c:pt>
                <c:pt idx="117">
                  <c:v>0</c:v>
                </c:pt>
                <c:pt idx="118">
                  <c:v>116</c:v>
                </c:pt>
                <c:pt idx="119">
                  <c:v>4196</c:v>
                </c:pt>
                <c:pt idx="120">
                  <c:v>228</c:v>
                </c:pt>
                <c:pt idx="121">
                  <c:v>0</c:v>
                </c:pt>
                <c:pt idx="122">
                  <c:v>0</c:v>
                </c:pt>
                <c:pt idx="123">
                  <c:v>116</c:v>
                </c:pt>
                <c:pt idx="124">
                  <c:v>4196</c:v>
                </c:pt>
                <c:pt idx="125">
                  <c:v>228</c:v>
                </c:pt>
                <c:pt idx="126">
                  <c:v>0</c:v>
                </c:pt>
                <c:pt idx="127">
                  <c:v>0</c:v>
                </c:pt>
                <c:pt idx="128">
                  <c:v>116</c:v>
                </c:pt>
                <c:pt idx="129">
                  <c:v>4196</c:v>
                </c:pt>
                <c:pt idx="130">
                  <c:v>228</c:v>
                </c:pt>
                <c:pt idx="131">
                  <c:v>0</c:v>
                </c:pt>
                <c:pt idx="132">
                  <c:v>0</c:v>
                </c:pt>
                <c:pt idx="133">
                  <c:v>116</c:v>
                </c:pt>
                <c:pt idx="134">
                  <c:v>4196</c:v>
                </c:pt>
                <c:pt idx="135">
                  <c:v>228</c:v>
                </c:pt>
                <c:pt idx="136">
                  <c:v>0</c:v>
                </c:pt>
                <c:pt idx="137">
                  <c:v>0</c:v>
                </c:pt>
                <c:pt idx="138">
                  <c:v>116</c:v>
                </c:pt>
                <c:pt idx="139">
                  <c:v>4196</c:v>
                </c:pt>
                <c:pt idx="140">
                  <c:v>228</c:v>
                </c:pt>
                <c:pt idx="141">
                  <c:v>0</c:v>
                </c:pt>
                <c:pt idx="142">
                  <c:v>0</c:v>
                </c:pt>
                <c:pt idx="143">
                  <c:v>116</c:v>
                </c:pt>
                <c:pt idx="144">
                  <c:v>4196</c:v>
                </c:pt>
                <c:pt idx="145">
                  <c:v>228</c:v>
                </c:pt>
                <c:pt idx="146">
                  <c:v>0</c:v>
                </c:pt>
                <c:pt idx="147">
                  <c:v>0</c:v>
                </c:pt>
                <c:pt idx="148">
                  <c:v>116</c:v>
                </c:pt>
                <c:pt idx="149">
                  <c:v>4196</c:v>
                </c:pt>
                <c:pt idx="150">
                  <c:v>228</c:v>
                </c:pt>
                <c:pt idx="151">
                  <c:v>0</c:v>
                </c:pt>
                <c:pt idx="152">
                  <c:v>0</c:v>
                </c:pt>
                <c:pt idx="153">
                  <c:v>116</c:v>
                </c:pt>
                <c:pt idx="154">
                  <c:v>4196</c:v>
                </c:pt>
                <c:pt idx="155">
                  <c:v>228</c:v>
                </c:pt>
                <c:pt idx="156">
                  <c:v>0</c:v>
                </c:pt>
                <c:pt idx="157">
                  <c:v>0</c:v>
                </c:pt>
                <c:pt idx="158">
                  <c:v>116</c:v>
                </c:pt>
                <c:pt idx="159">
                  <c:v>4196</c:v>
                </c:pt>
                <c:pt idx="160">
                  <c:v>228</c:v>
                </c:pt>
                <c:pt idx="161">
                  <c:v>0</c:v>
                </c:pt>
                <c:pt idx="162">
                  <c:v>0</c:v>
                </c:pt>
                <c:pt idx="163">
                  <c:v>116</c:v>
                </c:pt>
                <c:pt idx="164">
                  <c:v>4196</c:v>
                </c:pt>
                <c:pt idx="165">
                  <c:v>228</c:v>
                </c:pt>
                <c:pt idx="166">
                  <c:v>0</c:v>
                </c:pt>
                <c:pt idx="167">
                  <c:v>0</c:v>
                </c:pt>
                <c:pt idx="168">
                  <c:v>116</c:v>
                </c:pt>
                <c:pt idx="169">
                  <c:v>4196</c:v>
                </c:pt>
                <c:pt idx="170">
                  <c:v>228</c:v>
                </c:pt>
                <c:pt idx="171">
                  <c:v>0</c:v>
                </c:pt>
                <c:pt idx="172">
                  <c:v>0</c:v>
                </c:pt>
                <c:pt idx="173">
                  <c:v>116</c:v>
                </c:pt>
                <c:pt idx="174">
                  <c:v>4196</c:v>
                </c:pt>
                <c:pt idx="175">
                  <c:v>228</c:v>
                </c:pt>
                <c:pt idx="176">
                  <c:v>0</c:v>
                </c:pt>
                <c:pt idx="177">
                  <c:v>0</c:v>
                </c:pt>
                <c:pt idx="178">
                  <c:v>116</c:v>
                </c:pt>
                <c:pt idx="179">
                  <c:v>0</c:v>
                </c:pt>
                <c:pt idx="180">
                  <c:v>116</c:v>
                </c:pt>
                <c:pt idx="181">
                  <c:v>0</c:v>
                </c:pt>
                <c:pt idx="182">
                  <c:v>0</c:v>
                </c:pt>
                <c:pt idx="183">
                  <c:v>228</c:v>
                </c:pt>
                <c:pt idx="184">
                  <c:v>4196</c:v>
                </c:pt>
                <c:pt idx="185">
                  <c:v>104</c:v>
                </c:pt>
                <c:pt idx="186">
                  <c:v>228</c:v>
                </c:pt>
                <c:pt idx="187">
                  <c:v>0</c:v>
                </c:pt>
                <c:pt idx="188">
                  <c:v>4196</c:v>
                </c:pt>
                <c:pt idx="189">
                  <c:v>228</c:v>
                </c:pt>
                <c:pt idx="190">
                  <c:v>0</c:v>
                </c:pt>
                <c:pt idx="191">
                  <c:v>0</c:v>
                </c:pt>
                <c:pt idx="192">
                  <c:v>116</c:v>
                </c:pt>
                <c:pt idx="193">
                  <c:v>4196</c:v>
                </c:pt>
                <c:pt idx="194">
                  <c:v>228</c:v>
                </c:pt>
                <c:pt idx="195">
                  <c:v>0</c:v>
                </c:pt>
                <c:pt idx="196">
                  <c:v>0</c:v>
                </c:pt>
                <c:pt idx="197">
                  <c:v>116</c:v>
                </c:pt>
                <c:pt idx="198">
                  <c:v>4196</c:v>
                </c:pt>
                <c:pt idx="199">
                  <c:v>228</c:v>
                </c:pt>
                <c:pt idx="200">
                  <c:v>0</c:v>
                </c:pt>
                <c:pt idx="201">
                  <c:v>0</c:v>
                </c:pt>
                <c:pt idx="202">
                  <c:v>116</c:v>
                </c:pt>
                <c:pt idx="203">
                  <c:v>4196</c:v>
                </c:pt>
                <c:pt idx="204">
                  <c:v>228</c:v>
                </c:pt>
                <c:pt idx="205">
                  <c:v>0</c:v>
                </c:pt>
                <c:pt idx="206">
                  <c:v>0</c:v>
                </c:pt>
                <c:pt idx="207">
                  <c:v>116</c:v>
                </c:pt>
                <c:pt idx="208">
                  <c:v>4196</c:v>
                </c:pt>
                <c:pt idx="209">
                  <c:v>228</c:v>
                </c:pt>
                <c:pt idx="210">
                  <c:v>0</c:v>
                </c:pt>
                <c:pt idx="211">
                  <c:v>0</c:v>
                </c:pt>
                <c:pt idx="212">
                  <c:v>116</c:v>
                </c:pt>
                <c:pt idx="213">
                  <c:v>4196</c:v>
                </c:pt>
                <c:pt idx="214">
                  <c:v>228</c:v>
                </c:pt>
                <c:pt idx="215">
                  <c:v>0</c:v>
                </c:pt>
                <c:pt idx="216">
                  <c:v>0</c:v>
                </c:pt>
                <c:pt idx="217">
                  <c:v>116</c:v>
                </c:pt>
                <c:pt idx="218">
                  <c:v>4196</c:v>
                </c:pt>
                <c:pt idx="219">
                  <c:v>228</c:v>
                </c:pt>
                <c:pt idx="220">
                  <c:v>0</c:v>
                </c:pt>
                <c:pt idx="221">
                  <c:v>0</c:v>
                </c:pt>
                <c:pt idx="222">
                  <c:v>116</c:v>
                </c:pt>
                <c:pt idx="223">
                  <c:v>4196</c:v>
                </c:pt>
                <c:pt idx="224">
                  <c:v>228</c:v>
                </c:pt>
                <c:pt idx="225">
                  <c:v>0</c:v>
                </c:pt>
                <c:pt idx="226">
                  <c:v>0</c:v>
                </c:pt>
                <c:pt idx="227">
                  <c:v>116</c:v>
                </c:pt>
                <c:pt idx="228">
                  <c:v>4196</c:v>
                </c:pt>
                <c:pt idx="229">
                  <c:v>228</c:v>
                </c:pt>
                <c:pt idx="230">
                  <c:v>0</c:v>
                </c:pt>
                <c:pt idx="231">
                  <c:v>0</c:v>
                </c:pt>
                <c:pt idx="232">
                  <c:v>116</c:v>
                </c:pt>
                <c:pt idx="233">
                  <c:v>4196</c:v>
                </c:pt>
                <c:pt idx="234">
                  <c:v>228</c:v>
                </c:pt>
                <c:pt idx="235">
                  <c:v>0</c:v>
                </c:pt>
                <c:pt idx="236">
                  <c:v>0</c:v>
                </c:pt>
                <c:pt idx="237">
                  <c:v>116</c:v>
                </c:pt>
                <c:pt idx="238">
                  <c:v>4196</c:v>
                </c:pt>
                <c:pt idx="239">
                  <c:v>228</c:v>
                </c:pt>
                <c:pt idx="240">
                  <c:v>0</c:v>
                </c:pt>
                <c:pt idx="241">
                  <c:v>0</c:v>
                </c:pt>
                <c:pt idx="242">
                  <c:v>116</c:v>
                </c:pt>
                <c:pt idx="243">
                  <c:v>4196</c:v>
                </c:pt>
                <c:pt idx="244">
                  <c:v>228</c:v>
                </c:pt>
                <c:pt idx="245">
                  <c:v>0</c:v>
                </c:pt>
                <c:pt idx="246">
                  <c:v>0</c:v>
                </c:pt>
                <c:pt idx="247">
                  <c:v>116</c:v>
                </c:pt>
                <c:pt idx="248">
                  <c:v>4196</c:v>
                </c:pt>
                <c:pt idx="249">
                  <c:v>228</c:v>
                </c:pt>
                <c:pt idx="250">
                  <c:v>0</c:v>
                </c:pt>
                <c:pt idx="251">
                  <c:v>0</c:v>
                </c:pt>
                <c:pt idx="252">
                  <c:v>116</c:v>
                </c:pt>
                <c:pt idx="253">
                  <c:v>4196</c:v>
                </c:pt>
                <c:pt idx="254">
                  <c:v>228</c:v>
                </c:pt>
                <c:pt idx="255">
                  <c:v>0</c:v>
                </c:pt>
                <c:pt idx="256">
                  <c:v>0</c:v>
                </c:pt>
                <c:pt idx="257">
                  <c:v>116</c:v>
                </c:pt>
                <c:pt idx="258">
                  <c:v>4196</c:v>
                </c:pt>
                <c:pt idx="259">
                  <c:v>228</c:v>
                </c:pt>
                <c:pt idx="260">
                  <c:v>0</c:v>
                </c:pt>
                <c:pt idx="261">
                  <c:v>0</c:v>
                </c:pt>
                <c:pt idx="262">
                  <c:v>116</c:v>
                </c:pt>
                <c:pt idx="263">
                  <c:v>4196</c:v>
                </c:pt>
                <c:pt idx="264">
                  <c:v>228</c:v>
                </c:pt>
                <c:pt idx="265">
                  <c:v>0</c:v>
                </c:pt>
                <c:pt idx="266">
                  <c:v>0</c:v>
                </c:pt>
                <c:pt idx="267">
                  <c:v>116</c:v>
                </c:pt>
                <c:pt idx="268">
                  <c:v>4196</c:v>
                </c:pt>
                <c:pt idx="269">
                  <c:v>228</c:v>
                </c:pt>
                <c:pt idx="270">
                  <c:v>0</c:v>
                </c:pt>
                <c:pt idx="271">
                  <c:v>0</c:v>
                </c:pt>
                <c:pt idx="272">
                  <c:v>116</c:v>
                </c:pt>
                <c:pt idx="273">
                  <c:v>4196</c:v>
                </c:pt>
                <c:pt idx="274">
                  <c:v>228</c:v>
                </c:pt>
                <c:pt idx="275">
                  <c:v>0</c:v>
                </c:pt>
                <c:pt idx="276">
                  <c:v>0</c:v>
                </c:pt>
                <c:pt idx="277">
                  <c:v>116</c:v>
                </c:pt>
                <c:pt idx="278">
                  <c:v>4196</c:v>
                </c:pt>
                <c:pt idx="279">
                  <c:v>228</c:v>
                </c:pt>
                <c:pt idx="280">
                  <c:v>0</c:v>
                </c:pt>
                <c:pt idx="281">
                  <c:v>0</c:v>
                </c:pt>
                <c:pt idx="282">
                  <c:v>116</c:v>
                </c:pt>
                <c:pt idx="283">
                  <c:v>4196</c:v>
                </c:pt>
                <c:pt idx="284">
                  <c:v>228</c:v>
                </c:pt>
                <c:pt idx="285">
                  <c:v>0</c:v>
                </c:pt>
                <c:pt idx="286">
                  <c:v>0</c:v>
                </c:pt>
                <c:pt idx="287">
                  <c:v>116</c:v>
                </c:pt>
                <c:pt idx="288">
                  <c:v>4196</c:v>
                </c:pt>
                <c:pt idx="289">
                  <c:v>228</c:v>
                </c:pt>
                <c:pt idx="290">
                  <c:v>0</c:v>
                </c:pt>
                <c:pt idx="291">
                  <c:v>0</c:v>
                </c:pt>
                <c:pt idx="292">
                  <c:v>116</c:v>
                </c:pt>
                <c:pt idx="293">
                  <c:v>4196</c:v>
                </c:pt>
                <c:pt idx="294">
                  <c:v>228</c:v>
                </c:pt>
                <c:pt idx="295">
                  <c:v>0</c:v>
                </c:pt>
                <c:pt idx="296">
                  <c:v>0</c:v>
                </c:pt>
                <c:pt idx="297">
                  <c:v>116</c:v>
                </c:pt>
                <c:pt idx="298">
                  <c:v>4196</c:v>
                </c:pt>
                <c:pt idx="299">
                  <c:v>228</c:v>
                </c:pt>
                <c:pt idx="300">
                  <c:v>0</c:v>
                </c:pt>
                <c:pt idx="301">
                  <c:v>0</c:v>
                </c:pt>
                <c:pt idx="302">
                  <c:v>116</c:v>
                </c:pt>
                <c:pt idx="303">
                  <c:v>4196</c:v>
                </c:pt>
                <c:pt idx="304">
                  <c:v>228</c:v>
                </c:pt>
                <c:pt idx="305">
                  <c:v>0</c:v>
                </c:pt>
                <c:pt idx="306">
                  <c:v>0</c:v>
                </c:pt>
                <c:pt idx="307">
                  <c:v>116</c:v>
                </c:pt>
                <c:pt idx="308">
                  <c:v>4196</c:v>
                </c:pt>
                <c:pt idx="309">
                  <c:v>228</c:v>
                </c:pt>
                <c:pt idx="310">
                  <c:v>0</c:v>
                </c:pt>
                <c:pt idx="311">
                  <c:v>0</c:v>
                </c:pt>
                <c:pt idx="312">
                  <c:v>116</c:v>
                </c:pt>
                <c:pt idx="313">
                  <c:v>4196</c:v>
                </c:pt>
                <c:pt idx="314">
                  <c:v>228</c:v>
                </c:pt>
                <c:pt idx="315">
                  <c:v>0</c:v>
                </c:pt>
                <c:pt idx="316">
                  <c:v>0</c:v>
                </c:pt>
                <c:pt idx="317">
                  <c:v>116</c:v>
                </c:pt>
                <c:pt idx="318">
                  <c:v>4196</c:v>
                </c:pt>
                <c:pt idx="319">
                  <c:v>228</c:v>
                </c:pt>
                <c:pt idx="320">
                  <c:v>0</c:v>
                </c:pt>
                <c:pt idx="321">
                  <c:v>0</c:v>
                </c:pt>
                <c:pt idx="322">
                  <c:v>116</c:v>
                </c:pt>
                <c:pt idx="323">
                  <c:v>4196</c:v>
                </c:pt>
                <c:pt idx="324">
                  <c:v>228</c:v>
                </c:pt>
                <c:pt idx="325">
                  <c:v>0</c:v>
                </c:pt>
                <c:pt idx="326">
                  <c:v>0</c:v>
                </c:pt>
                <c:pt idx="327">
                  <c:v>116</c:v>
                </c:pt>
                <c:pt idx="328">
                  <c:v>4196</c:v>
                </c:pt>
                <c:pt idx="329">
                  <c:v>228</c:v>
                </c:pt>
                <c:pt idx="330">
                  <c:v>0</c:v>
                </c:pt>
                <c:pt idx="331">
                  <c:v>0</c:v>
                </c:pt>
                <c:pt idx="332">
                  <c:v>116</c:v>
                </c:pt>
                <c:pt idx="333">
                  <c:v>4196</c:v>
                </c:pt>
                <c:pt idx="334">
                  <c:v>228</c:v>
                </c:pt>
                <c:pt idx="335">
                  <c:v>0</c:v>
                </c:pt>
                <c:pt idx="336">
                  <c:v>0</c:v>
                </c:pt>
                <c:pt idx="337">
                  <c:v>116</c:v>
                </c:pt>
                <c:pt idx="338">
                  <c:v>4196</c:v>
                </c:pt>
                <c:pt idx="339">
                  <c:v>228</c:v>
                </c:pt>
                <c:pt idx="340">
                  <c:v>0</c:v>
                </c:pt>
                <c:pt idx="341">
                  <c:v>0</c:v>
                </c:pt>
                <c:pt idx="342">
                  <c:v>116</c:v>
                </c:pt>
                <c:pt idx="343">
                  <c:v>0</c:v>
                </c:pt>
                <c:pt idx="344">
                  <c:v>116</c:v>
                </c:pt>
                <c:pt idx="345">
                  <c:v>0</c:v>
                </c:pt>
                <c:pt idx="346">
                  <c:v>0</c:v>
                </c:pt>
                <c:pt idx="347">
                  <c:v>228</c:v>
                </c:pt>
                <c:pt idx="348">
                  <c:v>4196</c:v>
                </c:pt>
                <c:pt idx="349">
                  <c:v>104</c:v>
                </c:pt>
                <c:pt idx="350">
                  <c:v>228</c:v>
                </c:pt>
                <c:pt idx="351">
                  <c:v>0</c:v>
                </c:pt>
                <c:pt idx="352">
                  <c:v>4196</c:v>
                </c:pt>
                <c:pt idx="353">
                  <c:v>228</c:v>
                </c:pt>
                <c:pt idx="354">
                  <c:v>0</c:v>
                </c:pt>
                <c:pt idx="355">
                  <c:v>0</c:v>
                </c:pt>
                <c:pt idx="356">
                  <c:v>116</c:v>
                </c:pt>
                <c:pt idx="357">
                  <c:v>4196</c:v>
                </c:pt>
                <c:pt idx="358">
                  <c:v>228</c:v>
                </c:pt>
                <c:pt idx="359">
                  <c:v>0</c:v>
                </c:pt>
                <c:pt idx="360">
                  <c:v>0</c:v>
                </c:pt>
                <c:pt idx="361">
                  <c:v>116</c:v>
                </c:pt>
                <c:pt idx="362">
                  <c:v>4196</c:v>
                </c:pt>
                <c:pt idx="363">
                  <c:v>228</c:v>
                </c:pt>
                <c:pt idx="364">
                  <c:v>0</c:v>
                </c:pt>
                <c:pt idx="365">
                  <c:v>0</c:v>
                </c:pt>
                <c:pt idx="366">
                  <c:v>116</c:v>
                </c:pt>
                <c:pt idx="367">
                  <c:v>4196</c:v>
                </c:pt>
                <c:pt idx="368">
                  <c:v>228</c:v>
                </c:pt>
                <c:pt idx="369">
                  <c:v>0</c:v>
                </c:pt>
                <c:pt idx="370">
                  <c:v>0</c:v>
                </c:pt>
                <c:pt idx="371">
                  <c:v>116</c:v>
                </c:pt>
                <c:pt idx="372">
                  <c:v>4196</c:v>
                </c:pt>
                <c:pt idx="373">
                  <c:v>228</c:v>
                </c:pt>
                <c:pt idx="374">
                  <c:v>0</c:v>
                </c:pt>
                <c:pt idx="375">
                  <c:v>0</c:v>
                </c:pt>
                <c:pt idx="376">
                  <c:v>116</c:v>
                </c:pt>
                <c:pt idx="377">
                  <c:v>4196</c:v>
                </c:pt>
                <c:pt idx="378">
                  <c:v>228</c:v>
                </c:pt>
                <c:pt idx="379">
                  <c:v>0</c:v>
                </c:pt>
                <c:pt idx="380">
                  <c:v>0</c:v>
                </c:pt>
                <c:pt idx="381">
                  <c:v>116</c:v>
                </c:pt>
                <c:pt idx="382">
                  <c:v>4196</c:v>
                </c:pt>
                <c:pt idx="383">
                  <c:v>228</c:v>
                </c:pt>
                <c:pt idx="384">
                  <c:v>0</c:v>
                </c:pt>
                <c:pt idx="385">
                  <c:v>0</c:v>
                </c:pt>
                <c:pt idx="386">
                  <c:v>116</c:v>
                </c:pt>
                <c:pt idx="387">
                  <c:v>4196</c:v>
                </c:pt>
                <c:pt idx="388">
                  <c:v>228</c:v>
                </c:pt>
                <c:pt idx="389">
                  <c:v>0</c:v>
                </c:pt>
                <c:pt idx="390">
                  <c:v>0</c:v>
                </c:pt>
                <c:pt idx="391">
                  <c:v>116</c:v>
                </c:pt>
                <c:pt idx="392">
                  <c:v>4196</c:v>
                </c:pt>
                <c:pt idx="393">
                  <c:v>228</c:v>
                </c:pt>
                <c:pt idx="394">
                  <c:v>0</c:v>
                </c:pt>
                <c:pt idx="395">
                  <c:v>0</c:v>
                </c:pt>
                <c:pt idx="396">
                  <c:v>116</c:v>
                </c:pt>
                <c:pt idx="397">
                  <c:v>4196</c:v>
                </c:pt>
                <c:pt idx="398">
                  <c:v>228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Events!$B$31:$B$35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Events!$G$31:$G$35</c:f>
              <c:numCache>
                <c:formatCode>General</c:formatCode>
                <c:ptCount val="5"/>
                <c:pt idx="0">
                  <c:v>23949</c:v>
                </c:pt>
                <c:pt idx="1">
                  <c:v>28145</c:v>
                </c:pt>
                <c:pt idx="2">
                  <c:v>32286</c:v>
                </c:pt>
                <c:pt idx="3">
                  <c:v>23833</c:v>
                </c:pt>
                <c:pt idx="4">
                  <c:v>32286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Events!$B$31:$B$35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Events!$J$31:$J$35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Events!$B$31:$B$35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Events!$K$31:$K$35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116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8192</v>
      </c>
      <c r="G2">
        <f>CEILING(F2/oc_unroll,1)</f>
        <v>128</v>
      </c>
      <c r="H2" s="2">
        <v>0.4</v>
      </c>
      <c r="I2">
        <f>CEILING(G2/H2,1)</f>
        <v>320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16384</v>
      </c>
      <c r="G3">
        <f>CEILING(F3/oc_unroll,1)</f>
        <v>256</v>
      </c>
      <c r="H3" s="2">
        <v>0.0303030303030303</v>
      </c>
      <c r="I3">
        <f>CEILING(G3/H3,1)</f>
        <v>8448</v>
      </c>
    </row>
    <row r="4" spans="1:9">
      <c r="A4" t="s">
        <v>21</v>
      </c>
      <c r="B4" t="s">
        <v>22</v>
      </c>
      <c r="C4" t="s">
        <v>20</v>
      </c>
      <c r="D4" t="s">
        <v>23</v>
      </c>
      <c r="E4" t="s">
        <v>24</v>
      </c>
      <c r="F4">
        <v>2097152</v>
      </c>
      <c r="G4">
        <f>CEILING(F4/(ic_unroll*oc_unroll),1)</f>
        <v>512</v>
      </c>
      <c r="H4" s="2">
        <v>0.06057200319422673</v>
      </c>
      <c r="I4">
        <f>CEILING(G4/H4,1)</f>
        <v>8453</v>
      </c>
    </row>
    <row r="5" spans="1:9">
      <c r="A5" t="s">
        <v>25</v>
      </c>
      <c r="B5" t="s">
        <v>22</v>
      </c>
      <c r="C5" t="s">
        <v>20</v>
      </c>
      <c r="D5" t="s">
        <v>23</v>
      </c>
      <c r="E5" t="s">
        <v>24</v>
      </c>
      <c r="F5">
        <v>2097152</v>
      </c>
      <c r="G5">
        <f>CEILING(F5/(ic_unroll*oc_unroll),1)</f>
        <v>512</v>
      </c>
      <c r="H5" s="2">
        <v>0.06057200319422673</v>
      </c>
      <c r="I5">
        <f>CEILING(G5/H5,1)</f>
        <v>8453</v>
      </c>
    </row>
    <row r="6" spans="1:9">
      <c r="A6" t="s">
        <v>26</v>
      </c>
      <c r="B6" t="s">
        <v>22</v>
      </c>
      <c r="C6" t="s">
        <v>20</v>
      </c>
      <c r="D6" t="s">
        <v>23</v>
      </c>
      <c r="E6" t="s">
        <v>24</v>
      </c>
      <c r="F6">
        <v>2097152</v>
      </c>
      <c r="G6">
        <f>CEILING(F6/(ic_unroll*oc_unroll),1)</f>
        <v>512</v>
      </c>
      <c r="H6" s="2">
        <v>0.06057200319422673</v>
      </c>
      <c r="I6">
        <f>CEILING(G6/H6,1)</f>
        <v>8453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4096</v>
      </c>
      <c r="G7">
        <f>CEILING(F7/oc_unroll,1)</f>
        <v>64</v>
      </c>
      <c r="H7" s="2">
        <v>0.3333333333333333</v>
      </c>
      <c r="I7">
        <f>CEILING(G7/H7,1)</f>
        <v>192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8192</v>
      </c>
      <c r="G8">
        <f>CEILING(F8/oc_unroll,1)</f>
        <v>128</v>
      </c>
      <c r="H8" s="2">
        <v>0.4</v>
      </c>
      <c r="I8">
        <f>CEILING(G8/H8,1)</f>
        <v>320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8192</v>
      </c>
      <c r="G9">
        <f>CEILING(F9/oc_unroll,1)</f>
        <v>128</v>
      </c>
      <c r="H9" s="2">
        <v>0.4</v>
      </c>
      <c r="I9">
        <f>CEILING(G9/H9,1)</f>
        <v>320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4096</v>
      </c>
      <c r="G10">
        <f>CEILING(F10/oc_unroll,1)</f>
        <v>64</v>
      </c>
      <c r="H10" s="2">
        <v>0.3333333333333333</v>
      </c>
      <c r="I10">
        <f>CEILING(G10/H10,1)</f>
        <v>192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8192</v>
      </c>
      <c r="G11">
        <f>CEILING(F11/oc_unroll,1)</f>
        <v>128</v>
      </c>
      <c r="H11" s="2">
        <v>0.4</v>
      </c>
      <c r="I11">
        <f>CEILING(G11/H11,1)</f>
        <v>320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8192</v>
      </c>
      <c r="G12">
        <f>CEILING(F12/oc_unroll,1)</f>
        <v>128</v>
      </c>
      <c r="H12" s="2">
        <v>0.4</v>
      </c>
      <c r="I12">
        <f>CEILING(G12/H12,1)</f>
        <v>320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37</v>
      </c>
      <c r="B14" t="s">
        <v>22</v>
      </c>
      <c r="C14" t="s">
        <v>38</v>
      </c>
      <c r="D14" t="s">
        <v>39</v>
      </c>
      <c r="E14" t="s">
        <v>40</v>
      </c>
      <c r="F14">
        <v>327680</v>
      </c>
      <c r="G14">
        <f>CEILING(F14/(ic_unroll*oc_unroll),1)</f>
        <v>80</v>
      </c>
      <c r="H14" s="2">
        <v>0.05509641873278237</v>
      </c>
      <c r="I14">
        <f>CEILING(G14/H14,1)</f>
        <v>1452</v>
      </c>
    </row>
    <row r="15" spans="1:9">
      <c r="A15" t="s">
        <v>41</v>
      </c>
      <c r="B15" t="s">
        <v>17</v>
      </c>
      <c r="C15" t="s">
        <v>42</v>
      </c>
      <c r="E15" t="s">
        <v>42</v>
      </c>
      <c r="F15">
        <v>20480</v>
      </c>
      <c r="G15">
        <f>CEILING(F15/oc_unroll,1)</f>
        <v>320</v>
      </c>
      <c r="H15" s="2">
        <v>0.1515151515151515</v>
      </c>
      <c r="I15">
        <f>CEILING(G15/H15,1)</f>
        <v>2112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4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22</v>
      </c>
      <c r="C18" t="s">
        <v>38</v>
      </c>
      <c r="D18" t="s">
        <v>48</v>
      </c>
      <c r="E18" t="s">
        <v>38</v>
      </c>
      <c r="F18">
        <v>65536</v>
      </c>
      <c r="G18">
        <f>CEILING(F18/(ic_unroll*oc_unroll),1)</f>
        <v>16</v>
      </c>
      <c r="H18" s="2">
        <v>0.04</v>
      </c>
      <c r="I18">
        <f>CEILING(G18/H18,1)</f>
        <v>400</v>
      </c>
    </row>
    <row r="19" spans="1:9">
      <c r="A19" t="s">
        <v>49</v>
      </c>
      <c r="B19" t="s">
        <v>22</v>
      </c>
      <c r="C19" t="s">
        <v>50</v>
      </c>
      <c r="D19" t="s">
        <v>51</v>
      </c>
      <c r="E19" t="s">
        <v>38</v>
      </c>
      <c r="F19">
        <v>262144</v>
      </c>
      <c r="G19">
        <f>CEILING(F19/(ic_unroll*oc_unroll),1)</f>
        <v>64</v>
      </c>
      <c r="H19" s="2">
        <v>0.05342237061769616</v>
      </c>
      <c r="I19">
        <f>CEILING(G19/H19,1)</f>
        <v>1198</v>
      </c>
    </row>
    <row r="20" spans="1:9">
      <c r="A20" t="s">
        <v>52</v>
      </c>
      <c r="B20" t="s">
        <v>22</v>
      </c>
      <c r="C20" t="s">
        <v>20</v>
      </c>
      <c r="D20" t="s">
        <v>23</v>
      </c>
      <c r="E20" t="s">
        <v>24</v>
      </c>
      <c r="F20">
        <v>2097152</v>
      </c>
      <c r="G20">
        <f>CEILING(F20/(ic_unroll*oc_unroll),1)</f>
        <v>512</v>
      </c>
      <c r="H20" s="2">
        <v>0.06057200319422673</v>
      </c>
      <c r="I20">
        <f>CEILING(G20/H20,1)</f>
        <v>8453</v>
      </c>
    </row>
    <row r="21" spans="1:9">
      <c r="A21" t="s">
        <v>53</v>
      </c>
      <c r="B21" t="s">
        <v>17</v>
      </c>
      <c r="C21" t="s">
        <v>18</v>
      </c>
      <c r="E21" t="s">
        <v>18</v>
      </c>
      <c r="F21">
        <v>8192</v>
      </c>
      <c r="G21">
        <f>CEILING(F21/oc_unroll,1)</f>
        <v>128</v>
      </c>
      <c r="H21" s="2">
        <v>0.4</v>
      </c>
      <c r="I21">
        <f>CEILING(G21/H21,1)</f>
        <v>320</v>
      </c>
    </row>
    <row r="22" spans="1:9">
      <c r="A22" t="s">
        <v>54</v>
      </c>
      <c r="B22" t="s">
        <v>17</v>
      </c>
      <c r="C22" t="s">
        <v>20</v>
      </c>
      <c r="E22" t="s">
        <v>20</v>
      </c>
      <c r="F22">
        <v>16384</v>
      </c>
      <c r="G22">
        <f>CEILING(F22/oc_unroll,1)</f>
        <v>256</v>
      </c>
      <c r="H22" s="2">
        <v>0.0303030303030303</v>
      </c>
      <c r="I22">
        <f>CEILING(G22/H22,1)</f>
        <v>8448</v>
      </c>
    </row>
    <row r="23" spans="1:9">
      <c r="A23" t="s">
        <v>55</v>
      </c>
      <c r="B23" t="s">
        <v>22</v>
      </c>
      <c r="C23" t="s">
        <v>20</v>
      </c>
      <c r="D23" t="s">
        <v>56</v>
      </c>
      <c r="E23" t="s">
        <v>57</v>
      </c>
      <c r="F23">
        <v>4194304</v>
      </c>
      <c r="G23">
        <f>CEILING(F23/(ic_unroll*oc_unroll),1)</f>
        <v>1024</v>
      </c>
      <c r="H23" s="2">
        <v>0.06059121570483799</v>
      </c>
      <c r="I23">
        <f>CEILING(G23/H23,1)</f>
        <v>16901</v>
      </c>
    </row>
    <row r="24" spans="1:9">
      <c r="A24" t="s">
        <v>58</v>
      </c>
      <c r="B24" t="s">
        <v>22</v>
      </c>
      <c r="C24" t="s">
        <v>20</v>
      </c>
      <c r="D24" t="s">
        <v>56</v>
      </c>
      <c r="E24" t="s">
        <v>57</v>
      </c>
      <c r="F24">
        <v>4194304</v>
      </c>
      <c r="G24">
        <f>CEILING(F24/(ic_unroll*oc_unroll),1)</f>
        <v>1024</v>
      </c>
      <c r="H24" s="2">
        <v>0.06059121570483799</v>
      </c>
      <c r="I24">
        <f>CEILING(G24/H24,1)</f>
        <v>16901</v>
      </c>
    </row>
    <row r="25" spans="1:9">
      <c r="A25" t="s">
        <v>59</v>
      </c>
      <c r="B25" t="s">
        <v>22</v>
      </c>
      <c r="C25" t="s">
        <v>57</v>
      </c>
      <c r="D25" t="s">
        <v>60</v>
      </c>
      <c r="E25" t="s">
        <v>61</v>
      </c>
      <c r="F25">
        <v>2097152</v>
      </c>
      <c r="G25">
        <f>CEILING(F25/(ic_unroll*oc_unroll),1)</f>
        <v>512</v>
      </c>
      <c r="H25" s="2">
        <v>0.06058237893705663</v>
      </c>
      <c r="I25">
        <f>CEILING(G25/H25,1)</f>
        <v>8452</v>
      </c>
    </row>
    <row r="26" spans="1:9">
      <c r="A26" t="s">
        <v>62</v>
      </c>
      <c r="B26" t="s">
        <v>22</v>
      </c>
      <c r="C26" t="s">
        <v>57</v>
      </c>
      <c r="D26" t="s">
        <v>60</v>
      </c>
      <c r="E26" t="s">
        <v>61</v>
      </c>
      <c r="F26">
        <v>2097152</v>
      </c>
      <c r="G26">
        <f>CEILING(F26/(ic_unroll*oc_unroll),1)</f>
        <v>512</v>
      </c>
      <c r="H26" s="2">
        <v>0.06058237893705663</v>
      </c>
      <c r="I26">
        <f>CEILING(G26/H26,1)</f>
        <v>8452</v>
      </c>
    </row>
    <row r="27" spans="1:9">
      <c r="A27" t="s">
        <v>63</v>
      </c>
      <c r="B27" t="s">
        <v>22</v>
      </c>
      <c r="C27" t="s">
        <v>57</v>
      </c>
      <c r="D27" t="s">
        <v>60</v>
      </c>
      <c r="E27" t="s">
        <v>61</v>
      </c>
      <c r="F27">
        <v>2097152</v>
      </c>
      <c r="G27">
        <f>CEILING(F27/(ic_unroll*oc_unroll),1)</f>
        <v>512</v>
      </c>
      <c r="H27" s="2">
        <v>0.06058237893705663</v>
      </c>
      <c r="I27">
        <f>CEILING(G27/H27,1)</f>
        <v>8452</v>
      </c>
    </row>
    <row r="28" spans="1:9">
      <c r="A28" t="s">
        <v>64</v>
      </c>
      <c r="B28" t="s">
        <v>17</v>
      </c>
      <c r="C28" t="s">
        <v>61</v>
      </c>
      <c r="E28" t="s">
        <v>61</v>
      </c>
      <c r="F28">
        <v>8192</v>
      </c>
      <c r="G28">
        <f>CEILING(F28/oc_unroll,1)</f>
        <v>128</v>
      </c>
      <c r="H28" s="2">
        <v>0.4</v>
      </c>
      <c r="I28">
        <f>CEILING(G28/H28,1)</f>
        <v>320</v>
      </c>
    </row>
    <row r="29" spans="1:9">
      <c r="A29" t="s">
        <v>65</v>
      </c>
      <c r="B29" t="s">
        <v>22</v>
      </c>
      <c r="C29" t="s">
        <v>66</v>
      </c>
      <c r="D29" t="s">
        <v>67</v>
      </c>
      <c r="E29" t="s">
        <v>68</v>
      </c>
      <c r="F29">
        <v>10485760</v>
      </c>
      <c r="G29">
        <f>CEILING(F29/(ic_unroll*oc_unroll),1)</f>
        <v>2560</v>
      </c>
      <c r="H29" s="2">
        <v>0.06059995852690338</v>
      </c>
      <c r="I29">
        <f>CEILING(G29/H29,1)</f>
        <v>42245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99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16384</v>
      </c>
      <c r="G2">
        <f>0</f>
        <v>0</v>
      </c>
      <c r="H2">
        <f>CEILING((dram_access_latency+F2/dram_bandwidth)*frequency,1)</f>
        <v>356</v>
      </c>
      <c r="I2">
        <f>G2+H2</f>
        <v>356</v>
      </c>
      <c r="J2">
        <f>IF(AND(D2&lt;&gt;"dram",D2&lt;&gt;"control"),H2,0)</f>
        <v>0</v>
      </c>
      <c r="K2">
        <f>IF(D2="dram",H2,0)</f>
        <v>356</v>
      </c>
      <c r="L2">
        <v>16384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16384</v>
      </c>
      <c r="G3">
        <f>MAX(I2)</f>
        <v>356</v>
      </c>
      <c r="H3">
        <f>CEILING((dram_access_latency+F3/dram_bandwidth)*frequency,1)</f>
        <v>356</v>
      </c>
      <c r="I3">
        <f>G3+H3</f>
        <v>712</v>
      </c>
      <c r="J3">
        <f>IF(AND(D3&lt;&gt;"dram",D3&lt;&gt;"control"),H3,0)</f>
        <v>0</v>
      </c>
      <c r="K3">
        <f>IF(D3="dram",H3,0)</f>
        <v>356</v>
      </c>
      <c r="L3">
        <v>16384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356</v>
      </c>
      <c r="I4">
        <f>G4+H4</f>
        <v>356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356</v>
      </c>
      <c r="H5">
        <f>'Operations'!I2</f>
        <v>320</v>
      </c>
      <c r="I5">
        <f>G5+H5</f>
        <v>676</v>
      </c>
      <c r="J5">
        <f>IF(AND(D5&lt;&gt;"dram",D5&lt;&gt;"control"),H5,0)</f>
        <v>320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8192</v>
      </c>
      <c r="G6">
        <f>MAX(I5,I3)</f>
        <v>712</v>
      </c>
      <c r="H6">
        <f>CEILING((dram_access_latency+F6/dram_bandwidth)*frequency,1)</f>
        <v>228</v>
      </c>
      <c r="I6">
        <f>G6+H6</f>
        <v>940</v>
      </c>
      <c r="J6">
        <f>IF(AND(D6&lt;&gt;"dram",D6&lt;&gt;"control"),H6,0)</f>
        <v>0</v>
      </c>
      <c r="K6">
        <f>IF(D6="dram",H6,0)</f>
        <v>228</v>
      </c>
      <c r="L6">
        <v>0</v>
      </c>
      <c r="M6">
        <v>8192</v>
      </c>
    </row>
    <row r="7" spans="1:13">
      <c r="A7">
        <v>5</v>
      </c>
      <c r="B7" t="s">
        <v>87</v>
      </c>
      <c r="C7" t="s">
        <v>88</v>
      </c>
      <c r="D7" t="s">
        <v>89</v>
      </c>
      <c r="E7" t="s">
        <v>93</v>
      </c>
      <c r="F7">
        <v>0</v>
      </c>
      <c r="G7">
        <f>MAX(I5,I3)</f>
        <v>676</v>
      </c>
      <c r="H7">
        <f>0</f>
        <v>36</v>
      </c>
      <c r="I7">
        <f>G7+H7</f>
        <v>712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90</v>
      </c>
      <c r="D8" t="s">
        <v>17</v>
      </c>
      <c r="E8" t="s">
        <v>93</v>
      </c>
      <c r="F8">
        <v>0</v>
      </c>
      <c r="G8">
        <f>MAX(I7,I5)</f>
        <v>712</v>
      </c>
      <c r="H8">
        <f>'Operations'!I2</f>
        <v>320</v>
      </c>
      <c r="I8">
        <f>G8+H8</f>
        <v>1032</v>
      </c>
      <c r="J8">
        <f>IF(AND(D8&lt;&gt;"dram",D8&lt;&gt;"control"),H8,0)</f>
        <v>320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91</v>
      </c>
      <c r="C9" t="s">
        <v>92</v>
      </c>
      <c r="D9" t="s">
        <v>83</v>
      </c>
      <c r="E9" t="s">
        <v>93</v>
      </c>
      <c r="F9">
        <v>8192</v>
      </c>
      <c r="G9">
        <f>MAX(I8,I6)</f>
        <v>1032</v>
      </c>
      <c r="H9">
        <f>CEILING((dram_access_latency+F9/dram_bandwidth)*frequency,1)</f>
        <v>228</v>
      </c>
      <c r="I9">
        <f>G9+H9</f>
        <v>1260</v>
      </c>
      <c r="J9">
        <f>IF(AND(D9&lt;&gt;"dram",D9&lt;&gt;"control"),H9,0)</f>
        <v>0</v>
      </c>
      <c r="K9">
        <f>IF(D9="dram",H9,0)</f>
        <v>228</v>
      </c>
      <c r="L9">
        <v>0</v>
      </c>
      <c r="M9">
        <v>8192</v>
      </c>
    </row>
    <row r="10" spans="1:13">
      <c r="A10">
        <v>8</v>
      </c>
      <c r="B10" t="s">
        <v>94</v>
      </c>
      <c r="C10" t="s">
        <v>88</v>
      </c>
      <c r="D10" t="s">
        <v>89</v>
      </c>
      <c r="E10" t="s">
        <v>84</v>
      </c>
      <c r="F10">
        <v>0</v>
      </c>
      <c r="G10">
        <f>MAX(I8,I6)</f>
        <v>1032</v>
      </c>
      <c r="H10">
        <f>0</f>
        <v>0</v>
      </c>
      <c r="I10">
        <f>G10+H10</f>
        <v>1032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95</v>
      </c>
      <c r="C11" t="s">
        <v>88</v>
      </c>
      <c r="D11" t="s">
        <v>89</v>
      </c>
      <c r="E11" t="s">
        <v>84</v>
      </c>
      <c r="F11">
        <v>0</v>
      </c>
      <c r="G11">
        <f>MAX(I10,I9)</f>
        <v>1032</v>
      </c>
      <c r="H11">
        <f>0</f>
        <v>228</v>
      </c>
      <c r="I11">
        <f>G11+H11</f>
        <v>1260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96</v>
      </c>
      <c r="C12" t="s">
        <v>82</v>
      </c>
      <c r="D12" t="s">
        <v>83</v>
      </c>
      <c r="E12" t="s">
        <v>84</v>
      </c>
      <c r="F12">
        <v>16384</v>
      </c>
      <c r="G12">
        <f>MAX(I11,I9)</f>
        <v>1260</v>
      </c>
      <c r="H12">
        <f>CEILING((dram_access_latency+F12/dram_bandwidth)*frequency,1)</f>
        <v>356</v>
      </c>
      <c r="I12">
        <f>G12+H12</f>
        <v>1616</v>
      </c>
      <c r="J12">
        <f>IF(AND(D12&lt;&gt;"dram",D12&lt;&gt;"control"),H12,0)</f>
        <v>0</v>
      </c>
      <c r="K12">
        <f>IF(D12="dram",H12,0)</f>
        <v>356</v>
      </c>
      <c r="L12">
        <v>16384</v>
      </c>
      <c r="M12">
        <v>0</v>
      </c>
    </row>
    <row r="13" spans="1:13">
      <c r="A13">
        <v>11</v>
      </c>
      <c r="B13" t="s">
        <v>97</v>
      </c>
      <c r="C13" t="s">
        <v>82</v>
      </c>
      <c r="D13" t="s">
        <v>83</v>
      </c>
      <c r="E13" t="s">
        <v>84</v>
      </c>
      <c r="F13">
        <v>8192</v>
      </c>
      <c r="G13">
        <f>MAX(I11,I12)</f>
        <v>1616</v>
      </c>
      <c r="H13">
        <f>CEILING((dram_access_latency+F13/dram_bandwidth)*frequency,1)</f>
        <v>228</v>
      </c>
      <c r="I13">
        <f>G13+H13</f>
        <v>1844</v>
      </c>
      <c r="J13">
        <f>IF(AND(D13&lt;&gt;"dram",D13&lt;&gt;"control"),H13,0)</f>
        <v>0</v>
      </c>
      <c r="K13">
        <f>IF(D13="dram",H13,0)</f>
        <v>228</v>
      </c>
      <c r="L13">
        <v>8192</v>
      </c>
      <c r="M13">
        <v>0</v>
      </c>
    </row>
    <row r="14" spans="1:13">
      <c r="A14">
        <v>12</v>
      </c>
      <c r="B14" t="s">
        <v>98</v>
      </c>
      <c r="C14" t="s">
        <v>88</v>
      </c>
      <c r="D14" t="s">
        <v>89</v>
      </c>
      <c r="E14" t="s">
        <v>86</v>
      </c>
      <c r="F14">
        <v>0</v>
      </c>
      <c r="G14">
        <f>MAX(I11,I12)</f>
        <v>1260</v>
      </c>
      <c r="H14">
        <f>0</f>
        <v>356</v>
      </c>
      <c r="I14">
        <f>G14+H14</f>
        <v>1616</v>
      </c>
      <c r="J14">
        <f>IF(AND(D14&lt;&gt;"dram",D14&lt;&gt;"control"),H14,0)</f>
        <v>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99</v>
      </c>
      <c r="C15" t="s">
        <v>88</v>
      </c>
      <c r="D15" t="s">
        <v>89</v>
      </c>
      <c r="E15" t="s">
        <v>86</v>
      </c>
      <c r="F15">
        <v>0</v>
      </c>
      <c r="G15">
        <f>MAX(I14,I13)</f>
        <v>1616</v>
      </c>
      <c r="H15">
        <f>0</f>
        <v>228</v>
      </c>
      <c r="I15">
        <f>G15+H15</f>
        <v>1844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19</v>
      </c>
      <c r="C16" t="s">
        <v>90</v>
      </c>
      <c r="D16" t="s">
        <v>17</v>
      </c>
      <c r="E16" t="s">
        <v>86</v>
      </c>
      <c r="F16">
        <v>0</v>
      </c>
      <c r="G16">
        <f>MAX(I15,I8)</f>
        <v>1844</v>
      </c>
      <c r="H16">
        <f>'Operations'!I3</f>
        <v>8448</v>
      </c>
      <c r="I16">
        <f>G16+H16</f>
        <v>10292</v>
      </c>
      <c r="J16">
        <f>IF(AND(D16&lt;&gt;"dram",D16&lt;&gt;"control"),H16,0)</f>
        <v>8448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100</v>
      </c>
      <c r="C17" t="s">
        <v>92</v>
      </c>
      <c r="D17" t="s">
        <v>83</v>
      </c>
      <c r="E17" t="s">
        <v>86</v>
      </c>
      <c r="F17">
        <v>256</v>
      </c>
      <c r="G17">
        <f>MAX(I16,I13)</f>
        <v>10292</v>
      </c>
      <c r="H17">
        <f>CEILING((dram_access_latency+F17/dram_bandwidth)*frequency,1)</f>
        <v>104</v>
      </c>
      <c r="I17">
        <f>G17+H17</f>
        <v>10396</v>
      </c>
      <c r="J17">
        <f>IF(AND(D17&lt;&gt;"dram",D17&lt;&gt;"control"),H17,0)</f>
        <v>0</v>
      </c>
      <c r="K17">
        <f>IF(D17="dram",H17,0)</f>
        <v>104</v>
      </c>
      <c r="L17">
        <v>0</v>
      </c>
      <c r="M17">
        <v>256</v>
      </c>
    </row>
    <row r="18" spans="1:13">
      <c r="A18">
        <v>16</v>
      </c>
      <c r="B18" t="s">
        <v>101</v>
      </c>
      <c r="C18" t="s">
        <v>92</v>
      </c>
      <c r="D18" t="s">
        <v>83</v>
      </c>
      <c r="E18" t="s">
        <v>86</v>
      </c>
      <c r="F18">
        <v>8192</v>
      </c>
      <c r="G18">
        <f>MAX(I16,I17)</f>
        <v>10396</v>
      </c>
      <c r="H18">
        <f>CEILING((dram_access_latency+F18/dram_bandwidth)*frequency,1)</f>
        <v>228</v>
      </c>
      <c r="I18">
        <f>G18+H18</f>
        <v>10624</v>
      </c>
      <c r="J18">
        <f>IF(AND(D18&lt;&gt;"dram",D18&lt;&gt;"control"),H18,0)</f>
        <v>0</v>
      </c>
      <c r="K18">
        <f>IF(D18="dram",H18,0)</f>
        <v>228</v>
      </c>
      <c r="L18">
        <v>0</v>
      </c>
      <c r="M18">
        <v>8192</v>
      </c>
    </row>
    <row r="19" spans="1:13">
      <c r="A19">
        <v>17</v>
      </c>
      <c r="B19" t="s">
        <v>102</v>
      </c>
      <c r="C19" t="s">
        <v>88</v>
      </c>
      <c r="D19" t="s">
        <v>89</v>
      </c>
      <c r="E19" t="s">
        <v>84</v>
      </c>
      <c r="F19">
        <v>0</v>
      </c>
      <c r="G19">
        <f>MAX(I16,I17)</f>
        <v>10292</v>
      </c>
      <c r="H19">
        <f>0</f>
        <v>104</v>
      </c>
      <c r="I19">
        <f>G19+H19</f>
        <v>10396</v>
      </c>
      <c r="J19">
        <f>IF(AND(D19&lt;&gt;"dram",D19&lt;&gt;"control"),H19,0)</f>
        <v>0</v>
      </c>
      <c r="K19">
        <f>IF(D19="dram",H19,0)</f>
        <v>0</v>
      </c>
      <c r="L19">
        <v>0</v>
      </c>
      <c r="M19">
        <v>0</v>
      </c>
    </row>
    <row r="20" spans="1:13">
      <c r="A20">
        <v>18</v>
      </c>
      <c r="B20" t="s">
        <v>103</v>
      </c>
      <c r="C20" t="s">
        <v>88</v>
      </c>
      <c r="D20" t="s">
        <v>89</v>
      </c>
      <c r="E20" t="s">
        <v>84</v>
      </c>
      <c r="F20">
        <v>0</v>
      </c>
      <c r="G20">
        <f>MAX(I19,I18)</f>
        <v>10396</v>
      </c>
      <c r="H20">
        <f>0</f>
        <v>228</v>
      </c>
      <c r="I20">
        <f>G20+H20</f>
        <v>10624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104</v>
      </c>
      <c r="C21" t="s">
        <v>82</v>
      </c>
      <c r="D21" t="s">
        <v>83</v>
      </c>
      <c r="E21" t="s">
        <v>86</v>
      </c>
      <c r="F21">
        <v>8192</v>
      </c>
      <c r="G21">
        <f>MAX(I20,I18)</f>
        <v>10624</v>
      </c>
      <c r="H21">
        <f>CEILING((dram_access_latency+F21/dram_bandwidth)*frequency,1)</f>
        <v>228</v>
      </c>
      <c r="I21">
        <f>G21+H21</f>
        <v>10852</v>
      </c>
      <c r="J21">
        <f>IF(AND(D21&lt;&gt;"dram",D21&lt;&gt;"control"),H21,0)</f>
        <v>0</v>
      </c>
      <c r="K21">
        <f>IF(D21="dram",H21,0)</f>
        <v>228</v>
      </c>
      <c r="L21">
        <v>8192</v>
      </c>
      <c r="M21">
        <v>0</v>
      </c>
    </row>
    <row r="22" spans="1:13">
      <c r="A22">
        <v>20</v>
      </c>
      <c r="B22" t="s">
        <v>105</v>
      </c>
      <c r="C22" t="s">
        <v>82</v>
      </c>
      <c r="D22" t="s">
        <v>83</v>
      </c>
      <c r="E22" t="s">
        <v>86</v>
      </c>
      <c r="F22">
        <v>262144</v>
      </c>
      <c r="G22">
        <f>MAX(I20,I21)</f>
        <v>10852</v>
      </c>
      <c r="H22">
        <f>CEILING((dram_access_latency+F22/dram_bandwidth)*frequency,1)</f>
        <v>4196</v>
      </c>
      <c r="I22">
        <f>G22+H22</f>
        <v>15048</v>
      </c>
      <c r="J22">
        <f>IF(AND(D22&lt;&gt;"dram",D22&lt;&gt;"control"),H22,0)</f>
        <v>0</v>
      </c>
      <c r="K22">
        <f>IF(D22="dram",H22,0)</f>
        <v>4196</v>
      </c>
      <c r="L22">
        <v>262144</v>
      </c>
      <c r="M22">
        <v>0</v>
      </c>
    </row>
    <row r="23" spans="1:13">
      <c r="A23">
        <v>21</v>
      </c>
      <c r="B23" t="s">
        <v>106</v>
      </c>
      <c r="C23" t="s">
        <v>82</v>
      </c>
      <c r="D23" t="s">
        <v>83</v>
      </c>
      <c r="E23" t="s">
        <v>86</v>
      </c>
      <c r="F23">
        <v>256</v>
      </c>
      <c r="G23">
        <f>MAX(I20,I22)</f>
        <v>15048</v>
      </c>
      <c r="H23">
        <f>CEILING((dram_access_latency+F23/dram_bandwidth)*frequency,1)</f>
        <v>104</v>
      </c>
      <c r="I23">
        <f>G23+H23</f>
        <v>15152</v>
      </c>
      <c r="J23">
        <f>IF(AND(D23&lt;&gt;"dram",D23&lt;&gt;"control"),H23,0)</f>
        <v>0</v>
      </c>
      <c r="K23">
        <f>IF(D23="dram",H23,0)</f>
        <v>104</v>
      </c>
      <c r="L23">
        <v>256</v>
      </c>
      <c r="M23">
        <v>0</v>
      </c>
    </row>
    <row r="24" spans="1:13">
      <c r="A24">
        <v>22</v>
      </c>
      <c r="B24" t="s">
        <v>107</v>
      </c>
      <c r="C24" t="s">
        <v>82</v>
      </c>
      <c r="D24" t="s">
        <v>83</v>
      </c>
      <c r="E24" t="s">
        <v>86</v>
      </c>
      <c r="F24">
        <v>8192</v>
      </c>
      <c r="G24">
        <f>MAX(I20,I23)</f>
        <v>15152</v>
      </c>
      <c r="H24">
        <f>CEILING((dram_access_latency+F24/dram_bandwidth)*frequency,1)</f>
        <v>228</v>
      </c>
      <c r="I24">
        <f>G24+H24</f>
        <v>15380</v>
      </c>
      <c r="J24">
        <f>IF(AND(D24&lt;&gt;"dram",D24&lt;&gt;"control"),H24,0)</f>
        <v>0</v>
      </c>
      <c r="K24">
        <f>IF(D24="dram",H24,0)</f>
        <v>228</v>
      </c>
      <c r="L24">
        <v>8192</v>
      </c>
      <c r="M24">
        <v>0</v>
      </c>
    </row>
    <row r="25" spans="1:13">
      <c r="A25">
        <v>23</v>
      </c>
      <c r="B25" t="s">
        <v>21</v>
      </c>
      <c r="C25" t="s">
        <v>90</v>
      </c>
      <c r="D25" t="s">
        <v>108</v>
      </c>
      <c r="E25" t="s">
        <v>86</v>
      </c>
      <c r="F25">
        <v>0</v>
      </c>
      <c r="G25">
        <f>MAX(I16,I21,I22,I23,I24)</f>
        <v>15380</v>
      </c>
      <c r="H25">
        <f>'Operations'!I4</f>
        <v>8453</v>
      </c>
      <c r="I25">
        <f>G25+H25</f>
        <v>23833</v>
      </c>
      <c r="J25">
        <f>IF(AND(D25&lt;&gt;"dram",D25&lt;&gt;"control"),H25,0)</f>
        <v>8453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105</v>
      </c>
      <c r="C26" t="s">
        <v>82</v>
      </c>
      <c r="D26" t="s">
        <v>83</v>
      </c>
      <c r="E26" t="s">
        <v>93</v>
      </c>
      <c r="F26">
        <v>262144</v>
      </c>
      <c r="G26">
        <f>MAX(I20,I24)</f>
        <v>15380</v>
      </c>
      <c r="H26">
        <f>CEILING((dram_access_latency+F26/dram_bandwidth)*frequency,1)</f>
        <v>4196</v>
      </c>
      <c r="I26">
        <f>G26+H26</f>
        <v>19576</v>
      </c>
      <c r="J26">
        <f>IF(AND(D26&lt;&gt;"dram",D26&lt;&gt;"control"),H26,0)</f>
        <v>0</v>
      </c>
      <c r="K26">
        <f>IF(D26="dram",H26,0)</f>
        <v>4196</v>
      </c>
      <c r="L26">
        <v>262144</v>
      </c>
      <c r="M26">
        <v>0</v>
      </c>
    </row>
    <row r="27" spans="1:13">
      <c r="A27">
        <v>25</v>
      </c>
      <c r="B27" t="s">
        <v>107</v>
      </c>
      <c r="C27" t="s">
        <v>82</v>
      </c>
      <c r="D27" t="s">
        <v>83</v>
      </c>
      <c r="E27" t="s">
        <v>93</v>
      </c>
      <c r="F27">
        <v>8192</v>
      </c>
      <c r="G27">
        <f>MAX(I20,I26)</f>
        <v>19576</v>
      </c>
      <c r="H27">
        <f>CEILING((dram_access_latency+F27/dram_bandwidth)*frequency,1)</f>
        <v>228</v>
      </c>
      <c r="I27">
        <f>G27+H27</f>
        <v>19804</v>
      </c>
      <c r="J27">
        <f>IF(AND(D27&lt;&gt;"dram",D27&lt;&gt;"control"),H27,0)</f>
        <v>0</v>
      </c>
      <c r="K27">
        <f>IF(D27="dram",H27,0)</f>
        <v>228</v>
      </c>
      <c r="L27">
        <v>8192</v>
      </c>
      <c r="M27">
        <v>0</v>
      </c>
    </row>
    <row r="28" spans="1:13">
      <c r="A28">
        <v>26</v>
      </c>
      <c r="B28" t="s">
        <v>21</v>
      </c>
      <c r="C28" t="s">
        <v>90</v>
      </c>
      <c r="D28" t="s">
        <v>108</v>
      </c>
      <c r="E28" t="s">
        <v>93</v>
      </c>
      <c r="F28">
        <v>0</v>
      </c>
      <c r="G28">
        <f>MAX(I25,I25,I21,I26,I23,I27)</f>
        <v>23833</v>
      </c>
      <c r="H28">
        <f>'Operations'!I4</f>
        <v>8453</v>
      </c>
      <c r="I28">
        <f>G28+H28</f>
        <v>32286</v>
      </c>
      <c r="J28">
        <f>IF(AND(D28&lt;&gt;"dram",D28&lt;&gt;"control"),H28,0)</f>
        <v>8453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109</v>
      </c>
      <c r="C29" t="s">
        <v>88</v>
      </c>
      <c r="D29" t="s">
        <v>89</v>
      </c>
      <c r="E29" t="s">
        <v>93</v>
      </c>
      <c r="F29">
        <v>0</v>
      </c>
      <c r="G29">
        <f>MAX(I20,I25)</f>
        <v>10624</v>
      </c>
      <c r="H29">
        <f>0</f>
        <v>13209</v>
      </c>
      <c r="I29">
        <f>G29+H29</f>
        <v>23833</v>
      </c>
      <c r="J29">
        <f>IF(AND(D29&lt;&gt;"dram",D29&lt;&gt;"control"),H29,0)</f>
        <v>0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110</v>
      </c>
      <c r="C30" t="s">
        <v>92</v>
      </c>
      <c r="D30" t="s">
        <v>83</v>
      </c>
      <c r="E30" t="s">
        <v>93</v>
      </c>
      <c r="F30">
        <v>1024</v>
      </c>
      <c r="G30">
        <f>MAX(I29,I27)</f>
        <v>23833</v>
      </c>
      <c r="H30">
        <f>CEILING((dram_access_latency+F30/dram_bandwidth)*frequency,1)</f>
        <v>116</v>
      </c>
      <c r="I30">
        <f>G30+H30</f>
        <v>23949</v>
      </c>
      <c r="J30">
        <f>IF(AND(D30&lt;&gt;"dram",D30&lt;&gt;"control"),H30,0)</f>
        <v>0</v>
      </c>
      <c r="K30">
        <f>IF(D30="dram",H30,0)</f>
        <v>116</v>
      </c>
      <c r="L30">
        <v>0</v>
      </c>
      <c r="M30">
        <v>1024</v>
      </c>
    </row>
    <row r="31" spans="1:13">
      <c r="A31">
        <v>29</v>
      </c>
      <c r="B31" t="s">
        <v>105</v>
      </c>
      <c r="C31" t="s">
        <v>82</v>
      </c>
      <c r="D31" t="s">
        <v>83</v>
      </c>
      <c r="E31" t="s">
        <v>111</v>
      </c>
      <c r="F31">
        <v>262144</v>
      </c>
      <c r="G31">
        <f>MAX(I29,I30)</f>
        <v>23949</v>
      </c>
      <c r="H31">
        <f>CEILING((dram_access_latency+F31/dram_bandwidth)*frequency,1)</f>
        <v>4196</v>
      </c>
      <c r="I31">
        <f>G31+H31</f>
        <v>28145</v>
      </c>
      <c r="J31">
        <f>IF(AND(D31&lt;&gt;"dram",D31&lt;&gt;"control"),H31,0)</f>
        <v>0</v>
      </c>
      <c r="K31">
        <f>IF(D31="dram",H31,0)</f>
        <v>4196</v>
      </c>
      <c r="L31">
        <v>262144</v>
      </c>
      <c r="M31">
        <v>0</v>
      </c>
    </row>
    <row r="32" spans="1:13">
      <c r="A32">
        <v>30</v>
      </c>
      <c r="B32" t="s">
        <v>107</v>
      </c>
      <c r="C32" t="s">
        <v>82</v>
      </c>
      <c r="D32" t="s">
        <v>83</v>
      </c>
      <c r="E32" t="s">
        <v>111</v>
      </c>
      <c r="F32">
        <v>8192</v>
      </c>
      <c r="G32">
        <f>MAX(I29,I31)</f>
        <v>28145</v>
      </c>
      <c r="H32">
        <f>CEILING((dram_access_latency+F32/dram_bandwidth)*frequency,1)</f>
        <v>228</v>
      </c>
      <c r="I32">
        <f>G32+H32</f>
        <v>28373</v>
      </c>
      <c r="J32">
        <f>IF(AND(D32&lt;&gt;"dram",D32&lt;&gt;"control"),H32,0)</f>
        <v>0</v>
      </c>
      <c r="K32">
        <f>IF(D32="dram",H32,0)</f>
        <v>228</v>
      </c>
      <c r="L32">
        <v>8192</v>
      </c>
      <c r="M32">
        <v>0</v>
      </c>
    </row>
    <row r="33" spans="1:13">
      <c r="A33">
        <v>31</v>
      </c>
      <c r="B33" t="s">
        <v>21</v>
      </c>
      <c r="C33" t="s">
        <v>90</v>
      </c>
      <c r="D33" t="s">
        <v>108</v>
      </c>
      <c r="E33" t="s">
        <v>111</v>
      </c>
      <c r="F33">
        <v>0</v>
      </c>
      <c r="G33">
        <f>MAX(I28,I28,I21,I31,I23,I32,I30)</f>
        <v>32286</v>
      </c>
      <c r="H33">
        <f>'Operations'!I4</f>
        <v>8453</v>
      </c>
      <c r="I33">
        <f>G33+H33</f>
        <v>40739</v>
      </c>
      <c r="J33">
        <f>IF(AND(D33&lt;&gt;"dram",D33&lt;&gt;"control"),H33,0)</f>
        <v>8453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109</v>
      </c>
      <c r="C34" t="s">
        <v>88</v>
      </c>
      <c r="D34" t="s">
        <v>89</v>
      </c>
      <c r="E34" t="s">
        <v>111</v>
      </c>
      <c r="F34">
        <v>0</v>
      </c>
      <c r="G34">
        <f>MAX(I29,I28)</f>
        <v>23833</v>
      </c>
      <c r="H34">
        <f>0</f>
        <v>8453</v>
      </c>
      <c r="I34">
        <f>G34+H34</f>
        <v>32286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110</v>
      </c>
      <c r="C35" t="s">
        <v>92</v>
      </c>
      <c r="D35" t="s">
        <v>83</v>
      </c>
      <c r="E35" t="s">
        <v>111</v>
      </c>
      <c r="F35">
        <v>1024</v>
      </c>
      <c r="G35">
        <f>MAX(I34,I32)</f>
        <v>32286</v>
      </c>
      <c r="H35">
        <f>CEILING((dram_access_latency+F35/dram_bandwidth)*frequency,1)</f>
        <v>116</v>
      </c>
      <c r="I35">
        <f>G35+H35</f>
        <v>32402</v>
      </c>
      <c r="J35">
        <f>IF(AND(D35&lt;&gt;"dram",D35&lt;&gt;"control"),H35,0)</f>
        <v>0</v>
      </c>
      <c r="K35">
        <f>IF(D35="dram",H35,0)</f>
        <v>116</v>
      </c>
      <c r="L35">
        <v>0</v>
      </c>
      <c r="M35">
        <v>1024</v>
      </c>
    </row>
    <row r="36" spans="1:13">
      <c r="A36">
        <v>34</v>
      </c>
      <c r="B36" t="s">
        <v>105</v>
      </c>
      <c r="C36" t="s">
        <v>82</v>
      </c>
      <c r="D36" t="s">
        <v>83</v>
      </c>
      <c r="E36" t="s">
        <v>112</v>
      </c>
      <c r="F36">
        <v>262144</v>
      </c>
      <c r="G36">
        <f>MAX(I34,I35)</f>
        <v>32402</v>
      </c>
      <c r="H36">
        <f>CEILING((dram_access_latency+F36/dram_bandwidth)*frequency,1)</f>
        <v>4196</v>
      </c>
      <c r="I36">
        <f>G36+H36</f>
        <v>36598</v>
      </c>
      <c r="J36">
        <f>IF(AND(D36&lt;&gt;"dram",D36&lt;&gt;"control"),H36,0)</f>
        <v>0</v>
      </c>
      <c r="K36">
        <f>IF(D36="dram",H36,0)</f>
        <v>4196</v>
      </c>
      <c r="L36">
        <v>262144</v>
      </c>
      <c r="M36">
        <v>0</v>
      </c>
    </row>
    <row r="37" spans="1:13">
      <c r="A37">
        <v>35</v>
      </c>
      <c r="B37" t="s">
        <v>107</v>
      </c>
      <c r="C37" t="s">
        <v>82</v>
      </c>
      <c r="D37" t="s">
        <v>83</v>
      </c>
      <c r="E37" t="s">
        <v>112</v>
      </c>
      <c r="F37">
        <v>8192</v>
      </c>
      <c r="G37">
        <f>MAX(I34,I36)</f>
        <v>36598</v>
      </c>
      <c r="H37">
        <f>CEILING((dram_access_latency+F37/dram_bandwidth)*frequency,1)</f>
        <v>228</v>
      </c>
      <c r="I37">
        <f>G37+H37</f>
        <v>36826</v>
      </c>
      <c r="J37">
        <f>IF(AND(D37&lt;&gt;"dram",D37&lt;&gt;"control"),H37,0)</f>
        <v>0</v>
      </c>
      <c r="K37">
        <f>IF(D37="dram",H37,0)</f>
        <v>228</v>
      </c>
      <c r="L37">
        <v>8192</v>
      </c>
      <c r="M37">
        <v>0</v>
      </c>
    </row>
    <row r="38" spans="1:13">
      <c r="A38">
        <v>36</v>
      </c>
      <c r="B38" t="s">
        <v>21</v>
      </c>
      <c r="C38" t="s">
        <v>90</v>
      </c>
      <c r="D38" t="s">
        <v>108</v>
      </c>
      <c r="E38" t="s">
        <v>112</v>
      </c>
      <c r="F38">
        <v>0</v>
      </c>
      <c r="G38">
        <f>MAX(I33,I33,I21,I36,I23,I37,I35)</f>
        <v>40739</v>
      </c>
      <c r="H38">
        <f>'Operations'!I4</f>
        <v>8453</v>
      </c>
      <c r="I38">
        <f>G38+H38</f>
        <v>49192</v>
      </c>
      <c r="J38">
        <f>IF(AND(D38&lt;&gt;"dram",D38&lt;&gt;"control"),H38,0)</f>
        <v>8453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109</v>
      </c>
      <c r="C39" t="s">
        <v>88</v>
      </c>
      <c r="D39" t="s">
        <v>89</v>
      </c>
      <c r="E39" t="s">
        <v>112</v>
      </c>
      <c r="F39">
        <v>0</v>
      </c>
      <c r="G39">
        <f>MAX(I34,I33)</f>
        <v>32286</v>
      </c>
      <c r="H39">
        <f>0</f>
        <v>8453</v>
      </c>
      <c r="I39">
        <f>G39+H39</f>
        <v>40739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110</v>
      </c>
      <c r="C40" t="s">
        <v>92</v>
      </c>
      <c r="D40" t="s">
        <v>83</v>
      </c>
      <c r="E40" t="s">
        <v>112</v>
      </c>
      <c r="F40">
        <v>1024</v>
      </c>
      <c r="G40">
        <f>MAX(I39,I37)</f>
        <v>40739</v>
      </c>
      <c r="H40">
        <f>CEILING((dram_access_latency+F40/dram_bandwidth)*frequency,1)</f>
        <v>116</v>
      </c>
      <c r="I40">
        <f>G40+H40</f>
        <v>40855</v>
      </c>
      <c r="J40">
        <f>IF(AND(D40&lt;&gt;"dram",D40&lt;&gt;"control"),H40,0)</f>
        <v>0</v>
      </c>
      <c r="K40">
        <f>IF(D40="dram",H40,0)</f>
        <v>116</v>
      </c>
      <c r="L40">
        <v>0</v>
      </c>
      <c r="M40">
        <v>1024</v>
      </c>
    </row>
    <row r="41" spans="1:13">
      <c r="A41">
        <v>39</v>
      </c>
      <c r="B41" t="s">
        <v>105</v>
      </c>
      <c r="C41" t="s">
        <v>82</v>
      </c>
      <c r="D41" t="s">
        <v>83</v>
      </c>
      <c r="E41" t="s">
        <v>113</v>
      </c>
      <c r="F41">
        <v>262144</v>
      </c>
      <c r="G41">
        <f>MAX(I39,I40)</f>
        <v>40855</v>
      </c>
      <c r="H41">
        <f>CEILING((dram_access_latency+F41/dram_bandwidth)*frequency,1)</f>
        <v>4196</v>
      </c>
      <c r="I41">
        <f>G41+H41</f>
        <v>45051</v>
      </c>
      <c r="J41">
        <f>IF(AND(D41&lt;&gt;"dram",D41&lt;&gt;"control"),H41,0)</f>
        <v>0</v>
      </c>
      <c r="K41">
        <f>IF(D41="dram",H41,0)</f>
        <v>4196</v>
      </c>
      <c r="L41">
        <v>262144</v>
      </c>
      <c r="M41">
        <v>0</v>
      </c>
    </row>
    <row r="42" spans="1:13">
      <c r="A42">
        <v>40</v>
      </c>
      <c r="B42" t="s">
        <v>107</v>
      </c>
      <c r="C42" t="s">
        <v>82</v>
      </c>
      <c r="D42" t="s">
        <v>83</v>
      </c>
      <c r="E42" t="s">
        <v>113</v>
      </c>
      <c r="F42">
        <v>8192</v>
      </c>
      <c r="G42">
        <f>MAX(I39,I41)</f>
        <v>45051</v>
      </c>
      <c r="H42">
        <f>CEILING((dram_access_latency+F42/dram_bandwidth)*frequency,1)</f>
        <v>228</v>
      </c>
      <c r="I42">
        <f>G42+H42</f>
        <v>45279</v>
      </c>
      <c r="J42">
        <f>IF(AND(D42&lt;&gt;"dram",D42&lt;&gt;"control"),H42,0)</f>
        <v>0</v>
      </c>
      <c r="K42">
        <f>IF(D42="dram",H42,0)</f>
        <v>228</v>
      </c>
      <c r="L42">
        <v>8192</v>
      </c>
      <c r="M42">
        <v>0</v>
      </c>
    </row>
    <row r="43" spans="1:13">
      <c r="A43">
        <v>41</v>
      </c>
      <c r="B43" t="s">
        <v>21</v>
      </c>
      <c r="C43" t="s">
        <v>90</v>
      </c>
      <c r="D43" t="s">
        <v>108</v>
      </c>
      <c r="E43" t="s">
        <v>113</v>
      </c>
      <c r="F43">
        <v>0</v>
      </c>
      <c r="G43">
        <f>MAX(I38,I38,I21,I41,I23,I42,I40)</f>
        <v>49192</v>
      </c>
      <c r="H43">
        <f>'Operations'!I4</f>
        <v>8453</v>
      </c>
      <c r="I43">
        <f>G43+H43</f>
        <v>57645</v>
      </c>
      <c r="J43">
        <f>IF(AND(D43&lt;&gt;"dram",D43&lt;&gt;"control"),H43,0)</f>
        <v>8453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109</v>
      </c>
      <c r="C44" t="s">
        <v>88</v>
      </c>
      <c r="D44" t="s">
        <v>89</v>
      </c>
      <c r="E44" t="s">
        <v>113</v>
      </c>
      <c r="F44">
        <v>0</v>
      </c>
      <c r="G44">
        <f>MAX(I39,I38)</f>
        <v>40739</v>
      </c>
      <c r="H44">
        <f>0</f>
        <v>8453</v>
      </c>
      <c r="I44">
        <f>G44+H44</f>
        <v>49192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110</v>
      </c>
      <c r="C45" t="s">
        <v>92</v>
      </c>
      <c r="D45" t="s">
        <v>83</v>
      </c>
      <c r="E45" t="s">
        <v>113</v>
      </c>
      <c r="F45">
        <v>1024</v>
      </c>
      <c r="G45">
        <f>MAX(I44,I42)</f>
        <v>49192</v>
      </c>
      <c r="H45">
        <f>CEILING((dram_access_latency+F45/dram_bandwidth)*frequency,1)</f>
        <v>116</v>
      </c>
      <c r="I45">
        <f>G45+H45</f>
        <v>49308</v>
      </c>
      <c r="J45">
        <f>IF(AND(D45&lt;&gt;"dram",D45&lt;&gt;"control"),H45,0)</f>
        <v>0</v>
      </c>
      <c r="K45">
        <f>IF(D45="dram",H45,0)</f>
        <v>116</v>
      </c>
      <c r="L45">
        <v>0</v>
      </c>
      <c r="M45">
        <v>1024</v>
      </c>
    </row>
    <row r="46" spans="1:13">
      <c r="A46">
        <v>44</v>
      </c>
      <c r="B46" t="s">
        <v>105</v>
      </c>
      <c r="C46" t="s">
        <v>82</v>
      </c>
      <c r="D46" t="s">
        <v>83</v>
      </c>
      <c r="E46" t="s">
        <v>114</v>
      </c>
      <c r="F46">
        <v>262144</v>
      </c>
      <c r="G46">
        <f>MAX(I44,I45)</f>
        <v>49308</v>
      </c>
      <c r="H46">
        <f>CEILING((dram_access_latency+F46/dram_bandwidth)*frequency,1)</f>
        <v>4196</v>
      </c>
      <c r="I46">
        <f>G46+H46</f>
        <v>53504</v>
      </c>
      <c r="J46">
        <f>IF(AND(D46&lt;&gt;"dram",D46&lt;&gt;"control"),H46,0)</f>
        <v>0</v>
      </c>
      <c r="K46">
        <f>IF(D46="dram",H46,0)</f>
        <v>4196</v>
      </c>
      <c r="L46">
        <v>262144</v>
      </c>
      <c r="M46">
        <v>0</v>
      </c>
    </row>
    <row r="47" spans="1:13">
      <c r="A47">
        <v>45</v>
      </c>
      <c r="B47" t="s">
        <v>107</v>
      </c>
      <c r="C47" t="s">
        <v>82</v>
      </c>
      <c r="D47" t="s">
        <v>83</v>
      </c>
      <c r="E47" t="s">
        <v>114</v>
      </c>
      <c r="F47">
        <v>8192</v>
      </c>
      <c r="G47">
        <f>MAX(I44,I46)</f>
        <v>53504</v>
      </c>
      <c r="H47">
        <f>CEILING((dram_access_latency+F47/dram_bandwidth)*frequency,1)</f>
        <v>228</v>
      </c>
      <c r="I47">
        <f>G47+H47</f>
        <v>53732</v>
      </c>
      <c r="J47">
        <f>IF(AND(D47&lt;&gt;"dram",D47&lt;&gt;"control"),H47,0)</f>
        <v>0</v>
      </c>
      <c r="K47">
        <f>IF(D47="dram",H47,0)</f>
        <v>228</v>
      </c>
      <c r="L47">
        <v>8192</v>
      </c>
      <c r="M47">
        <v>0</v>
      </c>
    </row>
    <row r="48" spans="1:13">
      <c r="A48">
        <v>46</v>
      </c>
      <c r="B48" t="s">
        <v>21</v>
      </c>
      <c r="C48" t="s">
        <v>90</v>
      </c>
      <c r="D48" t="s">
        <v>108</v>
      </c>
      <c r="E48" t="s">
        <v>114</v>
      </c>
      <c r="F48">
        <v>0</v>
      </c>
      <c r="G48">
        <f>MAX(I43,I43,I21,I46,I23,I47,I45)</f>
        <v>57645</v>
      </c>
      <c r="H48">
        <f>'Operations'!I4</f>
        <v>8453</v>
      </c>
      <c r="I48">
        <f>G48+H48</f>
        <v>66098</v>
      </c>
      <c r="J48">
        <f>IF(AND(D48&lt;&gt;"dram",D48&lt;&gt;"control"),H48,0)</f>
        <v>8453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109</v>
      </c>
      <c r="C49" t="s">
        <v>88</v>
      </c>
      <c r="D49" t="s">
        <v>89</v>
      </c>
      <c r="E49" t="s">
        <v>114</v>
      </c>
      <c r="F49">
        <v>0</v>
      </c>
      <c r="G49">
        <f>MAX(I44,I43)</f>
        <v>49192</v>
      </c>
      <c r="H49">
        <f>0</f>
        <v>8453</v>
      </c>
      <c r="I49">
        <f>G49+H49</f>
        <v>57645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110</v>
      </c>
      <c r="C50" t="s">
        <v>92</v>
      </c>
      <c r="D50" t="s">
        <v>83</v>
      </c>
      <c r="E50" t="s">
        <v>114</v>
      </c>
      <c r="F50">
        <v>1024</v>
      </c>
      <c r="G50">
        <f>MAX(I49,I47)</f>
        <v>57645</v>
      </c>
      <c r="H50">
        <f>CEILING((dram_access_latency+F50/dram_bandwidth)*frequency,1)</f>
        <v>116</v>
      </c>
      <c r="I50">
        <f>G50+H50</f>
        <v>57761</v>
      </c>
      <c r="J50">
        <f>IF(AND(D50&lt;&gt;"dram",D50&lt;&gt;"control"),H50,0)</f>
        <v>0</v>
      </c>
      <c r="K50">
        <f>IF(D50="dram",H50,0)</f>
        <v>116</v>
      </c>
      <c r="L50">
        <v>0</v>
      </c>
      <c r="M50">
        <v>1024</v>
      </c>
    </row>
    <row r="51" spans="1:13">
      <c r="A51">
        <v>49</v>
      </c>
      <c r="B51" t="s">
        <v>105</v>
      </c>
      <c r="C51" t="s">
        <v>82</v>
      </c>
      <c r="D51" t="s">
        <v>83</v>
      </c>
      <c r="E51" t="s">
        <v>115</v>
      </c>
      <c r="F51">
        <v>262144</v>
      </c>
      <c r="G51">
        <f>MAX(I49,I50)</f>
        <v>57761</v>
      </c>
      <c r="H51">
        <f>CEILING((dram_access_latency+F51/dram_bandwidth)*frequency,1)</f>
        <v>4196</v>
      </c>
      <c r="I51">
        <f>G51+H51</f>
        <v>61957</v>
      </c>
      <c r="J51">
        <f>IF(AND(D51&lt;&gt;"dram",D51&lt;&gt;"control"),H51,0)</f>
        <v>0</v>
      </c>
      <c r="K51">
        <f>IF(D51="dram",H51,0)</f>
        <v>4196</v>
      </c>
      <c r="L51">
        <v>262144</v>
      </c>
      <c r="M51">
        <v>0</v>
      </c>
    </row>
    <row r="52" spans="1:13">
      <c r="A52">
        <v>50</v>
      </c>
      <c r="B52" t="s">
        <v>107</v>
      </c>
      <c r="C52" t="s">
        <v>82</v>
      </c>
      <c r="D52" t="s">
        <v>83</v>
      </c>
      <c r="E52" t="s">
        <v>115</v>
      </c>
      <c r="F52">
        <v>8192</v>
      </c>
      <c r="G52">
        <f>MAX(I49,I51)</f>
        <v>61957</v>
      </c>
      <c r="H52">
        <f>CEILING((dram_access_latency+F52/dram_bandwidth)*frequency,1)</f>
        <v>228</v>
      </c>
      <c r="I52">
        <f>G52+H52</f>
        <v>62185</v>
      </c>
      <c r="J52">
        <f>IF(AND(D52&lt;&gt;"dram",D52&lt;&gt;"control"),H52,0)</f>
        <v>0</v>
      </c>
      <c r="K52">
        <f>IF(D52="dram",H52,0)</f>
        <v>228</v>
      </c>
      <c r="L52">
        <v>8192</v>
      </c>
      <c r="M52">
        <v>0</v>
      </c>
    </row>
    <row r="53" spans="1:13">
      <c r="A53">
        <v>51</v>
      </c>
      <c r="B53" t="s">
        <v>21</v>
      </c>
      <c r="C53" t="s">
        <v>90</v>
      </c>
      <c r="D53" t="s">
        <v>108</v>
      </c>
      <c r="E53" t="s">
        <v>115</v>
      </c>
      <c r="F53">
        <v>0</v>
      </c>
      <c r="G53">
        <f>MAX(I48,I48,I21,I51,I23,I52,I50)</f>
        <v>66098</v>
      </c>
      <c r="H53">
        <f>'Operations'!I4</f>
        <v>8453</v>
      </c>
      <c r="I53">
        <f>G53+H53</f>
        <v>74551</v>
      </c>
      <c r="J53">
        <f>IF(AND(D53&lt;&gt;"dram",D53&lt;&gt;"control"),H53,0)</f>
        <v>8453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109</v>
      </c>
      <c r="C54" t="s">
        <v>88</v>
      </c>
      <c r="D54" t="s">
        <v>89</v>
      </c>
      <c r="E54" t="s">
        <v>115</v>
      </c>
      <c r="F54">
        <v>0</v>
      </c>
      <c r="G54">
        <f>MAX(I49,I48)</f>
        <v>57645</v>
      </c>
      <c r="H54">
        <f>0</f>
        <v>8453</v>
      </c>
      <c r="I54">
        <f>G54+H54</f>
        <v>66098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110</v>
      </c>
      <c r="C55" t="s">
        <v>92</v>
      </c>
      <c r="D55" t="s">
        <v>83</v>
      </c>
      <c r="E55" t="s">
        <v>115</v>
      </c>
      <c r="F55">
        <v>1024</v>
      </c>
      <c r="G55">
        <f>MAX(I54,I52)</f>
        <v>66098</v>
      </c>
      <c r="H55">
        <f>CEILING((dram_access_latency+F55/dram_bandwidth)*frequency,1)</f>
        <v>116</v>
      </c>
      <c r="I55">
        <f>G55+H55</f>
        <v>66214</v>
      </c>
      <c r="J55">
        <f>IF(AND(D55&lt;&gt;"dram",D55&lt;&gt;"control"),H55,0)</f>
        <v>0</v>
      </c>
      <c r="K55">
        <f>IF(D55="dram",H55,0)</f>
        <v>116</v>
      </c>
      <c r="L55">
        <v>0</v>
      </c>
      <c r="M55">
        <v>1024</v>
      </c>
    </row>
    <row r="56" spans="1:13">
      <c r="A56">
        <v>54</v>
      </c>
      <c r="B56" t="s">
        <v>105</v>
      </c>
      <c r="C56" t="s">
        <v>82</v>
      </c>
      <c r="D56" t="s">
        <v>83</v>
      </c>
      <c r="E56" t="s">
        <v>116</v>
      </c>
      <c r="F56">
        <v>262144</v>
      </c>
      <c r="G56">
        <f>MAX(I54,I55)</f>
        <v>66214</v>
      </c>
      <c r="H56">
        <f>CEILING((dram_access_latency+F56/dram_bandwidth)*frequency,1)</f>
        <v>4196</v>
      </c>
      <c r="I56">
        <f>G56+H56</f>
        <v>70410</v>
      </c>
      <c r="J56">
        <f>IF(AND(D56&lt;&gt;"dram",D56&lt;&gt;"control"),H56,0)</f>
        <v>0</v>
      </c>
      <c r="K56">
        <f>IF(D56="dram",H56,0)</f>
        <v>4196</v>
      </c>
      <c r="L56">
        <v>262144</v>
      </c>
      <c r="M56">
        <v>0</v>
      </c>
    </row>
    <row r="57" spans="1:13">
      <c r="A57">
        <v>55</v>
      </c>
      <c r="B57" t="s">
        <v>107</v>
      </c>
      <c r="C57" t="s">
        <v>82</v>
      </c>
      <c r="D57" t="s">
        <v>83</v>
      </c>
      <c r="E57" t="s">
        <v>116</v>
      </c>
      <c r="F57">
        <v>8192</v>
      </c>
      <c r="G57">
        <f>MAX(I54,I56)</f>
        <v>70410</v>
      </c>
      <c r="H57">
        <f>CEILING((dram_access_latency+F57/dram_bandwidth)*frequency,1)</f>
        <v>228</v>
      </c>
      <c r="I57">
        <f>G57+H57</f>
        <v>70638</v>
      </c>
      <c r="J57">
        <f>IF(AND(D57&lt;&gt;"dram",D57&lt;&gt;"control"),H57,0)</f>
        <v>0</v>
      </c>
      <c r="K57">
        <f>IF(D57="dram",H57,0)</f>
        <v>228</v>
      </c>
      <c r="L57">
        <v>8192</v>
      </c>
      <c r="M57">
        <v>0</v>
      </c>
    </row>
    <row r="58" spans="1:13">
      <c r="A58">
        <v>56</v>
      </c>
      <c r="B58" t="s">
        <v>21</v>
      </c>
      <c r="C58" t="s">
        <v>90</v>
      </c>
      <c r="D58" t="s">
        <v>108</v>
      </c>
      <c r="E58" t="s">
        <v>116</v>
      </c>
      <c r="F58">
        <v>0</v>
      </c>
      <c r="G58">
        <f>MAX(I53,I53,I21,I56,I23,I57,I55)</f>
        <v>74551</v>
      </c>
      <c r="H58">
        <f>'Operations'!I4</f>
        <v>8453</v>
      </c>
      <c r="I58">
        <f>G58+H58</f>
        <v>83004</v>
      </c>
      <c r="J58">
        <f>IF(AND(D58&lt;&gt;"dram",D58&lt;&gt;"control"),H58,0)</f>
        <v>8453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109</v>
      </c>
      <c r="C59" t="s">
        <v>88</v>
      </c>
      <c r="D59" t="s">
        <v>89</v>
      </c>
      <c r="E59" t="s">
        <v>116</v>
      </c>
      <c r="F59">
        <v>0</v>
      </c>
      <c r="G59">
        <f>MAX(I54,I53)</f>
        <v>66098</v>
      </c>
      <c r="H59">
        <f>0</f>
        <v>8453</v>
      </c>
      <c r="I59">
        <f>G59+H59</f>
        <v>74551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110</v>
      </c>
      <c r="C60" t="s">
        <v>92</v>
      </c>
      <c r="D60" t="s">
        <v>83</v>
      </c>
      <c r="E60" t="s">
        <v>116</v>
      </c>
      <c r="F60">
        <v>1024</v>
      </c>
      <c r="G60">
        <f>MAX(I59,I57)</f>
        <v>74551</v>
      </c>
      <c r="H60">
        <f>CEILING((dram_access_latency+F60/dram_bandwidth)*frequency,1)</f>
        <v>116</v>
      </c>
      <c r="I60">
        <f>G60+H60</f>
        <v>74667</v>
      </c>
      <c r="J60">
        <f>IF(AND(D60&lt;&gt;"dram",D60&lt;&gt;"control"),H60,0)</f>
        <v>0</v>
      </c>
      <c r="K60">
        <f>IF(D60="dram",H60,0)</f>
        <v>116</v>
      </c>
      <c r="L60">
        <v>0</v>
      </c>
      <c r="M60">
        <v>1024</v>
      </c>
    </row>
    <row r="61" spans="1:13">
      <c r="A61">
        <v>59</v>
      </c>
      <c r="B61" t="s">
        <v>105</v>
      </c>
      <c r="C61" t="s">
        <v>82</v>
      </c>
      <c r="D61" t="s">
        <v>83</v>
      </c>
      <c r="E61" t="s">
        <v>117</v>
      </c>
      <c r="F61">
        <v>262144</v>
      </c>
      <c r="G61">
        <f>MAX(I59,I60)</f>
        <v>74667</v>
      </c>
      <c r="H61">
        <f>CEILING((dram_access_latency+F61/dram_bandwidth)*frequency,1)</f>
        <v>4196</v>
      </c>
      <c r="I61">
        <f>G61+H61</f>
        <v>78863</v>
      </c>
      <c r="J61">
        <f>IF(AND(D61&lt;&gt;"dram",D61&lt;&gt;"control"),H61,0)</f>
        <v>0</v>
      </c>
      <c r="K61">
        <f>IF(D61="dram",H61,0)</f>
        <v>4196</v>
      </c>
      <c r="L61">
        <v>262144</v>
      </c>
      <c r="M61">
        <v>0</v>
      </c>
    </row>
    <row r="62" spans="1:13">
      <c r="A62">
        <v>60</v>
      </c>
      <c r="B62" t="s">
        <v>107</v>
      </c>
      <c r="C62" t="s">
        <v>82</v>
      </c>
      <c r="D62" t="s">
        <v>83</v>
      </c>
      <c r="E62" t="s">
        <v>117</v>
      </c>
      <c r="F62">
        <v>8192</v>
      </c>
      <c r="G62">
        <f>MAX(I59,I61)</f>
        <v>78863</v>
      </c>
      <c r="H62">
        <f>CEILING((dram_access_latency+F62/dram_bandwidth)*frequency,1)</f>
        <v>228</v>
      </c>
      <c r="I62">
        <f>G62+H62</f>
        <v>79091</v>
      </c>
      <c r="J62">
        <f>IF(AND(D62&lt;&gt;"dram",D62&lt;&gt;"control"),H62,0)</f>
        <v>0</v>
      </c>
      <c r="K62">
        <f>IF(D62="dram",H62,0)</f>
        <v>228</v>
      </c>
      <c r="L62">
        <v>8192</v>
      </c>
      <c r="M62">
        <v>0</v>
      </c>
    </row>
    <row r="63" spans="1:13">
      <c r="A63">
        <v>61</v>
      </c>
      <c r="B63" t="s">
        <v>21</v>
      </c>
      <c r="C63" t="s">
        <v>90</v>
      </c>
      <c r="D63" t="s">
        <v>108</v>
      </c>
      <c r="E63" t="s">
        <v>117</v>
      </c>
      <c r="F63">
        <v>0</v>
      </c>
      <c r="G63">
        <f>MAX(I58,I58,I21,I61,I23,I62,I60)</f>
        <v>83004</v>
      </c>
      <c r="H63">
        <f>'Operations'!I4</f>
        <v>8453</v>
      </c>
      <c r="I63">
        <f>G63+H63</f>
        <v>91457</v>
      </c>
      <c r="J63">
        <f>IF(AND(D63&lt;&gt;"dram",D63&lt;&gt;"control"),H63,0)</f>
        <v>8453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109</v>
      </c>
      <c r="C64" t="s">
        <v>88</v>
      </c>
      <c r="D64" t="s">
        <v>89</v>
      </c>
      <c r="E64" t="s">
        <v>117</v>
      </c>
      <c r="F64">
        <v>0</v>
      </c>
      <c r="G64">
        <f>MAX(I59,I58)</f>
        <v>74551</v>
      </c>
      <c r="H64">
        <f>0</f>
        <v>8453</v>
      </c>
      <c r="I64">
        <f>G64+H64</f>
        <v>83004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110</v>
      </c>
      <c r="C65" t="s">
        <v>92</v>
      </c>
      <c r="D65" t="s">
        <v>83</v>
      </c>
      <c r="E65" t="s">
        <v>117</v>
      </c>
      <c r="F65">
        <v>1024</v>
      </c>
      <c r="G65">
        <f>MAX(I64,I62)</f>
        <v>83004</v>
      </c>
      <c r="H65">
        <f>CEILING((dram_access_latency+F65/dram_bandwidth)*frequency,1)</f>
        <v>116</v>
      </c>
      <c r="I65">
        <f>G65+H65</f>
        <v>83120</v>
      </c>
      <c r="J65">
        <f>IF(AND(D65&lt;&gt;"dram",D65&lt;&gt;"control"),H65,0)</f>
        <v>0</v>
      </c>
      <c r="K65">
        <f>IF(D65="dram",H65,0)</f>
        <v>116</v>
      </c>
      <c r="L65">
        <v>0</v>
      </c>
      <c r="M65">
        <v>1024</v>
      </c>
    </row>
    <row r="66" spans="1:13">
      <c r="A66">
        <v>64</v>
      </c>
      <c r="B66" t="s">
        <v>105</v>
      </c>
      <c r="C66" t="s">
        <v>82</v>
      </c>
      <c r="D66" t="s">
        <v>83</v>
      </c>
      <c r="E66" t="s">
        <v>118</v>
      </c>
      <c r="F66">
        <v>262144</v>
      </c>
      <c r="G66">
        <f>MAX(I64,I65)</f>
        <v>83120</v>
      </c>
      <c r="H66">
        <f>CEILING((dram_access_latency+F66/dram_bandwidth)*frequency,1)</f>
        <v>4196</v>
      </c>
      <c r="I66">
        <f>G66+H66</f>
        <v>87316</v>
      </c>
      <c r="J66">
        <f>IF(AND(D66&lt;&gt;"dram",D66&lt;&gt;"control"),H66,0)</f>
        <v>0</v>
      </c>
      <c r="K66">
        <f>IF(D66="dram",H66,0)</f>
        <v>4196</v>
      </c>
      <c r="L66">
        <v>262144</v>
      </c>
      <c r="M66">
        <v>0</v>
      </c>
    </row>
    <row r="67" spans="1:13">
      <c r="A67">
        <v>65</v>
      </c>
      <c r="B67" t="s">
        <v>107</v>
      </c>
      <c r="C67" t="s">
        <v>82</v>
      </c>
      <c r="D67" t="s">
        <v>83</v>
      </c>
      <c r="E67" t="s">
        <v>118</v>
      </c>
      <c r="F67">
        <v>8192</v>
      </c>
      <c r="G67">
        <f>MAX(I64,I66)</f>
        <v>87316</v>
      </c>
      <c r="H67">
        <f>CEILING((dram_access_latency+F67/dram_bandwidth)*frequency,1)</f>
        <v>228</v>
      </c>
      <c r="I67">
        <f>G67+H67</f>
        <v>87544</v>
      </c>
      <c r="J67">
        <f>IF(AND(D67&lt;&gt;"dram",D67&lt;&gt;"control"),H67,0)</f>
        <v>0</v>
      </c>
      <c r="K67">
        <f>IF(D67="dram",H67,0)</f>
        <v>228</v>
      </c>
      <c r="L67">
        <v>8192</v>
      </c>
      <c r="M67">
        <v>0</v>
      </c>
    </row>
    <row r="68" spans="1:13">
      <c r="A68">
        <v>66</v>
      </c>
      <c r="B68" t="s">
        <v>21</v>
      </c>
      <c r="C68" t="s">
        <v>90</v>
      </c>
      <c r="D68" t="s">
        <v>108</v>
      </c>
      <c r="E68" t="s">
        <v>118</v>
      </c>
      <c r="F68">
        <v>0</v>
      </c>
      <c r="G68">
        <f>MAX(I63,I63,I21,I66,I23,I67,I65)</f>
        <v>91457</v>
      </c>
      <c r="H68">
        <f>'Operations'!I4</f>
        <v>8453</v>
      </c>
      <c r="I68">
        <f>G68+H68</f>
        <v>99910</v>
      </c>
      <c r="J68">
        <f>IF(AND(D68&lt;&gt;"dram",D68&lt;&gt;"control"),H68,0)</f>
        <v>8453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109</v>
      </c>
      <c r="C69" t="s">
        <v>88</v>
      </c>
      <c r="D69" t="s">
        <v>89</v>
      </c>
      <c r="E69" t="s">
        <v>118</v>
      </c>
      <c r="F69">
        <v>0</v>
      </c>
      <c r="G69">
        <f>MAX(I64,I63)</f>
        <v>83004</v>
      </c>
      <c r="H69">
        <f>0</f>
        <v>8453</v>
      </c>
      <c r="I69">
        <f>G69+H69</f>
        <v>91457</v>
      </c>
      <c r="J69">
        <f>IF(AND(D69&lt;&gt;"dram",D69&lt;&gt;"control"),H69,0)</f>
        <v>0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110</v>
      </c>
      <c r="C70" t="s">
        <v>92</v>
      </c>
      <c r="D70" t="s">
        <v>83</v>
      </c>
      <c r="E70" t="s">
        <v>118</v>
      </c>
      <c r="F70">
        <v>1024</v>
      </c>
      <c r="G70">
        <f>MAX(I69,I67)</f>
        <v>91457</v>
      </c>
      <c r="H70">
        <f>CEILING((dram_access_latency+F70/dram_bandwidth)*frequency,1)</f>
        <v>116</v>
      </c>
      <c r="I70">
        <f>G70+H70</f>
        <v>91573</v>
      </c>
      <c r="J70">
        <f>IF(AND(D70&lt;&gt;"dram",D70&lt;&gt;"control"),H70,0)</f>
        <v>0</v>
      </c>
      <c r="K70">
        <f>IF(D70="dram",H70,0)</f>
        <v>116</v>
      </c>
      <c r="L70">
        <v>0</v>
      </c>
      <c r="M70">
        <v>1024</v>
      </c>
    </row>
    <row r="71" spans="1:13">
      <c r="A71">
        <v>69</v>
      </c>
      <c r="B71" t="s">
        <v>105</v>
      </c>
      <c r="C71" t="s">
        <v>82</v>
      </c>
      <c r="D71" t="s">
        <v>83</v>
      </c>
      <c r="E71" t="s">
        <v>119</v>
      </c>
      <c r="F71">
        <v>262144</v>
      </c>
      <c r="G71">
        <f>MAX(I69,I70)</f>
        <v>91573</v>
      </c>
      <c r="H71">
        <f>CEILING((dram_access_latency+F71/dram_bandwidth)*frequency,1)</f>
        <v>4196</v>
      </c>
      <c r="I71">
        <f>G71+H71</f>
        <v>95769</v>
      </c>
      <c r="J71">
        <f>IF(AND(D71&lt;&gt;"dram",D71&lt;&gt;"control"),H71,0)</f>
        <v>0</v>
      </c>
      <c r="K71">
        <f>IF(D71="dram",H71,0)</f>
        <v>4196</v>
      </c>
      <c r="L71">
        <v>262144</v>
      </c>
      <c r="M71">
        <v>0</v>
      </c>
    </row>
    <row r="72" spans="1:13">
      <c r="A72">
        <v>70</v>
      </c>
      <c r="B72" t="s">
        <v>107</v>
      </c>
      <c r="C72" t="s">
        <v>82</v>
      </c>
      <c r="D72" t="s">
        <v>83</v>
      </c>
      <c r="E72" t="s">
        <v>119</v>
      </c>
      <c r="F72">
        <v>8192</v>
      </c>
      <c r="G72">
        <f>MAX(I69,I71)</f>
        <v>95769</v>
      </c>
      <c r="H72">
        <f>CEILING((dram_access_latency+F72/dram_bandwidth)*frequency,1)</f>
        <v>228</v>
      </c>
      <c r="I72">
        <f>G72+H72</f>
        <v>95997</v>
      </c>
      <c r="J72">
        <f>IF(AND(D72&lt;&gt;"dram",D72&lt;&gt;"control"),H72,0)</f>
        <v>0</v>
      </c>
      <c r="K72">
        <f>IF(D72="dram",H72,0)</f>
        <v>228</v>
      </c>
      <c r="L72">
        <v>8192</v>
      </c>
      <c r="M72">
        <v>0</v>
      </c>
    </row>
    <row r="73" spans="1:13">
      <c r="A73">
        <v>71</v>
      </c>
      <c r="B73" t="s">
        <v>21</v>
      </c>
      <c r="C73" t="s">
        <v>90</v>
      </c>
      <c r="D73" t="s">
        <v>108</v>
      </c>
      <c r="E73" t="s">
        <v>119</v>
      </c>
      <c r="F73">
        <v>0</v>
      </c>
      <c r="G73">
        <f>MAX(I68,I68,I21,I71,I23,I72,I70)</f>
        <v>99910</v>
      </c>
      <c r="H73">
        <f>'Operations'!I4</f>
        <v>8453</v>
      </c>
      <c r="I73">
        <f>G73+H73</f>
        <v>108363</v>
      </c>
      <c r="J73">
        <f>IF(AND(D73&lt;&gt;"dram",D73&lt;&gt;"control"),H73,0)</f>
        <v>8453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109</v>
      </c>
      <c r="C74" t="s">
        <v>88</v>
      </c>
      <c r="D74" t="s">
        <v>89</v>
      </c>
      <c r="E74" t="s">
        <v>119</v>
      </c>
      <c r="F74">
        <v>0</v>
      </c>
      <c r="G74">
        <f>MAX(I69,I68)</f>
        <v>91457</v>
      </c>
      <c r="H74">
        <f>0</f>
        <v>8453</v>
      </c>
      <c r="I74">
        <f>G74+H74</f>
        <v>99910</v>
      </c>
      <c r="J74">
        <f>IF(AND(D74&lt;&gt;"dram",D74&lt;&gt;"control"),H74,0)</f>
        <v>0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110</v>
      </c>
      <c r="C75" t="s">
        <v>92</v>
      </c>
      <c r="D75" t="s">
        <v>83</v>
      </c>
      <c r="E75" t="s">
        <v>119</v>
      </c>
      <c r="F75">
        <v>1024</v>
      </c>
      <c r="G75">
        <f>MAX(I74,I72)</f>
        <v>99910</v>
      </c>
      <c r="H75">
        <f>CEILING((dram_access_latency+F75/dram_bandwidth)*frequency,1)</f>
        <v>116</v>
      </c>
      <c r="I75">
        <f>G75+H75</f>
        <v>100026</v>
      </c>
      <c r="J75">
        <f>IF(AND(D75&lt;&gt;"dram",D75&lt;&gt;"control"),H75,0)</f>
        <v>0</v>
      </c>
      <c r="K75">
        <f>IF(D75="dram",H75,0)</f>
        <v>116</v>
      </c>
      <c r="L75">
        <v>0</v>
      </c>
      <c r="M75">
        <v>1024</v>
      </c>
    </row>
    <row r="76" spans="1:13">
      <c r="A76">
        <v>74</v>
      </c>
      <c r="B76" t="s">
        <v>105</v>
      </c>
      <c r="C76" t="s">
        <v>82</v>
      </c>
      <c r="D76" t="s">
        <v>83</v>
      </c>
      <c r="E76" t="s">
        <v>120</v>
      </c>
      <c r="F76">
        <v>262144</v>
      </c>
      <c r="G76">
        <f>MAX(I74,I75)</f>
        <v>100026</v>
      </c>
      <c r="H76">
        <f>CEILING((dram_access_latency+F76/dram_bandwidth)*frequency,1)</f>
        <v>4196</v>
      </c>
      <c r="I76">
        <f>G76+H76</f>
        <v>104222</v>
      </c>
      <c r="J76">
        <f>IF(AND(D76&lt;&gt;"dram",D76&lt;&gt;"control"),H76,0)</f>
        <v>0</v>
      </c>
      <c r="K76">
        <f>IF(D76="dram",H76,0)</f>
        <v>4196</v>
      </c>
      <c r="L76">
        <v>262144</v>
      </c>
      <c r="M76">
        <v>0</v>
      </c>
    </row>
    <row r="77" spans="1:13">
      <c r="A77">
        <v>75</v>
      </c>
      <c r="B77" t="s">
        <v>107</v>
      </c>
      <c r="C77" t="s">
        <v>82</v>
      </c>
      <c r="D77" t="s">
        <v>83</v>
      </c>
      <c r="E77" t="s">
        <v>120</v>
      </c>
      <c r="F77">
        <v>8192</v>
      </c>
      <c r="G77">
        <f>MAX(I74,I76)</f>
        <v>104222</v>
      </c>
      <c r="H77">
        <f>CEILING((dram_access_latency+F77/dram_bandwidth)*frequency,1)</f>
        <v>228</v>
      </c>
      <c r="I77">
        <f>G77+H77</f>
        <v>104450</v>
      </c>
      <c r="J77">
        <f>IF(AND(D77&lt;&gt;"dram",D77&lt;&gt;"control"),H77,0)</f>
        <v>0</v>
      </c>
      <c r="K77">
        <f>IF(D77="dram",H77,0)</f>
        <v>228</v>
      </c>
      <c r="L77">
        <v>8192</v>
      </c>
      <c r="M77">
        <v>0</v>
      </c>
    </row>
    <row r="78" spans="1:13">
      <c r="A78">
        <v>76</v>
      </c>
      <c r="B78" t="s">
        <v>21</v>
      </c>
      <c r="C78" t="s">
        <v>90</v>
      </c>
      <c r="D78" t="s">
        <v>108</v>
      </c>
      <c r="E78" t="s">
        <v>120</v>
      </c>
      <c r="F78">
        <v>0</v>
      </c>
      <c r="G78">
        <f>MAX(I73,I73,I21,I76,I23,I77,I75)</f>
        <v>108363</v>
      </c>
      <c r="H78">
        <f>'Operations'!I4</f>
        <v>8453</v>
      </c>
      <c r="I78">
        <f>G78+H78</f>
        <v>116816</v>
      </c>
      <c r="J78">
        <f>IF(AND(D78&lt;&gt;"dram",D78&lt;&gt;"control"),H78,0)</f>
        <v>8453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109</v>
      </c>
      <c r="C79" t="s">
        <v>88</v>
      </c>
      <c r="D79" t="s">
        <v>89</v>
      </c>
      <c r="E79" t="s">
        <v>120</v>
      </c>
      <c r="F79">
        <v>0</v>
      </c>
      <c r="G79">
        <f>MAX(I74,I73)</f>
        <v>99910</v>
      </c>
      <c r="H79">
        <f>0</f>
        <v>8453</v>
      </c>
      <c r="I79">
        <f>G79+H79</f>
        <v>108363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110</v>
      </c>
      <c r="C80" t="s">
        <v>92</v>
      </c>
      <c r="D80" t="s">
        <v>83</v>
      </c>
      <c r="E80" t="s">
        <v>120</v>
      </c>
      <c r="F80">
        <v>1024</v>
      </c>
      <c r="G80">
        <f>MAX(I79,I77)</f>
        <v>108363</v>
      </c>
      <c r="H80">
        <f>CEILING((dram_access_latency+F80/dram_bandwidth)*frequency,1)</f>
        <v>116</v>
      </c>
      <c r="I80">
        <f>G80+H80</f>
        <v>108479</v>
      </c>
      <c r="J80">
        <f>IF(AND(D80&lt;&gt;"dram",D80&lt;&gt;"control"),H80,0)</f>
        <v>0</v>
      </c>
      <c r="K80">
        <f>IF(D80="dram",H80,0)</f>
        <v>116</v>
      </c>
      <c r="L80">
        <v>0</v>
      </c>
      <c r="M80">
        <v>1024</v>
      </c>
    </row>
    <row r="81" spans="1:13">
      <c r="A81">
        <v>79</v>
      </c>
      <c r="B81" t="s">
        <v>105</v>
      </c>
      <c r="C81" t="s">
        <v>82</v>
      </c>
      <c r="D81" t="s">
        <v>83</v>
      </c>
      <c r="E81" t="s">
        <v>121</v>
      </c>
      <c r="F81">
        <v>262144</v>
      </c>
      <c r="G81">
        <f>MAX(I79,I80)</f>
        <v>108479</v>
      </c>
      <c r="H81">
        <f>CEILING((dram_access_latency+F81/dram_bandwidth)*frequency,1)</f>
        <v>4196</v>
      </c>
      <c r="I81">
        <f>G81+H81</f>
        <v>112675</v>
      </c>
      <c r="J81">
        <f>IF(AND(D81&lt;&gt;"dram",D81&lt;&gt;"control"),H81,0)</f>
        <v>0</v>
      </c>
      <c r="K81">
        <f>IF(D81="dram",H81,0)</f>
        <v>4196</v>
      </c>
      <c r="L81">
        <v>262144</v>
      </c>
      <c r="M81">
        <v>0</v>
      </c>
    </row>
    <row r="82" spans="1:13">
      <c r="A82">
        <v>80</v>
      </c>
      <c r="B82" t="s">
        <v>107</v>
      </c>
      <c r="C82" t="s">
        <v>82</v>
      </c>
      <c r="D82" t="s">
        <v>83</v>
      </c>
      <c r="E82" t="s">
        <v>121</v>
      </c>
      <c r="F82">
        <v>8192</v>
      </c>
      <c r="G82">
        <f>MAX(I79,I81)</f>
        <v>112675</v>
      </c>
      <c r="H82">
        <f>CEILING((dram_access_latency+F82/dram_bandwidth)*frequency,1)</f>
        <v>228</v>
      </c>
      <c r="I82">
        <f>G82+H82</f>
        <v>112903</v>
      </c>
      <c r="J82">
        <f>IF(AND(D82&lt;&gt;"dram",D82&lt;&gt;"control"),H82,0)</f>
        <v>0</v>
      </c>
      <c r="K82">
        <f>IF(D82="dram",H82,0)</f>
        <v>228</v>
      </c>
      <c r="L82">
        <v>8192</v>
      </c>
      <c r="M82">
        <v>0</v>
      </c>
    </row>
    <row r="83" spans="1:13">
      <c r="A83">
        <v>81</v>
      </c>
      <c r="B83" t="s">
        <v>21</v>
      </c>
      <c r="C83" t="s">
        <v>90</v>
      </c>
      <c r="D83" t="s">
        <v>108</v>
      </c>
      <c r="E83" t="s">
        <v>121</v>
      </c>
      <c r="F83">
        <v>0</v>
      </c>
      <c r="G83">
        <f>MAX(I78,I78,I21,I81,I23,I82,I80)</f>
        <v>116816</v>
      </c>
      <c r="H83">
        <f>'Operations'!I4</f>
        <v>8453</v>
      </c>
      <c r="I83">
        <f>G83+H83</f>
        <v>125269</v>
      </c>
      <c r="J83">
        <f>IF(AND(D83&lt;&gt;"dram",D83&lt;&gt;"control"),H83,0)</f>
        <v>8453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109</v>
      </c>
      <c r="C84" t="s">
        <v>88</v>
      </c>
      <c r="D84" t="s">
        <v>89</v>
      </c>
      <c r="E84" t="s">
        <v>121</v>
      </c>
      <c r="F84">
        <v>0</v>
      </c>
      <c r="G84">
        <f>MAX(I79,I78)</f>
        <v>108363</v>
      </c>
      <c r="H84">
        <f>0</f>
        <v>8453</v>
      </c>
      <c r="I84">
        <f>G84+H84</f>
        <v>116816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110</v>
      </c>
      <c r="C85" t="s">
        <v>92</v>
      </c>
      <c r="D85" t="s">
        <v>83</v>
      </c>
      <c r="E85" t="s">
        <v>121</v>
      </c>
      <c r="F85">
        <v>1024</v>
      </c>
      <c r="G85">
        <f>MAX(I84,I82)</f>
        <v>116816</v>
      </c>
      <c r="H85">
        <f>CEILING((dram_access_latency+F85/dram_bandwidth)*frequency,1)</f>
        <v>116</v>
      </c>
      <c r="I85">
        <f>G85+H85</f>
        <v>116932</v>
      </c>
      <c r="J85">
        <f>IF(AND(D85&lt;&gt;"dram",D85&lt;&gt;"control"),H85,0)</f>
        <v>0</v>
      </c>
      <c r="K85">
        <f>IF(D85="dram",H85,0)</f>
        <v>116</v>
      </c>
      <c r="L85">
        <v>0</v>
      </c>
      <c r="M85">
        <v>1024</v>
      </c>
    </row>
    <row r="86" spans="1:13">
      <c r="A86">
        <v>84</v>
      </c>
      <c r="B86" t="s">
        <v>105</v>
      </c>
      <c r="C86" t="s">
        <v>82</v>
      </c>
      <c r="D86" t="s">
        <v>83</v>
      </c>
      <c r="E86" t="s">
        <v>122</v>
      </c>
      <c r="F86">
        <v>262144</v>
      </c>
      <c r="G86">
        <f>MAX(I84,I85)</f>
        <v>116932</v>
      </c>
      <c r="H86">
        <f>CEILING((dram_access_latency+F86/dram_bandwidth)*frequency,1)</f>
        <v>4196</v>
      </c>
      <c r="I86">
        <f>G86+H86</f>
        <v>121128</v>
      </c>
      <c r="J86">
        <f>IF(AND(D86&lt;&gt;"dram",D86&lt;&gt;"control"),H86,0)</f>
        <v>0</v>
      </c>
      <c r="K86">
        <f>IF(D86="dram",H86,0)</f>
        <v>4196</v>
      </c>
      <c r="L86">
        <v>262144</v>
      </c>
      <c r="M86">
        <v>0</v>
      </c>
    </row>
    <row r="87" spans="1:13">
      <c r="A87">
        <v>85</v>
      </c>
      <c r="B87" t="s">
        <v>107</v>
      </c>
      <c r="C87" t="s">
        <v>82</v>
      </c>
      <c r="D87" t="s">
        <v>83</v>
      </c>
      <c r="E87" t="s">
        <v>122</v>
      </c>
      <c r="F87">
        <v>8192</v>
      </c>
      <c r="G87">
        <f>MAX(I84,I86)</f>
        <v>121128</v>
      </c>
      <c r="H87">
        <f>CEILING((dram_access_latency+F87/dram_bandwidth)*frequency,1)</f>
        <v>228</v>
      </c>
      <c r="I87">
        <f>G87+H87</f>
        <v>121356</v>
      </c>
      <c r="J87">
        <f>IF(AND(D87&lt;&gt;"dram",D87&lt;&gt;"control"),H87,0)</f>
        <v>0</v>
      </c>
      <c r="K87">
        <f>IF(D87="dram",H87,0)</f>
        <v>228</v>
      </c>
      <c r="L87">
        <v>8192</v>
      </c>
      <c r="M87">
        <v>0</v>
      </c>
    </row>
    <row r="88" spans="1:13">
      <c r="A88">
        <v>86</v>
      </c>
      <c r="B88" t="s">
        <v>21</v>
      </c>
      <c r="C88" t="s">
        <v>90</v>
      </c>
      <c r="D88" t="s">
        <v>108</v>
      </c>
      <c r="E88" t="s">
        <v>122</v>
      </c>
      <c r="F88">
        <v>0</v>
      </c>
      <c r="G88">
        <f>MAX(I83,I83,I21,I86,I23,I87,I85)</f>
        <v>125269</v>
      </c>
      <c r="H88">
        <f>'Operations'!I4</f>
        <v>8453</v>
      </c>
      <c r="I88">
        <f>G88+H88</f>
        <v>133722</v>
      </c>
      <c r="J88">
        <f>IF(AND(D88&lt;&gt;"dram",D88&lt;&gt;"control"),H88,0)</f>
        <v>8453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109</v>
      </c>
      <c r="C89" t="s">
        <v>88</v>
      </c>
      <c r="D89" t="s">
        <v>89</v>
      </c>
      <c r="E89" t="s">
        <v>122</v>
      </c>
      <c r="F89">
        <v>0</v>
      </c>
      <c r="G89">
        <f>MAX(I84,I83)</f>
        <v>116816</v>
      </c>
      <c r="H89">
        <f>0</f>
        <v>8453</v>
      </c>
      <c r="I89">
        <f>G89+H89</f>
        <v>125269</v>
      </c>
      <c r="J89">
        <f>IF(AND(D89&lt;&gt;"dram",D89&lt;&gt;"control"),H89,0)</f>
        <v>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110</v>
      </c>
      <c r="C90" t="s">
        <v>92</v>
      </c>
      <c r="D90" t="s">
        <v>83</v>
      </c>
      <c r="E90" t="s">
        <v>122</v>
      </c>
      <c r="F90">
        <v>1024</v>
      </c>
      <c r="G90">
        <f>MAX(I89,I87)</f>
        <v>125269</v>
      </c>
      <c r="H90">
        <f>CEILING((dram_access_latency+F90/dram_bandwidth)*frequency,1)</f>
        <v>116</v>
      </c>
      <c r="I90">
        <f>G90+H90</f>
        <v>125385</v>
      </c>
      <c r="J90">
        <f>IF(AND(D90&lt;&gt;"dram",D90&lt;&gt;"control"),H90,0)</f>
        <v>0</v>
      </c>
      <c r="K90">
        <f>IF(D90="dram",H90,0)</f>
        <v>116</v>
      </c>
      <c r="L90">
        <v>0</v>
      </c>
      <c r="M90">
        <v>1024</v>
      </c>
    </row>
    <row r="91" spans="1:13">
      <c r="A91">
        <v>89</v>
      </c>
      <c r="B91" t="s">
        <v>105</v>
      </c>
      <c r="C91" t="s">
        <v>82</v>
      </c>
      <c r="D91" t="s">
        <v>83</v>
      </c>
      <c r="E91" t="s">
        <v>123</v>
      </c>
      <c r="F91">
        <v>262144</v>
      </c>
      <c r="G91">
        <f>MAX(I89,I90)</f>
        <v>125385</v>
      </c>
      <c r="H91">
        <f>CEILING((dram_access_latency+F91/dram_bandwidth)*frequency,1)</f>
        <v>4196</v>
      </c>
      <c r="I91">
        <f>G91+H91</f>
        <v>129581</v>
      </c>
      <c r="J91">
        <f>IF(AND(D91&lt;&gt;"dram",D91&lt;&gt;"control"),H91,0)</f>
        <v>0</v>
      </c>
      <c r="K91">
        <f>IF(D91="dram",H91,0)</f>
        <v>4196</v>
      </c>
      <c r="L91">
        <v>262144</v>
      </c>
      <c r="M91">
        <v>0</v>
      </c>
    </row>
    <row r="92" spans="1:13">
      <c r="A92">
        <v>90</v>
      </c>
      <c r="B92" t="s">
        <v>107</v>
      </c>
      <c r="C92" t="s">
        <v>82</v>
      </c>
      <c r="D92" t="s">
        <v>83</v>
      </c>
      <c r="E92" t="s">
        <v>123</v>
      </c>
      <c r="F92">
        <v>8192</v>
      </c>
      <c r="G92">
        <f>MAX(I89,I91)</f>
        <v>129581</v>
      </c>
      <c r="H92">
        <f>CEILING((dram_access_latency+F92/dram_bandwidth)*frequency,1)</f>
        <v>228</v>
      </c>
      <c r="I92">
        <f>G92+H92</f>
        <v>129809</v>
      </c>
      <c r="J92">
        <f>IF(AND(D92&lt;&gt;"dram",D92&lt;&gt;"control"),H92,0)</f>
        <v>0</v>
      </c>
      <c r="K92">
        <f>IF(D92="dram",H92,0)</f>
        <v>228</v>
      </c>
      <c r="L92">
        <v>8192</v>
      </c>
      <c r="M92">
        <v>0</v>
      </c>
    </row>
    <row r="93" spans="1:13">
      <c r="A93">
        <v>91</v>
      </c>
      <c r="B93" t="s">
        <v>21</v>
      </c>
      <c r="C93" t="s">
        <v>90</v>
      </c>
      <c r="D93" t="s">
        <v>108</v>
      </c>
      <c r="E93" t="s">
        <v>123</v>
      </c>
      <c r="F93">
        <v>0</v>
      </c>
      <c r="G93">
        <f>MAX(I88,I88,I21,I91,I23,I92,I90)</f>
        <v>133722</v>
      </c>
      <c r="H93">
        <f>'Operations'!I4</f>
        <v>8453</v>
      </c>
      <c r="I93">
        <f>G93+H93</f>
        <v>142175</v>
      </c>
      <c r="J93">
        <f>IF(AND(D93&lt;&gt;"dram",D93&lt;&gt;"control"),H93,0)</f>
        <v>8453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109</v>
      </c>
      <c r="C94" t="s">
        <v>88</v>
      </c>
      <c r="D94" t="s">
        <v>89</v>
      </c>
      <c r="E94" t="s">
        <v>123</v>
      </c>
      <c r="F94">
        <v>0</v>
      </c>
      <c r="G94">
        <f>MAX(I89,I88)</f>
        <v>125269</v>
      </c>
      <c r="H94">
        <f>0</f>
        <v>8453</v>
      </c>
      <c r="I94">
        <f>G94+H94</f>
        <v>133722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110</v>
      </c>
      <c r="C95" t="s">
        <v>92</v>
      </c>
      <c r="D95" t="s">
        <v>83</v>
      </c>
      <c r="E95" t="s">
        <v>123</v>
      </c>
      <c r="F95">
        <v>1024</v>
      </c>
      <c r="G95">
        <f>MAX(I94,I92)</f>
        <v>133722</v>
      </c>
      <c r="H95">
        <f>CEILING((dram_access_latency+F95/dram_bandwidth)*frequency,1)</f>
        <v>116</v>
      </c>
      <c r="I95">
        <f>G95+H95</f>
        <v>133838</v>
      </c>
      <c r="J95">
        <f>IF(AND(D95&lt;&gt;"dram",D95&lt;&gt;"control"),H95,0)</f>
        <v>0</v>
      </c>
      <c r="K95">
        <f>IF(D95="dram",H95,0)</f>
        <v>116</v>
      </c>
      <c r="L95">
        <v>0</v>
      </c>
      <c r="M95">
        <v>1024</v>
      </c>
    </row>
    <row r="96" spans="1:13">
      <c r="A96">
        <v>94</v>
      </c>
      <c r="B96" t="s">
        <v>105</v>
      </c>
      <c r="C96" t="s">
        <v>82</v>
      </c>
      <c r="D96" t="s">
        <v>83</v>
      </c>
      <c r="E96" t="s">
        <v>124</v>
      </c>
      <c r="F96">
        <v>262144</v>
      </c>
      <c r="G96">
        <f>MAX(I94,I95)</f>
        <v>133838</v>
      </c>
      <c r="H96">
        <f>CEILING((dram_access_latency+F96/dram_bandwidth)*frequency,1)</f>
        <v>4196</v>
      </c>
      <c r="I96">
        <f>G96+H96</f>
        <v>138034</v>
      </c>
      <c r="J96">
        <f>IF(AND(D96&lt;&gt;"dram",D96&lt;&gt;"control"),H96,0)</f>
        <v>0</v>
      </c>
      <c r="K96">
        <f>IF(D96="dram",H96,0)</f>
        <v>4196</v>
      </c>
      <c r="L96">
        <v>262144</v>
      </c>
      <c r="M96">
        <v>0</v>
      </c>
    </row>
    <row r="97" spans="1:13">
      <c r="A97">
        <v>95</v>
      </c>
      <c r="B97" t="s">
        <v>107</v>
      </c>
      <c r="C97" t="s">
        <v>82</v>
      </c>
      <c r="D97" t="s">
        <v>83</v>
      </c>
      <c r="E97" t="s">
        <v>124</v>
      </c>
      <c r="F97">
        <v>8192</v>
      </c>
      <c r="G97">
        <f>MAX(I94,I96)</f>
        <v>138034</v>
      </c>
      <c r="H97">
        <f>CEILING((dram_access_latency+F97/dram_bandwidth)*frequency,1)</f>
        <v>228</v>
      </c>
      <c r="I97">
        <f>G97+H97</f>
        <v>138262</v>
      </c>
      <c r="J97">
        <f>IF(AND(D97&lt;&gt;"dram",D97&lt;&gt;"control"),H97,0)</f>
        <v>0</v>
      </c>
      <c r="K97">
        <f>IF(D97="dram",H97,0)</f>
        <v>228</v>
      </c>
      <c r="L97">
        <v>8192</v>
      </c>
      <c r="M97">
        <v>0</v>
      </c>
    </row>
    <row r="98" spans="1:13">
      <c r="A98">
        <v>96</v>
      </c>
      <c r="B98" t="s">
        <v>21</v>
      </c>
      <c r="C98" t="s">
        <v>90</v>
      </c>
      <c r="D98" t="s">
        <v>108</v>
      </c>
      <c r="E98" t="s">
        <v>124</v>
      </c>
      <c r="F98">
        <v>0</v>
      </c>
      <c r="G98">
        <f>MAX(I93,I93,I21,I96,I23,I97,I95)</f>
        <v>142175</v>
      </c>
      <c r="H98">
        <f>'Operations'!I4</f>
        <v>8453</v>
      </c>
      <c r="I98">
        <f>G98+H98</f>
        <v>150628</v>
      </c>
      <c r="J98">
        <f>IF(AND(D98&lt;&gt;"dram",D98&lt;&gt;"control"),H98,0)</f>
        <v>8453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109</v>
      </c>
      <c r="C99" t="s">
        <v>88</v>
      </c>
      <c r="D99" t="s">
        <v>89</v>
      </c>
      <c r="E99" t="s">
        <v>124</v>
      </c>
      <c r="F99">
        <v>0</v>
      </c>
      <c r="G99">
        <f>MAX(I94,I93)</f>
        <v>133722</v>
      </c>
      <c r="H99">
        <f>0</f>
        <v>8453</v>
      </c>
      <c r="I99">
        <f>G99+H99</f>
        <v>142175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110</v>
      </c>
      <c r="C100" t="s">
        <v>92</v>
      </c>
      <c r="D100" t="s">
        <v>83</v>
      </c>
      <c r="E100" t="s">
        <v>124</v>
      </c>
      <c r="F100">
        <v>1024</v>
      </c>
      <c r="G100">
        <f>MAX(I99,I97)</f>
        <v>142175</v>
      </c>
      <c r="H100">
        <f>CEILING((dram_access_latency+F100/dram_bandwidth)*frequency,1)</f>
        <v>116</v>
      </c>
      <c r="I100">
        <f>G100+H100</f>
        <v>142291</v>
      </c>
      <c r="J100">
        <f>IF(AND(D100&lt;&gt;"dram",D100&lt;&gt;"control"),H100,0)</f>
        <v>0</v>
      </c>
      <c r="K100">
        <f>IF(D100="dram",H100,0)</f>
        <v>116</v>
      </c>
      <c r="L100">
        <v>0</v>
      </c>
      <c r="M100">
        <v>1024</v>
      </c>
    </row>
    <row r="101" spans="1:13">
      <c r="A101">
        <v>99</v>
      </c>
      <c r="B101" t="s">
        <v>105</v>
      </c>
      <c r="C101" t="s">
        <v>82</v>
      </c>
      <c r="D101" t="s">
        <v>83</v>
      </c>
      <c r="E101" t="s">
        <v>125</v>
      </c>
      <c r="F101">
        <v>262144</v>
      </c>
      <c r="G101">
        <f>MAX(I99,I100)</f>
        <v>142291</v>
      </c>
      <c r="H101">
        <f>CEILING((dram_access_latency+F101/dram_bandwidth)*frequency,1)</f>
        <v>4196</v>
      </c>
      <c r="I101">
        <f>G101+H101</f>
        <v>146487</v>
      </c>
      <c r="J101">
        <f>IF(AND(D101&lt;&gt;"dram",D101&lt;&gt;"control"),H101,0)</f>
        <v>0</v>
      </c>
      <c r="K101">
        <f>IF(D101="dram",H101,0)</f>
        <v>4196</v>
      </c>
      <c r="L101">
        <v>262144</v>
      </c>
      <c r="M101">
        <v>0</v>
      </c>
    </row>
    <row r="102" spans="1:13">
      <c r="A102">
        <v>100</v>
      </c>
      <c r="B102" t="s">
        <v>107</v>
      </c>
      <c r="C102" t="s">
        <v>82</v>
      </c>
      <c r="D102" t="s">
        <v>83</v>
      </c>
      <c r="E102" t="s">
        <v>125</v>
      </c>
      <c r="F102">
        <v>8192</v>
      </c>
      <c r="G102">
        <f>MAX(I99,I101)</f>
        <v>146487</v>
      </c>
      <c r="H102">
        <f>CEILING((dram_access_latency+F102/dram_bandwidth)*frequency,1)</f>
        <v>228</v>
      </c>
      <c r="I102">
        <f>G102+H102</f>
        <v>146715</v>
      </c>
      <c r="J102">
        <f>IF(AND(D102&lt;&gt;"dram",D102&lt;&gt;"control"),H102,0)</f>
        <v>0</v>
      </c>
      <c r="K102">
        <f>IF(D102="dram",H102,0)</f>
        <v>228</v>
      </c>
      <c r="L102">
        <v>8192</v>
      </c>
      <c r="M102">
        <v>0</v>
      </c>
    </row>
    <row r="103" spans="1:13">
      <c r="A103">
        <v>101</v>
      </c>
      <c r="B103" t="s">
        <v>21</v>
      </c>
      <c r="C103" t="s">
        <v>90</v>
      </c>
      <c r="D103" t="s">
        <v>108</v>
      </c>
      <c r="E103" t="s">
        <v>125</v>
      </c>
      <c r="F103">
        <v>0</v>
      </c>
      <c r="G103">
        <f>MAX(I98,I98,I21,I101,I23,I102,I100)</f>
        <v>150628</v>
      </c>
      <c r="H103">
        <f>'Operations'!I4</f>
        <v>8453</v>
      </c>
      <c r="I103">
        <f>G103+H103</f>
        <v>159081</v>
      </c>
      <c r="J103">
        <f>IF(AND(D103&lt;&gt;"dram",D103&lt;&gt;"control"),H103,0)</f>
        <v>8453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109</v>
      </c>
      <c r="C104" t="s">
        <v>88</v>
      </c>
      <c r="D104" t="s">
        <v>89</v>
      </c>
      <c r="E104" t="s">
        <v>125</v>
      </c>
      <c r="F104">
        <v>0</v>
      </c>
      <c r="G104">
        <f>MAX(I99,I98)</f>
        <v>142175</v>
      </c>
      <c r="H104">
        <f>0</f>
        <v>8453</v>
      </c>
      <c r="I104">
        <f>G104+H104</f>
        <v>150628</v>
      </c>
      <c r="J104">
        <f>IF(AND(D104&lt;&gt;"dram",D104&lt;&gt;"control"),H104,0)</f>
        <v>0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110</v>
      </c>
      <c r="C105" t="s">
        <v>92</v>
      </c>
      <c r="D105" t="s">
        <v>83</v>
      </c>
      <c r="E105" t="s">
        <v>125</v>
      </c>
      <c r="F105">
        <v>1024</v>
      </c>
      <c r="G105">
        <f>MAX(I104,I102)</f>
        <v>150628</v>
      </c>
      <c r="H105">
        <f>CEILING((dram_access_latency+F105/dram_bandwidth)*frequency,1)</f>
        <v>116</v>
      </c>
      <c r="I105">
        <f>G105+H105</f>
        <v>150744</v>
      </c>
      <c r="J105">
        <f>IF(AND(D105&lt;&gt;"dram",D105&lt;&gt;"control"),H105,0)</f>
        <v>0</v>
      </c>
      <c r="K105">
        <f>IF(D105="dram",H105,0)</f>
        <v>116</v>
      </c>
      <c r="L105">
        <v>0</v>
      </c>
      <c r="M105">
        <v>1024</v>
      </c>
    </row>
    <row r="106" spans="1:13">
      <c r="A106">
        <v>104</v>
      </c>
      <c r="B106" t="s">
        <v>105</v>
      </c>
      <c r="C106" t="s">
        <v>82</v>
      </c>
      <c r="D106" t="s">
        <v>83</v>
      </c>
      <c r="E106" t="s">
        <v>126</v>
      </c>
      <c r="F106">
        <v>262144</v>
      </c>
      <c r="G106">
        <f>MAX(I104,I105)</f>
        <v>150744</v>
      </c>
      <c r="H106">
        <f>CEILING((dram_access_latency+F106/dram_bandwidth)*frequency,1)</f>
        <v>4196</v>
      </c>
      <c r="I106">
        <f>G106+H106</f>
        <v>154940</v>
      </c>
      <c r="J106">
        <f>IF(AND(D106&lt;&gt;"dram",D106&lt;&gt;"control"),H106,0)</f>
        <v>0</v>
      </c>
      <c r="K106">
        <f>IF(D106="dram",H106,0)</f>
        <v>4196</v>
      </c>
      <c r="L106">
        <v>262144</v>
      </c>
      <c r="M106">
        <v>0</v>
      </c>
    </row>
    <row r="107" spans="1:13">
      <c r="A107">
        <v>105</v>
      </c>
      <c r="B107" t="s">
        <v>107</v>
      </c>
      <c r="C107" t="s">
        <v>82</v>
      </c>
      <c r="D107" t="s">
        <v>83</v>
      </c>
      <c r="E107" t="s">
        <v>126</v>
      </c>
      <c r="F107">
        <v>8192</v>
      </c>
      <c r="G107">
        <f>MAX(I104,I106)</f>
        <v>154940</v>
      </c>
      <c r="H107">
        <f>CEILING((dram_access_latency+F107/dram_bandwidth)*frequency,1)</f>
        <v>228</v>
      </c>
      <c r="I107">
        <f>G107+H107</f>
        <v>155168</v>
      </c>
      <c r="J107">
        <f>IF(AND(D107&lt;&gt;"dram",D107&lt;&gt;"control"),H107,0)</f>
        <v>0</v>
      </c>
      <c r="K107">
        <f>IF(D107="dram",H107,0)</f>
        <v>228</v>
      </c>
      <c r="L107">
        <v>8192</v>
      </c>
      <c r="M107">
        <v>0</v>
      </c>
    </row>
    <row r="108" spans="1:13">
      <c r="A108">
        <v>106</v>
      </c>
      <c r="B108" t="s">
        <v>21</v>
      </c>
      <c r="C108" t="s">
        <v>90</v>
      </c>
      <c r="D108" t="s">
        <v>108</v>
      </c>
      <c r="E108" t="s">
        <v>126</v>
      </c>
      <c r="F108">
        <v>0</v>
      </c>
      <c r="G108">
        <f>MAX(I103,I103,I21,I106,I23,I107,I105)</f>
        <v>159081</v>
      </c>
      <c r="H108">
        <f>'Operations'!I4</f>
        <v>8453</v>
      </c>
      <c r="I108">
        <f>G108+H108</f>
        <v>167534</v>
      </c>
      <c r="J108">
        <f>IF(AND(D108&lt;&gt;"dram",D108&lt;&gt;"control"),H108,0)</f>
        <v>8453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109</v>
      </c>
      <c r="C109" t="s">
        <v>88</v>
      </c>
      <c r="D109" t="s">
        <v>89</v>
      </c>
      <c r="E109" t="s">
        <v>126</v>
      </c>
      <c r="F109">
        <v>0</v>
      </c>
      <c r="G109">
        <f>MAX(I104,I103)</f>
        <v>150628</v>
      </c>
      <c r="H109">
        <f>0</f>
        <v>8453</v>
      </c>
      <c r="I109">
        <f>G109+H109</f>
        <v>159081</v>
      </c>
      <c r="J109">
        <f>IF(AND(D109&lt;&gt;"dram",D109&lt;&gt;"control"),H109,0)</f>
        <v>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110</v>
      </c>
      <c r="C110" t="s">
        <v>92</v>
      </c>
      <c r="D110" t="s">
        <v>83</v>
      </c>
      <c r="E110" t="s">
        <v>126</v>
      </c>
      <c r="F110">
        <v>1024</v>
      </c>
      <c r="G110">
        <f>MAX(I109,I107)</f>
        <v>159081</v>
      </c>
      <c r="H110">
        <f>CEILING((dram_access_latency+F110/dram_bandwidth)*frequency,1)</f>
        <v>116</v>
      </c>
      <c r="I110">
        <f>G110+H110</f>
        <v>159197</v>
      </c>
      <c r="J110">
        <f>IF(AND(D110&lt;&gt;"dram",D110&lt;&gt;"control"),H110,0)</f>
        <v>0</v>
      </c>
      <c r="K110">
        <f>IF(D110="dram",H110,0)</f>
        <v>116</v>
      </c>
      <c r="L110">
        <v>0</v>
      </c>
      <c r="M110">
        <v>1024</v>
      </c>
    </row>
    <row r="111" spans="1:13">
      <c r="A111">
        <v>109</v>
      </c>
      <c r="B111" t="s">
        <v>105</v>
      </c>
      <c r="C111" t="s">
        <v>82</v>
      </c>
      <c r="D111" t="s">
        <v>83</v>
      </c>
      <c r="E111" t="s">
        <v>127</v>
      </c>
      <c r="F111">
        <v>262144</v>
      </c>
      <c r="G111">
        <f>MAX(I109,I110)</f>
        <v>159197</v>
      </c>
      <c r="H111">
        <f>CEILING((dram_access_latency+F111/dram_bandwidth)*frequency,1)</f>
        <v>4196</v>
      </c>
      <c r="I111">
        <f>G111+H111</f>
        <v>163393</v>
      </c>
      <c r="J111">
        <f>IF(AND(D111&lt;&gt;"dram",D111&lt;&gt;"control"),H111,0)</f>
        <v>0</v>
      </c>
      <c r="K111">
        <f>IF(D111="dram",H111,0)</f>
        <v>4196</v>
      </c>
      <c r="L111">
        <v>262144</v>
      </c>
      <c r="M111">
        <v>0</v>
      </c>
    </row>
    <row r="112" spans="1:13">
      <c r="A112">
        <v>110</v>
      </c>
      <c r="B112" t="s">
        <v>107</v>
      </c>
      <c r="C112" t="s">
        <v>82</v>
      </c>
      <c r="D112" t="s">
        <v>83</v>
      </c>
      <c r="E112" t="s">
        <v>127</v>
      </c>
      <c r="F112">
        <v>8192</v>
      </c>
      <c r="G112">
        <f>MAX(I109,I111)</f>
        <v>163393</v>
      </c>
      <c r="H112">
        <f>CEILING((dram_access_latency+F112/dram_bandwidth)*frequency,1)</f>
        <v>228</v>
      </c>
      <c r="I112">
        <f>G112+H112</f>
        <v>163621</v>
      </c>
      <c r="J112">
        <f>IF(AND(D112&lt;&gt;"dram",D112&lt;&gt;"control"),H112,0)</f>
        <v>0</v>
      </c>
      <c r="K112">
        <f>IF(D112="dram",H112,0)</f>
        <v>228</v>
      </c>
      <c r="L112">
        <v>8192</v>
      </c>
      <c r="M112">
        <v>0</v>
      </c>
    </row>
    <row r="113" spans="1:13">
      <c r="A113">
        <v>111</v>
      </c>
      <c r="B113" t="s">
        <v>21</v>
      </c>
      <c r="C113" t="s">
        <v>90</v>
      </c>
      <c r="D113" t="s">
        <v>108</v>
      </c>
      <c r="E113" t="s">
        <v>127</v>
      </c>
      <c r="F113">
        <v>0</v>
      </c>
      <c r="G113">
        <f>MAX(I108,I108,I21,I111,I23,I112,I110)</f>
        <v>167534</v>
      </c>
      <c r="H113">
        <f>'Operations'!I4</f>
        <v>8453</v>
      </c>
      <c r="I113">
        <f>G113+H113</f>
        <v>175987</v>
      </c>
      <c r="J113">
        <f>IF(AND(D113&lt;&gt;"dram",D113&lt;&gt;"control"),H113,0)</f>
        <v>8453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109</v>
      </c>
      <c r="C114" t="s">
        <v>88</v>
      </c>
      <c r="D114" t="s">
        <v>89</v>
      </c>
      <c r="E114" t="s">
        <v>127</v>
      </c>
      <c r="F114">
        <v>0</v>
      </c>
      <c r="G114">
        <f>MAX(I109,I108)</f>
        <v>159081</v>
      </c>
      <c r="H114">
        <f>0</f>
        <v>8453</v>
      </c>
      <c r="I114">
        <f>G114+H114</f>
        <v>167534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110</v>
      </c>
      <c r="C115" t="s">
        <v>92</v>
      </c>
      <c r="D115" t="s">
        <v>83</v>
      </c>
      <c r="E115" t="s">
        <v>127</v>
      </c>
      <c r="F115">
        <v>1024</v>
      </c>
      <c r="G115">
        <f>MAX(I114,I112)</f>
        <v>167534</v>
      </c>
      <c r="H115">
        <f>CEILING((dram_access_latency+F115/dram_bandwidth)*frequency,1)</f>
        <v>116</v>
      </c>
      <c r="I115">
        <f>G115+H115</f>
        <v>167650</v>
      </c>
      <c r="J115">
        <f>IF(AND(D115&lt;&gt;"dram",D115&lt;&gt;"control"),H115,0)</f>
        <v>0</v>
      </c>
      <c r="K115">
        <f>IF(D115="dram",H115,0)</f>
        <v>116</v>
      </c>
      <c r="L115">
        <v>0</v>
      </c>
      <c r="M115">
        <v>1024</v>
      </c>
    </row>
    <row r="116" spans="1:13">
      <c r="A116">
        <v>114</v>
      </c>
      <c r="B116" t="s">
        <v>105</v>
      </c>
      <c r="C116" t="s">
        <v>82</v>
      </c>
      <c r="D116" t="s">
        <v>83</v>
      </c>
      <c r="E116" t="s">
        <v>128</v>
      </c>
      <c r="F116">
        <v>262144</v>
      </c>
      <c r="G116">
        <f>MAX(I114,I115)</f>
        <v>167650</v>
      </c>
      <c r="H116">
        <f>CEILING((dram_access_latency+F116/dram_bandwidth)*frequency,1)</f>
        <v>4196</v>
      </c>
      <c r="I116">
        <f>G116+H116</f>
        <v>171846</v>
      </c>
      <c r="J116">
        <f>IF(AND(D116&lt;&gt;"dram",D116&lt;&gt;"control"),H116,0)</f>
        <v>0</v>
      </c>
      <c r="K116">
        <f>IF(D116="dram",H116,0)</f>
        <v>4196</v>
      </c>
      <c r="L116">
        <v>262144</v>
      </c>
      <c r="M116">
        <v>0</v>
      </c>
    </row>
    <row r="117" spans="1:13">
      <c r="A117">
        <v>115</v>
      </c>
      <c r="B117" t="s">
        <v>107</v>
      </c>
      <c r="C117" t="s">
        <v>82</v>
      </c>
      <c r="D117" t="s">
        <v>83</v>
      </c>
      <c r="E117" t="s">
        <v>128</v>
      </c>
      <c r="F117">
        <v>8192</v>
      </c>
      <c r="G117">
        <f>MAX(I114,I116)</f>
        <v>171846</v>
      </c>
      <c r="H117">
        <f>CEILING((dram_access_latency+F117/dram_bandwidth)*frequency,1)</f>
        <v>228</v>
      </c>
      <c r="I117">
        <f>G117+H117</f>
        <v>172074</v>
      </c>
      <c r="J117">
        <f>IF(AND(D117&lt;&gt;"dram",D117&lt;&gt;"control"),H117,0)</f>
        <v>0</v>
      </c>
      <c r="K117">
        <f>IF(D117="dram",H117,0)</f>
        <v>228</v>
      </c>
      <c r="L117">
        <v>8192</v>
      </c>
      <c r="M117">
        <v>0</v>
      </c>
    </row>
    <row r="118" spans="1:13">
      <c r="A118">
        <v>116</v>
      </c>
      <c r="B118" t="s">
        <v>21</v>
      </c>
      <c r="C118" t="s">
        <v>90</v>
      </c>
      <c r="D118" t="s">
        <v>108</v>
      </c>
      <c r="E118" t="s">
        <v>128</v>
      </c>
      <c r="F118">
        <v>0</v>
      </c>
      <c r="G118">
        <f>MAX(I113,I113,I21,I116,I23,I117,I115)</f>
        <v>175987</v>
      </c>
      <c r="H118">
        <f>'Operations'!I4</f>
        <v>8453</v>
      </c>
      <c r="I118">
        <f>G118+H118</f>
        <v>184440</v>
      </c>
      <c r="J118">
        <f>IF(AND(D118&lt;&gt;"dram",D118&lt;&gt;"control"),H118,0)</f>
        <v>8453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109</v>
      </c>
      <c r="C119" t="s">
        <v>88</v>
      </c>
      <c r="D119" t="s">
        <v>89</v>
      </c>
      <c r="E119" t="s">
        <v>128</v>
      </c>
      <c r="F119">
        <v>0</v>
      </c>
      <c r="G119">
        <f>MAX(I114,I113)</f>
        <v>167534</v>
      </c>
      <c r="H119">
        <f>0</f>
        <v>8453</v>
      </c>
      <c r="I119">
        <f>G119+H119</f>
        <v>175987</v>
      </c>
      <c r="J119">
        <f>IF(AND(D119&lt;&gt;"dram",D119&lt;&gt;"control"),H119,0)</f>
        <v>0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110</v>
      </c>
      <c r="C120" t="s">
        <v>92</v>
      </c>
      <c r="D120" t="s">
        <v>83</v>
      </c>
      <c r="E120" t="s">
        <v>128</v>
      </c>
      <c r="F120">
        <v>1024</v>
      </c>
      <c r="G120">
        <f>MAX(I119,I117)</f>
        <v>175987</v>
      </c>
      <c r="H120">
        <f>CEILING((dram_access_latency+F120/dram_bandwidth)*frequency,1)</f>
        <v>116</v>
      </c>
      <c r="I120">
        <f>G120+H120</f>
        <v>176103</v>
      </c>
      <c r="J120">
        <f>IF(AND(D120&lt;&gt;"dram",D120&lt;&gt;"control"),H120,0)</f>
        <v>0</v>
      </c>
      <c r="K120">
        <f>IF(D120="dram",H120,0)</f>
        <v>116</v>
      </c>
      <c r="L120">
        <v>0</v>
      </c>
      <c r="M120">
        <v>1024</v>
      </c>
    </row>
    <row r="121" spans="1:13">
      <c r="A121">
        <v>119</v>
      </c>
      <c r="B121" t="s">
        <v>105</v>
      </c>
      <c r="C121" t="s">
        <v>82</v>
      </c>
      <c r="D121" t="s">
        <v>83</v>
      </c>
      <c r="E121" t="s">
        <v>129</v>
      </c>
      <c r="F121">
        <v>262144</v>
      </c>
      <c r="G121">
        <f>MAX(I119,I120)</f>
        <v>176103</v>
      </c>
      <c r="H121">
        <f>CEILING((dram_access_latency+F121/dram_bandwidth)*frequency,1)</f>
        <v>4196</v>
      </c>
      <c r="I121">
        <f>G121+H121</f>
        <v>180299</v>
      </c>
      <c r="J121">
        <f>IF(AND(D121&lt;&gt;"dram",D121&lt;&gt;"control"),H121,0)</f>
        <v>0</v>
      </c>
      <c r="K121">
        <f>IF(D121="dram",H121,0)</f>
        <v>4196</v>
      </c>
      <c r="L121">
        <v>262144</v>
      </c>
      <c r="M121">
        <v>0</v>
      </c>
    </row>
    <row r="122" spans="1:13">
      <c r="A122">
        <v>120</v>
      </c>
      <c r="B122" t="s">
        <v>107</v>
      </c>
      <c r="C122" t="s">
        <v>82</v>
      </c>
      <c r="D122" t="s">
        <v>83</v>
      </c>
      <c r="E122" t="s">
        <v>129</v>
      </c>
      <c r="F122">
        <v>8192</v>
      </c>
      <c r="G122">
        <f>MAX(I119,I121)</f>
        <v>180299</v>
      </c>
      <c r="H122">
        <f>CEILING((dram_access_latency+F122/dram_bandwidth)*frequency,1)</f>
        <v>228</v>
      </c>
      <c r="I122">
        <f>G122+H122</f>
        <v>180527</v>
      </c>
      <c r="J122">
        <f>IF(AND(D122&lt;&gt;"dram",D122&lt;&gt;"control"),H122,0)</f>
        <v>0</v>
      </c>
      <c r="K122">
        <f>IF(D122="dram",H122,0)</f>
        <v>228</v>
      </c>
      <c r="L122">
        <v>8192</v>
      </c>
      <c r="M122">
        <v>0</v>
      </c>
    </row>
    <row r="123" spans="1:13">
      <c r="A123">
        <v>121</v>
      </c>
      <c r="B123" t="s">
        <v>21</v>
      </c>
      <c r="C123" t="s">
        <v>90</v>
      </c>
      <c r="D123" t="s">
        <v>108</v>
      </c>
      <c r="E123" t="s">
        <v>129</v>
      </c>
      <c r="F123">
        <v>0</v>
      </c>
      <c r="G123">
        <f>MAX(I118,I118,I21,I121,I23,I122,I120)</f>
        <v>184440</v>
      </c>
      <c r="H123">
        <f>'Operations'!I4</f>
        <v>8453</v>
      </c>
      <c r="I123">
        <f>G123+H123</f>
        <v>192893</v>
      </c>
      <c r="J123">
        <f>IF(AND(D123&lt;&gt;"dram",D123&lt;&gt;"control"),H123,0)</f>
        <v>8453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109</v>
      </c>
      <c r="C124" t="s">
        <v>88</v>
      </c>
      <c r="D124" t="s">
        <v>89</v>
      </c>
      <c r="E124" t="s">
        <v>129</v>
      </c>
      <c r="F124">
        <v>0</v>
      </c>
      <c r="G124">
        <f>MAX(I119,I118)</f>
        <v>175987</v>
      </c>
      <c r="H124">
        <f>0</f>
        <v>8453</v>
      </c>
      <c r="I124">
        <f>G124+H124</f>
        <v>184440</v>
      </c>
      <c r="J124">
        <f>IF(AND(D124&lt;&gt;"dram",D124&lt;&gt;"control"),H124,0)</f>
        <v>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110</v>
      </c>
      <c r="C125" t="s">
        <v>92</v>
      </c>
      <c r="D125" t="s">
        <v>83</v>
      </c>
      <c r="E125" t="s">
        <v>129</v>
      </c>
      <c r="F125">
        <v>1024</v>
      </c>
      <c r="G125">
        <f>MAX(I124,I122)</f>
        <v>184440</v>
      </c>
      <c r="H125">
        <f>CEILING((dram_access_latency+F125/dram_bandwidth)*frequency,1)</f>
        <v>116</v>
      </c>
      <c r="I125">
        <f>G125+H125</f>
        <v>184556</v>
      </c>
      <c r="J125">
        <f>IF(AND(D125&lt;&gt;"dram",D125&lt;&gt;"control"),H125,0)</f>
        <v>0</v>
      </c>
      <c r="K125">
        <f>IF(D125="dram",H125,0)</f>
        <v>116</v>
      </c>
      <c r="L125">
        <v>0</v>
      </c>
      <c r="M125">
        <v>1024</v>
      </c>
    </row>
    <row r="126" spans="1:13">
      <c r="A126">
        <v>124</v>
      </c>
      <c r="B126" t="s">
        <v>105</v>
      </c>
      <c r="C126" t="s">
        <v>82</v>
      </c>
      <c r="D126" t="s">
        <v>83</v>
      </c>
      <c r="E126" t="s">
        <v>130</v>
      </c>
      <c r="F126">
        <v>262144</v>
      </c>
      <c r="G126">
        <f>MAX(I124,I125)</f>
        <v>184556</v>
      </c>
      <c r="H126">
        <f>CEILING((dram_access_latency+F126/dram_bandwidth)*frequency,1)</f>
        <v>4196</v>
      </c>
      <c r="I126">
        <f>G126+H126</f>
        <v>188752</v>
      </c>
      <c r="J126">
        <f>IF(AND(D126&lt;&gt;"dram",D126&lt;&gt;"control"),H126,0)</f>
        <v>0</v>
      </c>
      <c r="K126">
        <f>IF(D126="dram",H126,0)</f>
        <v>4196</v>
      </c>
      <c r="L126">
        <v>262144</v>
      </c>
      <c r="M126">
        <v>0</v>
      </c>
    </row>
    <row r="127" spans="1:13">
      <c r="A127">
        <v>125</v>
      </c>
      <c r="B127" t="s">
        <v>107</v>
      </c>
      <c r="C127" t="s">
        <v>82</v>
      </c>
      <c r="D127" t="s">
        <v>83</v>
      </c>
      <c r="E127" t="s">
        <v>130</v>
      </c>
      <c r="F127">
        <v>8192</v>
      </c>
      <c r="G127">
        <f>MAX(I124,I126)</f>
        <v>188752</v>
      </c>
      <c r="H127">
        <f>CEILING((dram_access_latency+F127/dram_bandwidth)*frequency,1)</f>
        <v>228</v>
      </c>
      <c r="I127">
        <f>G127+H127</f>
        <v>188980</v>
      </c>
      <c r="J127">
        <f>IF(AND(D127&lt;&gt;"dram",D127&lt;&gt;"control"),H127,0)</f>
        <v>0</v>
      </c>
      <c r="K127">
        <f>IF(D127="dram",H127,0)</f>
        <v>228</v>
      </c>
      <c r="L127">
        <v>8192</v>
      </c>
      <c r="M127">
        <v>0</v>
      </c>
    </row>
    <row r="128" spans="1:13">
      <c r="A128">
        <v>126</v>
      </c>
      <c r="B128" t="s">
        <v>21</v>
      </c>
      <c r="C128" t="s">
        <v>90</v>
      </c>
      <c r="D128" t="s">
        <v>108</v>
      </c>
      <c r="E128" t="s">
        <v>130</v>
      </c>
      <c r="F128">
        <v>0</v>
      </c>
      <c r="G128">
        <f>MAX(I123,I123,I21,I126,I23,I127,I125)</f>
        <v>192893</v>
      </c>
      <c r="H128">
        <f>'Operations'!I4</f>
        <v>8453</v>
      </c>
      <c r="I128">
        <f>G128+H128</f>
        <v>201346</v>
      </c>
      <c r="J128">
        <f>IF(AND(D128&lt;&gt;"dram",D128&lt;&gt;"control"),H128,0)</f>
        <v>8453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109</v>
      </c>
      <c r="C129" t="s">
        <v>88</v>
      </c>
      <c r="D129" t="s">
        <v>89</v>
      </c>
      <c r="E129" t="s">
        <v>130</v>
      </c>
      <c r="F129">
        <v>0</v>
      </c>
      <c r="G129">
        <f>MAX(I124,I123)</f>
        <v>184440</v>
      </c>
      <c r="H129">
        <f>0</f>
        <v>8453</v>
      </c>
      <c r="I129">
        <f>G129+H129</f>
        <v>192893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110</v>
      </c>
      <c r="C130" t="s">
        <v>92</v>
      </c>
      <c r="D130" t="s">
        <v>83</v>
      </c>
      <c r="E130" t="s">
        <v>130</v>
      </c>
      <c r="F130">
        <v>1024</v>
      </c>
      <c r="G130">
        <f>MAX(I129,I127)</f>
        <v>192893</v>
      </c>
      <c r="H130">
        <f>CEILING((dram_access_latency+F130/dram_bandwidth)*frequency,1)</f>
        <v>116</v>
      </c>
      <c r="I130">
        <f>G130+H130</f>
        <v>193009</v>
      </c>
      <c r="J130">
        <f>IF(AND(D130&lt;&gt;"dram",D130&lt;&gt;"control"),H130,0)</f>
        <v>0</v>
      </c>
      <c r="K130">
        <f>IF(D130="dram",H130,0)</f>
        <v>116</v>
      </c>
      <c r="L130">
        <v>0</v>
      </c>
      <c r="M130">
        <v>1024</v>
      </c>
    </row>
    <row r="131" spans="1:13">
      <c r="A131">
        <v>129</v>
      </c>
      <c r="B131" t="s">
        <v>105</v>
      </c>
      <c r="C131" t="s">
        <v>82</v>
      </c>
      <c r="D131" t="s">
        <v>83</v>
      </c>
      <c r="E131" t="s">
        <v>131</v>
      </c>
      <c r="F131">
        <v>262144</v>
      </c>
      <c r="G131">
        <f>MAX(I129,I130)</f>
        <v>193009</v>
      </c>
      <c r="H131">
        <f>CEILING((dram_access_latency+F131/dram_bandwidth)*frequency,1)</f>
        <v>4196</v>
      </c>
      <c r="I131">
        <f>G131+H131</f>
        <v>197205</v>
      </c>
      <c r="J131">
        <f>IF(AND(D131&lt;&gt;"dram",D131&lt;&gt;"control"),H131,0)</f>
        <v>0</v>
      </c>
      <c r="K131">
        <f>IF(D131="dram",H131,0)</f>
        <v>4196</v>
      </c>
      <c r="L131">
        <v>262144</v>
      </c>
      <c r="M131">
        <v>0</v>
      </c>
    </row>
    <row r="132" spans="1:13">
      <c r="A132">
        <v>130</v>
      </c>
      <c r="B132" t="s">
        <v>107</v>
      </c>
      <c r="C132" t="s">
        <v>82</v>
      </c>
      <c r="D132" t="s">
        <v>83</v>
      </c>
      <c r="E132" t="s">
        <v>131</v>
      </c>
      <c r="F132">
        <v>8192</v>
      </c>
      <c r="G132">
        <f>MAX(I129,I131)</f>
        <v>197205</v>
      </c>
      <c r="H132">
        <f>CEILING((dram_access_latency+F132/dram_bandwidth)*frequency,1)</f>
        <v>228</v>
      </c>
      <c r="I132">
        <f>G132+H132</f>
        <v>197433</v>
      </c>
      <c r="J132">
        <f>IF(AND(D132&lt;&gt;"dram",D132&lt;&gt;"control"),H132,0)</f>
        <v>0</v>
      </c>
      <c r="K132">
        <f>IF(D132="dram",H132,0)</f>
        <v>228</v>
      </c>
      <c r="L132">
        <v>8192</v>
      </c>
      <c r="M132">
        <v>0</v>
      </c>
    </row>
    <row r="133" spans="1:13">
      <c r="A133">
        <v>131</v>
      </c>
      <c r="B133" t="s">
        <v>21</v>
      </c>
      <c r="C133" t="s">
        <v>90</v>
      </c>
      <c r="D133" t="s">
        <v>108</v>
      </c>
      <c r="E133" t="s">
        <v>131</v>
      </c>
      <c r="F133">
        <v>0</v>
      </c>
      <c r="G133">
        <f>MAX(I128,I128,I21,I131,I23,I132,I130)</f>
        <v>201346</v>
      </c>
      <c r="H133">
        <f>'Operations'!I4</f>
        <v>8453</v>
      </c>
      <c r="I133">
        <f>G133+H133</f>
        <v>209799</v>
      </c>
      <c r="J133">
        <f>IF(AND(D133&lt;&gt;"dram",D133&lt;&gt;"control"),H133,0)</f>
        <v>8453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109</v>
      </c>
      <c r="C134" t="s">
        <v>88</v>
      </c>
      <c r="D134" t="s">
        <v>89</v>
      </c>
      <c r="E134" t="s">
        <v>131</v>
      </c>
      <c r="F134">
        <v>0</v>
      </c>
      <c r="G134">
        <f>MAX(I129,I128)</f>
        <v>192893</v>
      </c>
      <c r="H134">
        <f>0</f>
        <v>8453</v>
      </c>
      <c r="I134">
        <f>G134+H134</f>
        <v>201346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110</v>
      </c>
      <c r="C135" t="s">
        <v>92</v>
      </c>
      <c r="D135" t="s">
        <v>83</v>
      </c>
      <c r="E135" t="s">
        <v>131</v>
      </c>
      <c r="F135">
        <v>1024</v>
      </c>
      <c r="G135">
        <f>MAX(I134,I132)</f>
        <v>201346</v>
      </c>
      <c r="H135">
        <f>CEILING((dram_access_latency+F135/dram_bandwidth)*frequency,1)</f>
        <v>116</v>
      </c>
      <c r="I135">
        <f>G135+H135</f>
        <v>201462</v>
      </c>
      <c r="J135">
        <f>IF(AND(D135&lt;&gt;"dram",D135&lt;&gt;"control"),H135,0)</f>
        <v>0</v>
      </c>
      <c r="K135">
        <f>IF(D135="dram",H135,0)</f>
        <v>116</v>
      </c>
      <c r="L135">
        <v>0</v>
      </c>
      <c r="M135">
        <v>1024</v>
      </c>
    </row>
    <row r="136" spans="1:13">
      <c r="A136">
        <v>134</v>
      </c>
      <c r="B136" t="s">
        <v>105</v>
      </c>
      <c r="C136" t="s">
        <v>82</v>
      </c>
      <c r="D136" t="s">
        <v>83</v>
      </c>
      <c r="E136" t="s">
        <v>132</v>
      </c>
      <c r="F136">
        <v>262144</v>
      </c>
      <c r="G136">
        <f>MAX(I134,I135)</f>
        <v>201462</v>
      </c>
      <c r="H136">
        <f>CEILING((dram_access_latency+F136/dram_bandwidth)*frequency,1)</f>
        <v>4196</v>
      </c>
      <c r="I136">
        <f>G136+H136</f>
        <v>205658</v>
      </c>
      <c r="J136">
        <f>IF(AND(D136&lt;&gt;"dram",D136&lt;&gt;"control"),H136,0)</f>
        <v>0</v>
      </c>
      <c r="K136">
        <f>IF(D136="dram",H136,0)</f>
        <v>4196</v>
      </c>
      <c r="L136">
        <v>262144</v>
      </c>
      <c r="M136">
        <v>0</v>
      </c>
    </row>
    <row r="137" spans="1:13">
      <c r="A137">
        <v>135</v>
      </c>
      <c r="B137" t="s">
        <v>107</v>
      </c>
      <c r="C137" t="s">
        <v>82</v>
      </c>
      <c r="D137" t="s">
        <v>83</v>
      </c>
      <c r="E137" t="s">
        <v>132</v>
      </c>
      <c r="F137">
        <v>8192</v>
      </c>
      <c r="G137">
        <f>MAX(I134,I136)</f>
        <v>205658</v>
      </c>
      <c r="H137">
        <f>CEILING((dram_access_latency+F137/dram_bandwidth)*frequency,1)</f>
        <v>228</v>
      </c>
      <c r="I137">
        <f>G137+H137</f>
        <v>205886</v>
      </c>
      <c r="J137">
        <f>IF(AND(D137&lt;&gt;"dram",D137&lt;&gt;"control"),H137,0)</f>
        <v>0</v>
      </c>
      <c r="K137">
        <f>IF(D137="dram",H137,0)</f>
        <v>228</v>
      </c>
      <c r="L137">
        <v>8192</v>
      </c>
      <c r="M137">
        <v>0</v>
      </c>
    </row>
    <row r="138" spans="1:13">
      <c r="A138">
        <v>136</v>
      </c>
      <c r="B138" t="s">
        <v>21</v>
      </c>
      <c r="C138" t="s">
        <v>90</v>
      </c>
      <c r="D138" t="s">
        <v>108</v>
      </c>
      <c r="E138" t="s">
        <v>132</v>
      </c>
      <c r="F138">
        <v>0</v>
      </c>
      <c r="G138">
        <f>MAX(I133,I133,I21,I136,I23,I137,I135)</f>
        <v>209799</v>
      </c>
      <c r="H138">
        <f>'Operations'!I4</f>
        <v>8453</v>
      </c>
      <c r="I138">
        <f>G138+H138</f>
        <v>218252</v>
      </c>
      <c r="J138">
        <f>IF(AND(D138&lt;&gt;"dram",D138&lt;&gt;"control"),H138,0)</f>
        <v>8453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109</v>
      </c>
      <c r="C139" t="s">
        <v>88</v>
      </c>
      <c r="D139" t="s">
        <v>89</v>
      </c>
      <c r="E139" t="s">
        <v>132</v>
      </c>
      <c r="F139">
        <v>0</v>
      </c>
      <c r="G139">
        <f>MAX(I134,I133)</f>
        <v>201346</v>
      </c>
      <c r="H139">
        <f>0</f>
        <v>8453</v>
      </c>
      <c r="I139">
        <f>G139+H139</f>
        <v>209799</v>
      </c>
      <c r="J139">
        <f>IF(AND(D139&lt;&gt;"dram",D139&lt;&gt;"control"),H139,0)</f>
        <v>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110</v>
      </c>
      <c r="C140" t="s">
        <v>92</v>
      </c>
      <c r="D140" t="s">
        <v>83</v>
      </c>
      <c r="E140" t="s">
        <v>132</v>
      </c>
      <c r="F140">
        <v>1024</v>
      </c>
      <c r="G140">
        <f>MAX(I139,I137)</f>
        <v>209799</v>
      </c>
      <c r="H140">
        <f>CEILING((dram_access_latency+F140/dram_bandwidth)*frequency,1)</f>
        <v>116</v>
      </c>
      <c r="I140">
        <f>G140+H140</f>
        <v>209915</v>
      </c>
      <c r="J140">
        <f>IF(AND(D140&lt;&gt;"dram",D140&lt;&gt;"control"),H140,0)</f>
        <v>0</v>
      </c>
      <c r="K140">
        <f>IF(D140="dram",H140,0)</f>
        <v>116</v>
      </c>
      <c r="L140">
        <v>0</v>
      </c>
      <c r="M140">
        <v>1024</v>
      </c>
    </row>
    <row r="141" spans="1:13">
      <c r="A141">
        <v>139</v>
      </c>
      <c r="B141" t="s">
        <v>105</v>
      </c>
      <c r="C141" t="s">
        <v>82</v>
      </c>
      <c r="D141" t="s">
        <v>83</v>
      </c>
      <c r="E141" t="s">
        <v>133</v>
      </c>
      <c r="F141">
        <v>262144</v>
      </c>
      <c r="G141">
        <f>MAX(I139,I140)</f>
        <v>209915</v>
      </c>
      <c r="H141">
        <f>CEILING((dram_access_latency+F141/dram_bandwidth)*frequency,1)</f>
        <v>4196</v>
      </c>
      <c r="I141">
        <f>G141+H141</f>
        <v>214111</v>
      </c>
      <c r="J141">
        <f>IF(AND(D141&lt;&gt;"dram",D141&lt;&gt;"control"),H141,0)</f>
        <v>0</v>
      </c>
      <c r="K141">
        <f>IF(D141="dram",H141,0)</f>
        <v>4196</v>
      </c>
      <c r="L141">
        <v>262144</v>
      </c>
      <c r="M141">
        <v>0</v>
      </c>
    </row>
    <row r="142" spans="1:13">
      <c r="A142">
        <v>140</v>
      </c>
      <c r="B142" t="s">
        <v>107</v>
      </c>
      <c r="C142" t="s">
        <v>82</v>
      </c>
      <c r="D142" t="s">
        <v>83</v>
      </c>
      <c r="E142" t="s">
        <v>133</v>
      </c>
      <c r="F142">
        <v>8192</v>
      </c>
      <c r="G142">
        <f>MAX(I139,I141)</f>
        <v>214111</v>
      </c>
      <c r="H142">
        <f>CEILING((dram_access_latency+F142/dram_bandwidth)*frequency,1)</f>
        <v>228</v>
      </c>
      <c r="I142">
        <f>G142+H142</f>
        <v>214339</v>
      </c>
      <c r="J142">
        <f>IF(AND(D142&lt;&gt;"dram",D142&lt;&gt;"control"),H142,0)</f>
        <v>0</v>
      </c>
      <c r="K142">
        <f>IF(D142="dram",H142,0)</f>
        <v>228</v>
      </c>
      <c r="L142">
        <v>8192</v>
      </c>
      <c r="M142">
        <v>0</v>
      </c>
    </row>
    <row r="143" spans="1:13">
      <c r="A143">
        <v>141</v>
      </c>
      <c r="B143" t="s">
        <v>21</v>
      </c>
      <c r="C143" t="s">
        <v>90</v>
      </c>
      <c r="D143" t="s">
        <v>108</v>
      </c>
      <c r="E143" t="s">
        <v>133</v>
      </c>
      <c r="F143">
        <v>0</v>
      </c>
      <c r="G143">
        <f>MAX(I138,I138,I21,I141,I23,I142,I140)</f>
        <v>218252</v>
      </c>
      <c r="H143">
        <f>'Operations'!I4</f>
        <v>8453</v>
      </c>
      <c r="I143">
        <f>G143+H143</f>
        <v>226705</v>
      </c>
      <c r="J143">
        <f>IF(AND(D143&lt;&gt;"dram",D143&lt;&gt;"control"),H143,0)</f>
        <v>8453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109</v>
      </c>
      <c r="C144" t="s">
        <v>88</v>
      </c>
      <c r="D144" t="s">
        <v>89</v>
      </c>
      <c r="E144" t="s">
        <v>133</v>
      </c>
      <c r="F144">
        <v>0</v>
      </c>
      <c r="G144">
        <f>MAX(I139,I138)</f>
        <v>209799</v>
      </c>
      <c r="H144">
        <f>0</f>
        <v>8453</v>
      </c>
      <c r="I144">
        <f>G144+H144</f>
        <v>218252</v>
      </c>
      <c r="J144">
        <f>IF(AND(D144&lt;&gt;"dram",D144&lt;&gt;"control"),H144,0)</f>
        <v>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110</v>
      </c>
      <c r="C145" t="s">
        <v>92</v>
      </c>
      <c r="D145" t="s">
        <v>83</v>
      </c>
      <c r="E145" t="s">
        <v>133</v>
      </c>
      <c r="F145">
        <v>1024</v>
      </c>
      <c r="G145">
        <f>MAX(I144,I142)</f>
        <v>218252</v>
      </c>
      <c r="H145">
        <f>CEILING((dram_access_latency+F145/dram_bandwidth)*frequency,1)</f>
        <v>116</v>
      </c>
      <c r="I145">
        <f>G145+H145</f>
        <v>218368</v>
      </c>
      <c r="J145">
        <f>IF(AND(D145&lt;&gt;"dram",D145&lt;&gt;"control"),H145,0)</f>
        <v>0</v>
      </c>
      <c r="K145">
        <f>IF(D145="dram",H145,0)</f>
        <v>116</v>
      </c>
      <c r="L145">
        <v>0</v>
      </c>
      <c r="M145">
        <v>1024</v>
      </c>
    </row>
    <row r="146" spans="1:13">
      <c r="A146">
        <v>144</v>
      </c>
      <c r="B146" t="s">
        <v>105</v>
      </c>
      <c r="C146" t="s">
        <v>82</v>
      </c>
      <c r="D146" t="s">
        <v>83</v>
      </c>
      <c r="E146" t="s">
        <v>134</v>
      </c>
      <c r="F146">
        <v>262144</v>
      </c>
      <c r="G146">
        <f>MAX(I144,I145)</f>
        <v>218368</v>
      </c>
      <c r="H146">
        <f>CEILING((dram_access_latency+F146/dram_bandwidth)*frequency,1)</f>
        <v>4196</v>
      </c>
      <c r="I146">
        <f>G146+H146</f>
        <v>222564</v>
      </c>
      <c r="J146">
        <f>IF(AND(D146&lt;&gt;"dram",D146&lt;&gt;"control"),H146,0)</f>
        <v>0</v>
      </c>
      <c r="K146">
        <f>IF(D146="dram",H146,0)</f>
        <v>4196</v>
      </c>
      <c r="L146">
        <v>262144</v>
      </c>
      <c r="M146">
        <v>0</v>
      </c>
    </row>
    <row r="147" spans="1:13">
      <c r="A147">
        <v>145</v>
      </c>
      <c r="B147" t="s">
        <v>107</v>
      </c>
      <c r="C147" t="s">
        <v>82</v>
      </c>
      <c r="D147" t="s">
        <v>83</v>
      </c>
      <c r="E147" t="s">
        <v>134</v>
      </c>
      <c r="F147">
        <v>8192</v>
      </c>
      <c r="G147">
        <f>MAX(I144,I146)</f>
        <v>222564</v>
      </c>
      <c r="H147">
        <f>CEILING((dram_access_latency+F147/dram_bandwidth)*frequency,1)</f>
        <v>228</v>
      </c>
      <c r="I147">
        <f>G147+H147</f>
        <v>222792</v>
      </c>
      <c r="J147">
        <f>IF(AND(D147&lt;&gt;"dram",D147&lt;&gt;"control"),H147,0)</f>
        <v>0</v>
      </c>
      <c r="K147">
        <f>IF(D147="dram",H147,0)</f>
        <v>228</v>
      </c>
      <c r="L147">
        <v>8192</v>
      </c>
      <c r="M147">
        <v>0</v>
      </c>
    </row>
    <row r="148" spans="1:13">
      <c r="A148">
        <v>146</v>
      </c>
      <c r="B148" t="s">
        <v>21</v>
      </c>
      <c r="C148" t="s">
        <v>90</v>
      </c>
      <c r="D148" t="s">
        <v>108</v>
      </c>
      <c r="E148" t="s">
        <v>134</v>
      </c>
      <c r="F148">
        <v>0</v>
      </c>
      <c r="G148">
        <f>MAX(I143,I143,I21,I146,I23,I147,I145)</f>
        <v>226705</v>
      </c>
      <c r="H148">
        <f>'Operations'!I4</f>
        <v>8453</v>
      </c>
      <c r="I148">
        <f>G148+H148</f>
        <v>235158</v>
      </c>
      <c r="J148">
        <f>IF(AND(D148&lt;&gt;"dram",D148&lt;&gt;"control"),H148,0)</f>
        <v>8453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109</v>
      </c>
      <c r="C149" t="s">
        <v>88</v>
      </c>
      <c r="D149" t="s">
        <v>89</v>
      </c>
      <c r="E149" t="s">
        <v>134</v>
      </c>
      <c r="F149">
        <v>0</v>
      </c>
      <c r="G149">
        <f>MAX(I144,I143)</f>
        <v>218252</v>
      </c>
      <c r="H149">
        <f>0</f>
        <v>8453</v>
      </c>
      <c r="I149">
        <f>G149+H149</f>
        <v>226705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110</v>
      </c>
      <c r="C150" t="s">
        <v>92</v>
      </c>
      <c r="D150" t="s">
        <v>83</v>
      </c>
      <c r="E150" t="s">
        <v>134</v>
      </c>
      <c r="F150">
        <v>1024</v>
      </c>
      <c r="G150">
        <f>MAX(I149,I147)</f>
        <v>226705</v>
      </c>
      <c r="H150">
        <f>CEILING((dram_access_latency+F150/dram_bandwidth)*frequency,1)</f>
        <v>116</v>
      </c>
      <c r="I150">
        <f>G150+H150</f>
        <v>226821</v>
      </c>
      <c r="J150">
        <f>IF(AND(D150&lt;&gt;"dram",D150&lt;&gt;"control"),H150,0)</f>
        <v>0</v>
      </c>
      <c r="K150">
        <f>IF(D150="dram",H150,0)</f>
        <v>116</v>
      </c>
      <c r="L150">
        <v>0</v>
      </c>
      <c r="M150">
        <v>1024</v>
      </c>
    </row>
    <row r="151" spans="1:13">
      <c r="A151">
        <v>149</v>
      </c>
      <c r="B151" t="s">
        <v>105</v>
      </c>
      <c r="C151" t="s">
        <v>82</v>
      </c>
      <c r="D151" t="s">
        <v>83</v>
      </c>
      <c r="E151" t="s">
        <v>135</v>
      </c>
      <c r="F151">
        <v>262144</v>
      </c>
      <c r="G151">
        <f>MAX(I149,I150)</f>
        <v>226821</v>
      </c>
      <c r="H151">
        <f>CEILING((dram_access_latency+F151/dram_bandwidth)*frequency,1)</f>
        <v>4196</v>
      </c>
      <c r="I151">
        <f>G151+H151</f>
        <v>231017</v>
      </c>
      <c r="J151">
        <f>IF(AND(D151&lt;&gt;"dram",D151&lt;&gt;"control"),H151,0)</f>
        <v>0</v>
      </c>
      <c r="K151">
        <f>IF(D151="dram",H151,0)</f>
        <v>4196</v>
      </c>
      <c r="L151">
        <v>262144</v>
      </c>
      <c r="M151">
        <v>0</v>
      </c>
    </row>
    <row r="152" spans="1:13">
      <c r="A152">
        <v>150</v>
      </c>
      <c r="B152" t="s">
        <v>107</v>
      </c>
      <c r="C152" t="s">
        <v>82</v>
      </c>
      <c r="D152" t="s">
        <v>83</v>
      </c>
      <c r="E152" t="s">
        <v>135</v>
      </c>
      <c r="F152">
        <v>8192</v>
      </c>
      <c r="G152">
        <f>MAX(I149,I151)</f>
        <v>231017</v>
      </c>
      <c r="H152">
        <f>CEILING((dram_access_latency+F152/dram_bandwidth)*frequency,1)</f>
        <v>228</v>
      </c>
      <c r="I152">
        <f>G152+H152</f>
        <v>231245</v>
      </c>
      <c r="J152">
        <f>IF(AND(D152&lt;&gt;"dram",D152&lt;&gt;"control"),H152,0)</f>
        <v>0</v>
      </c>
      <c r="K152">
        <f>IF(D152="dram",H152,0)</f>
        <v>228</v>
      </c>
      <c r="L152">
        <v>8192</v>
      </c>
      <c r="M152">
        <v>0</v>
      </c>
    </row>
    <row r="153" spans="1:13">
      <c r="A153">
        <v>151</v>
      </c>
      <c r="B153" t="s">
        <v>21</v>
      </c>
      <c r="C153" t="s">
        <v>90</v>
      </c>
      <c r="D153" t="s">
        <v>108</v>
      </c>
      <c r="E153" t="s">
        <v>135</v>
      </c>
      <c r="F153">
        <v>0</v>
      </c>
      <c r="G153">
        <f>MAX(I148,I148,I21,I151,I23,I152,I150)</f>
        <v>235158</v>
      </c>
      <c r="H153">
        <f>'Operations'!I4</f>
        <v>8453</v>
      </c>
      <c r="I153">
        <f>G153+H153</f>
        <v>243611</v>
      </c>
      <c r="J153">
        <f>IF(AND(D153&lt;&gt;"dram",D153&lt;&gt;"control"),H153,0)</f>
        <v>8453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109</v>
      </c>
      <c r="C154" t="s">
        <v>88</v>
      </c>
      <c r="D154" t="s">
        <v>89</v>
      </c>
      <c r="E154" t="s">
        <v>135</v>
      </c>
      <c r="F154">
        <v>0</v>
      </c>
      <c r="G154">
        <f>MAX(I149,I148)</f>
        <v>226705</v>
      </c>
      <c r="H154">
        <f>0</f>
        <v>8453</v>
      </c>
      <c r="I154">
        <f>G154+H154</f>
        <v>235158</v>
      </c>
      <c r="J154">
        <f>IF(AND(D154&lt;&gt;"dram",D154&lt;&gt;"control"),H154,0)</f>
        <v>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110</v>
      </c>
      <c r="C155" t="s">
        <v>92</v>
      </c>
      <c r="D155" t="s">
        <v>83</v>
      </c>
      <c r="E155" t="s">
        <v>135</v>
      </c>
      <c r="F155">
        <v>1024</v>
      </c>
      <c r="G155">
        <f>MAX(I154,I152)</f>
        <v>235158</v>
      </c>
      <c r="H155">
        <f>CEILING((dram_access_latency+F155/dram_bandwidth)*frequency,1)</f>
        <v>116</v>
      </c>
      <c r="I155">
        <f>G155+H155</f>
        <v>235274</v>
      </c>
      <c r="J155">
        <f>IF(AND(D155&lt;&gt;"dram",D155&lt;&gt;"control"),H155,0)</f>
        <v>0</v>
      </c>
      <c r="K155">
        <f>IF(D155="dram",H155,0)</f>
        <v>116</v>
      </c>
      <c r="L155">
        <v>0</v>
      </c>
      <c r="M155">
        <v>1024</v>
      </c>
    </row>
    <row r="156" spans="1:13">
      <c r="A156">
        <v>154</v>
      </c>
      <c r="B156" t="s">
        <v>105</v>
      </c>
      <c r="C156" t="s">
        <v>82</v>
      </c>
      <c r="D156" t="s">
        <v>83</v>
      </c>
      <c r="E156" t="s">
        <v>136</v>
      </c>
      <c r="F156">
        <v>262144</v>
      </c>
      <c r="G156">
        <f>MAX(I154,I155)</f>
        <v>235274</v>
      </c>
      <c r="H156">
        <f>CEILING((dram_access_latency+F156/dram_bandwidth)*frequency,1)</f>
        <v>4196</v>
      </c>
      <c r="I156">
        <f>G156+H156</f>
        <v>239470</v>
      </c>
      <c r="J156">
        <f>IF(AND(D156&lt;&gt;"dram",D156&lt;&gt;"control"),H156,0)</f>
        <v>0</v>
      </c>
      <c r="K156">
        <f>IF(D156="dram",H156,0)</f>
        <v>4196</v>
      </c>
      <c r="L156">
        <v>262144</v>
      </c>
      <c r="M156">
        <v>0</v>
      </c>
    </row>
    <row r="157" spans="1:13">
      <c r="A157">
        <v>155</v>
      </c>
      <c r="B157" t="s">
        <v>107</v>
      </c>
      <c r="C157" t="s">
        <v>82</v>
      </c>
      <c r="D157" t="s">
        <v>83</v>
      </c>
      <c r="E157" t="s">
        <v>136</v>
      </c>
      <c r="F157">
        <v>8192</v>
      </c>
      <c r="G157">
        <f>MAX(I154,I156)</f>
        <v>239470</v>
      </c>
      <c r="H157">
        <f>CEILING((dram_access_latency+F157/dram_bandwidth)*frequency,1)</f>
        <v>228</v>
      </c>
      <c r="I157">
        <f>G157+H157</f>
        <v>239698</v>
      </c>
      <c r="J157">
        <f>IF(AND(D157&lt;&gt;"dram",D157&lt;&gt;"control"),H157,0)</f>
        <v>0</v>
      </c>
      <c r="K157">
        <f>IF(D157="dram",H157,0)</f>
        <v>228</v>
      </c>
      <c r="L157">
        <v>8192</v>
      </c>
      <c r="M157">
        <v>0</v>
      </c>
    </row>
    <row r="158" spans="1:13">
      <c r="A158">
        <v>156</v>
      </c>
      <c r="B158" t="s">
        <v>21</v>
      </c>
      <c r="C158" t="s">
        <v>90</v>
      </c>
      <c r="D158" t="s">
        <v>108</v>
      </c>
      <c r="E158" t="s">
        <v>136</v>
      </c>
      <c r="F158">
        <v>0</v>
      </c>
      <c r="G158">
        <f>MAX(I153,I153,I21,I156,I23,I157,I155)</f>
        <v>243611</v>
      </c>
      <c r="H158">
        <f>'Operations'!I4</f>
        <v>8453</v>
      </c>
      <c r="I158">
        <f>G158+H158</f>
        <v>252064</v>
      </c>
      <c r="J158">
        <f>IF(AND(D158&lt;&gt;"dram",D158&lt;&gt;"control"),H158,0)</f>
        <v>8453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109</v>
      </c>
      <c r="C159" t="s">
        <v>88</v>
      </c>
      <c r="D159" t="s">
        <v>89</v>
      </c>
      <c r="E159" t="s">
        <v>136</v>
      </c>
      <c r="F159">
        <v>0</v>
      </c>
      <c r="G159">
        <f>MAX(I154,I153)</f>
        <v>235158</v>
      </c>
      <c r="H159">
        <f>0</f>
        <v>8453</v>
      </c>
      <c r="I159">
        <f>G159+H159</f>
        <v>243611</v>
      </c>
      <c r="J159">
        <f>IF(AND(D159&lt;&gt;"dram",D159&lt;&gt;"control"),H159,0)</f>
        <v>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110</v>
      </c>
      <c r="C160" t="s">
        <v>92</v>
      </c>
      <c r="D160" t="s">
        <v>83</v>
      </c>
      <c r="E160" t="s">
        <v>136</v>
      </c>
      <c r="F160">
        <v>1024</v>
      </c>
      <c r="G160">
        <f>MAX(I159,I157)</f>
        <v>243611</v>
      </c>
      <c r="H160">
        <f>CEILING((dram_access_latency+F160/dram_bandwidth)*frequency,1)</f>
        <v>116</v>
      </c>
      <c r="I160">
        <f>G160+H160</f>
        <v>243727</v>
      </c>
      <c r="J160">
        <f>IF(AND(D160&lt;&gt;"dram",D160&lt;&gt;"control"),H160,0)</f>
        <v>0</v>
      </c>
      <c r="K160">
        <f>IF(D160="dram",H160,0)</f>
        <v>116</v>
      </c>
      <c r="L160">
        <v>0</v>
      </c>
      <c r="M160">
        <v>1024</v>
      </c>
    </row>
    <row r="161" spans="1:13">
      <c r="A161">
        <v>159</v>
      </c>
      <c r="B161" t="s">
        <v>105</v>
      </c>
      <c r="C161" t="s">
        <v>82</v>
      </c>
      <c r="D161" t="s">
        <v>83</v>
      </c>
      <c r="E161" t="s">
        <v>137</v>
      </c>
      <c r="F161">
        <v>262144</v>
      </c>
      <c r="G161">
        <f>MAX(I159,I160)</f>
        <v>243727</v>
      </c>
      <c r="H161">
        <f>CEILING((dram_access_latency+F161/dram_bandwidth)*frequency,1)</f>
        <v>4196</v>
      </c>
      <c r="I161">
        <f>G161+H161</f>
        <v>247923</v>
      </c>
      <c r="J161">
        <f>IF(AND(D161&lt;&gt;"dram",D161&lt;&gt;"control"),H161,0)</f>
        <v>0</v>
      </c>
      <c r="K161">
        <f>IF(D161="dram",H161,0)</f>
        <v>4196</v>
      </c>
      <c r="L161">
        <v>262144</v>
      </c>
      <c r="M161">
        <v>0</v>
      </c>
    </row>
    <row r="162" spans="1:13">
      <c r="A162">
        <v>160</v>
      </c>
      <c r="B162" t="s">
        <v>107</v>
      </c>
      <c r="C162" t="s">
        <v>82</v>
      </c>
      <c r="D162" t="s">
        <v>83</v>
      </c>
      <c r="E162" t="s">
        <v>137</v>
      </c>
      <c r="F162">
        <v>8192</v>
      </c>
      <c r="G162">
        <f>MAX(I159,I161)</f>
        <v>247923</v>
      </c>
      <c r="H162">
        <f>CEILING((dram_access_latency+F162/dram_bandwidth)*frequency,1)</f>
        <v>228</v>
      </c>
      <c r="I162">
        <f>G162+H162</f>
        <v>248151</v>
      </c>
      <c r="J162">
        <f>IF(AND(D162&lt;&gt;"dram",D162&lt;&gt;"control"),H162,0)</f>
        <v>0</v>
      </c>
      <c r="K162">
        <f>IF(D162="dram",H162,0)</f>
        <v>228</v>
      </c>
      <c r="L162">
        <v>8192</v>
      </c>
      <c r="M162">
        <v>0</v>
      </c>
    </row>
    <row r="163" spans="1:13">
      <c r="A163">
        <v>161</v>
      </c>
      <c r="B163" t="s">
        <v>21</v>
      </c>
      <c r="C163" t="s">
        <v>90</v>
      </c>
      <c r="D163" t="s">
        <v>108</v>
      </c>
      <c r="E163" t="s">
        <v>137</v>
      </c>
      <c r="F163">
        <v>0</v>
      </c>
      <c r="G163">
        <f>MAX(I158,I158,I21,I161,I23,I162,I160)</f>
        <v>252064</v>
      </c>
      <c r="H163">
        <f>'Operations'!I4</f>
        <v>8453</v>
      </c>
      <c r="I163">
        <f>G163+H163</f>
        <v>260517</v>
      </c>
      <c r="J163">
        <f>IF(AND(D163&lt;&gt;"dram",D163&lt;&gt;"control"),H163,0)</f>
        <v>8453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109</v>
      </c>
      <c r="C164" t="s">
        <v>88</v>
      </c>
      <c r="D164" t="s">
        <v>89</v>
      </c>
      <c r="E164" t="s">
        <v>137</v>
      </c>
      <c r="F164">
        <v>0</v>
      </c>
      <c r="G164">
        <f>MAX(I159,I158)</f>
        <v>243611</v>
      </c>
      <c r="H164">
        <f>0</f>
        <v>8453</v>
      </c>
      <c r="I164">
        <f>G164+H164</f>
        <v>252064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110</v>
      </c>
      <c r="C165" t="s">
        <v>92</v>
      </c>
      <c r="D165" t="s">
        <v>83</v>
      </c>
      <c r="E165" t="s">
        <v>137</v>
      </c>
      <c r="F165">
        <v>1024</v>
      </c>
      <c r="G165">
        <f>MAX(I164,I162)</f>
        <v>252064</v>
      </c>
      <c r="H165">
        <f>CEILING((dram_access_latency+F165/dram_bandwidth)*frequency,1)</f>
        <v>116</v>
      </c>
      <c r="I165">
        <f>G165+H165</f>
        <v>252180</v>
      </c>
      <c r="J165">
        <f>IF(AND(D165&lt;&gt;"dram",D165&lt;&gt;"control"),H165,0)</f>
        <v>0</v>
      </c>
      <c r="K165">
        <f>IF(D165="dram",H165,0)</f>
        <v>116</v>
      </c>
      <c r="L165">
        <v>0</v>
      </c>
      <c r="M165">
        <v>1024</v>
      </c>
    </row>
    <row r="166" spans="1:13">
      <c r="A166">
        <v>164</v>
      </c>
      <c r="B166" t="s">
        <v>105</v>
      </c>
      <c r="C166" t="s">
        <v>82</v>
      </c>
      <c r="D166" t="s">
        <v>83</v>
      </c>
      <c r="E166" t="s">
        <v>138</v>
      </c>
      <c r="F166">
        <v>262144</v>
      </c>
      <c r="G166">
        <f>MAX(I164,I165)</f>
        <v>252180</v>
      </c>
      <c r="H166">
        <f>CEILING((dram_access_latency+F166/dram_bandwidth)*frequency,1)</f>
        <v>4196</v>
      </c>
      <c r="I166">
        <f>G166+H166</f>
        <v>256376</v>
      </c>
      <c r="J166">
        <f>IF(AND(D166&lt;&gt;"dram",D166&lt;&gt;"control"),H166,0)</f>
        <v>0</v>
      </c>
      <c r="K166">
        <f>IF(D166="dram",H166,0)</f>
        <v>4196</v>
      </c>
      <c r="L166">
        <v>262144</v>
      </c>
      <c r="M166">
        <v>0</v>
      </c>
    </row>
    <row r="167" spans="1:13">
      <c r="A167">
        <v>165</v>
      </c>
      <c r="B167" t="s">
        <v>107</v>
      </c>
      <c r="C167" t="s">
        <v>82</v>
      </c>
      <c r="D167" t="s">
        <v>83</v>
      </c>
      <c r="E167" t="s">
        <v>138</v>
      </c>
      <c r="F167">
        <v>8192</v>
      </c>
      <c r="G167">
        <f>MAX(I164,I166)</f>
        <v>256376</v>
      </c>
      <c r="H167">
        <f>CEILING((dram_access_latency+F167/dram_bandwidth)*frequency,1)</f>
        <v>228</v>
      </c>
      <c r="I167">
        <f>G167+H167</f>
        <v>256604</v>
      </c>
      <c r="J167">
        <f>IF(AND(D167&lt;&gt;"dram",D167&lt;&gt;"control"),H167,0)</f>
        <v>0</v>
      </c>
      <c r="K167">
        <f>IF(D167="dram",H167,0)</f>
        <v>228</v>
      </c>
      <c r="L167">
        <v>8192</v>
      </c>
      <c r="M167">
        <v>0</v>
      </c>
    </row>
    <row r="168" spans="1:13">
      <c r="A168">
        <v>166</v>
      </c>
      <c r="B168" t="s">
        <v>21</v>
      </c>
      <c r="C168" t="s">
        <v>90</v>
      </c>
      <c r="D168" t="s">
        <v>108</v>
      </c>
      <c r="E168" t="s">
        <v>138</v>
      </c>
      <c r="F168">
        <v>0</v>
      </c>
      <c r="G168">
        <f>MAX(I163,I163,I21,I166,I23,I167,I165)</f>
        <v>260517</v>
      </c>
      <c r="H168">
        <f>'Operations'!I4</f>
        <v>8453</v>
      </c>
      <c r="I168">
        <f>G168+H168</f>
        <v>268970</v>
      </c>
      <c r="J168">
        <f>IF(AND(D168&lt;&gt;"dram",D168&lt;&gt;"control"),H168,0)</f>
        <v>8453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109</v>
      </c>
      <c r="C169" t="s">
        <v>88</v>
      </c>
      <c r="D169" t="s">
        <v>89</v>
      </c>
      <c r="E169" t="s">
        <v>138</v>
      </c>
      <c r="F169">
        <v>0</v>
      </c>
      <c r="G169">
        <f>MAX(I164,I163)</f>
        <v>252064</v>
      </c>
      <c r="H169">
        <f>0</f>
        <v>8453</v>
      </c>
      <c r="I169">
        <f>G169+H169</f>
        <v>260517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110</v>
      </c>
      <c r="C170" t="s">
        <v>92</v>
      </c>
      <c r="D170" t="s">
        <v>83</v>
      </c>
      <c r="E170" t="s">
        <v>138</v>
      </c>
      <c r="F170">
        <v>1024</v>
      </c>
      <c r="G170">
        <f>MAX(I169,I167)</f>
        <v>260517</v>
      </c>
      <c r="H170">
        <f>CEILING((dram_access_latency+F170/dram_bandwidth)*frequency,1)</f>
        <v>116</v>
      </c>
      <c r="I170">
        <f>G170+H170</f>
        <v>260633</v>
      </c>
      <c r="J170">
        <f>IF(AND(D170&lt;&gt;"dram",D170&lt;&gt;"control"),H170,0)</f>
        <v>0</v>
      </c>
      <c r="K170">
        <f>IF(D170="dram",H170,0)</f>
        <v>116</v>
      </c>
      <c r="L170">
        <v>0</v>
      </c>
      <c r="M170">
        <v>1024</v>
      </c>
    </row>
    <row r="171" spans="1:13">
      <c r="A171">
        <v>169</v>
      </c>
      <c r="B171" t="s">
        <v>105</v>
      </c>
      <c r="C171" t="s">
        <v>82</v>
      </c>
      <c r="D171" t="s">
        <v>83</v>
      </c>
      <c r="E171" t="s">
        <v>139</v>
      </c>
      <c r="F171">
        <v>262144</v>
      </c>
      <c r="G171">
        <f>MAX(I169,I170)</f>
        <v>260633</v>
      </c>
      <c r="H171">
        <f>CEILING((dram_access_latency+F171/dram_bandwidth)*frequency,1)</f>
        <v>4196</v>
      </c>
      <c r="I171">
        <f>G171+H171</f>
        <v>264829</v>
      </c>
      <c r="J171">
        <f>IF(AND(D171&lt;&gt;"dram",D171&lt;&gt;"control"),H171,0)</f>
        <v>0</v>
      </c>
      <c r="K171">
        <f>IF(D171="dram",H171,0)</f>
        <v>4196</v>
      </c>
      <c r="L171">
        <v>262144</v>
      </c>
      <c r="M171">
        <v>0</v>
      </c>
    </row>
    <row r="172" spans="1:13">
      <c r="A172">
        <v>170</v>
      </c>
      <c r="B172" t="s">
        <v>107</v>
      </c>
      <c r="C172" t="s">
        <v>82</v>
      </c>
      <c r="D172" t="s">
        <v>83</v>
      </c>
      <c r="E172" t="s">
        <v>139</v>
      </c>
      <c r="F172">
        <v>8192</v>
      </c>
      <c r="G172">
        <f>MAX(I169,I171)</f>
        <v>264829</v>
      </c>
      <c r="H172">
        <f>CEILING((dram_access_latency+F172/dram_bandwidth)*frequency,1)</f>
        <v>228</v>
      </c>
      <c r="I172">
        <f>G172+H172</f>
        <v>265057</v>
      </c>
      <c r="J172">
        <f>IF(AND(D172&lt;&gt;"dram",D172&lt;&gt;"control"),H172,0)</f>
        <v>0</v>
      </c>
      <c r="K172">
        <f>IF(D172="dram",H172,0)</f>
        <v>228</v>
      </c>
      <c r="L172">
        <v>8192</v>
      </c>
      <c r="M172">
        <v>0</v>
      </c>
    </row>
    <row r="173" spans="1:13">
      <c r="A173">
        <v>171</v>
      </c>
      <c r="B173" t="s">
        <v>21</v>
      </c>
      <c r="C173" t="s">
        <v>90</v>
      </c>
      <c r="D173" t="s">
        <v>108</v>
      </c>
      <c r="E173" t="s">
        <v>139</v>
      </c>
      <c r="F173">
        <v>0</v>
      </c>
      <c r="G173">
        <f>MAX(I168,I168,I21,I171,I23,I172,I170)</f>
        <v>268970</v>
      </c>
      <c r="H173">
        <f>'Operations'!I4</f>
        <v>8453</v>
      </c>
      <c r="I173">
        <f>G173+H173</f>
        <v>277423</v>
      </c>
      <c r="J173">
        <f>IF(AND(D173&lt;&gt;"dram",D173&lt;&gt;"control"),H173,0)</f>
        <v>8453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109</v>
      </c>
      <c r="C174" t="s">
        <v>88</v>
      </c>
      <c r="D174" t="s">
        <v>89</v>
      </c>
      <c r="E174" t="s">
        <v>139</v>
      </c>
      <c r="F174">
        <v>0</v>
      </c>
      <c r="G174">
        <f>MAX(I169,I168)</f>
        <v>260517</v>
      </c>
      <c r="H174">
        <f>0</f>
        <v>8453</v>
      </c>
      <c r="I174">
        <f>G174+H174</f>
        <v>268970</v>
      </c>
      <c r="J174">
        <f>IF(AND(D174&lt;&gt;"dram",D174&lt;&gt;"control"),H174,0)</f>
        <v>0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110</v>
      </c>
      <c r="C175" t="s">
        <v>92</v>
      </c>
      <c r="D175" t="s">
        <v>83</v>
      </c>
      <c r="E175" t="s">
        <v>139</v>
      </c>
      <c r="F175">
        <v>1024</v>
      </c>
      <c r="G175">
        <f>MAX(I174,I172)</f>
        <v>268970</v>
      </c>
      <c r="H175">
        <f>CEILING((dram_access_latency+F175/dram_bandwidth)*frequency,1)</f>
        <v>116</v>
      </c>
      <c r="I175">
        <f>G175+H175</f>
        <v>269086</v>
      </c>
      <c r="J175">
        <f>IF(AND(D175&lt;&gt;"dram",D175&lt;&gt;"control"),H175,0)</f>
        <v>0</v>
      </c>
      <c r="K175">
        <f>IF(D175="dram",H175,0)</f>
        <v>116</v>
      </c>
      <c r="L175">
        <v>0</v>
      </c>
      <c r="M175">
        <v>1024</v>
      </c>
    </row>
    <row r="176" spans="1:13">
      <c r="A176">
        <v>174</v>
      </c>
      <c r="B176" t="s">
        <v>105</v>
      </c>
      <c r="C176" t="s">
        <v>82</v>
      </c>
      <c r="D176" t="s">
        <v>83</v>
      </c>
      <c r="E176" t="s">
        <v>140</v>
      </c>
      <c r="F176">
        <v>262144</v>
      </c>
      <c r="G176">
        <f>MAX(I174,I175)</f>
        <v>269086</v>
      </c>
      <c r="H176">
        <f>CEILING((dram_access_latency+F176/dram_bandwidth)*frequency,1)</f>
        <v>4196</v>
      </c>
      <c r="I176">
        <f>G176+H176</f>
        <v>273282</v>
      </c>
      <c r="J176">
        <f>IF(AND(D176&lt;&gt;"dram",D176&lt;&gt;"control"),H176,0)</f>
        <v>0</v>
      </c>
      <c r="K176">
        <f>IF(D176="dram",H176,0)</f>
        <v>4196</v>
      </c>
      <c r="L176">
        <v>262144</v>
      </c>
      <c r="M176">
        <v>0</v>
      </c>
    </row>
    <row r="177" spans="1:13">
      <c r="A177">
        <v>175</v>
      </c>
      <c r="B177" t="s">
        <v>107</v>
      </c>
      <c r="C177" t="s">
        <v>82</v>
      </c>
      <c r="D177" t="s">
        <v>83</v>
      </c>
      <c r="E177" t="s">
        <v>140</v>
      </c>
      <c r="F177">
        <v>8192</v>
      </c>
      <c r="G177">
        <f>MAX(I174,I176)</f>
        <v>273282</v>
      </c>
      <c r="H177">
        <f>CEILING((dram_access_latency+F177/dram_bandwidth)*frequency,1)</f>
        <v>228</v>
      </c>
      <c r="I177">
        <f>G177+H177</f>
        <v>273510</v>
      </c>
      <c r="J177">
        <f>IF(AND(D177&lt;&gt;"dram",D177&lt;&gt;"control"),H177,0)</f>
        <v>0</v>
      </c>
      <c r="K177">
        <f>IF(D177="dram",H177,0)</f>
        <v>228</v>
      </c>
      <c r="L177">
        <v>8192</v>
      </c>
      <c r="M177">
        <v>0</v>
      </c>
    </row>
    <row r="178" spans="1:13">
      <c r="A178">
        <v>176</v>
      </c>
      <c r="B178" t="s">
        <v>21</v>
      </c>
      <c r="C178" t="s">
        <v>90</v>
      </c>
      <c r="D178" t="s">
        <v>108</v>
      </c>
      <c r="E178" t="s">
        <v>140</v>
      </c>
      <c r="F178">
        <v>0</v>
      </c>
      <c r="G178">
        <f>MAX(I173,I173,I21,I176,I23,I177,I175)</f>
        <v>277423</v>
      </c>
      <c r="H178">
        <f>'Operations'!I4</f>
        <v>8453</v>
      </c>
      <c r="I178">
        <f>G178+H178</f>
        <v>285876</v>
      </c>
      <c r="J178">
        <f>IF(AND(D178&lt;&gt;"dram",D178&lt;&gt;"control"),H178,0)</f>
        <v>8453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109</v>
      </c>
      <c r="C179" t="s">
        <v>88</v>
      </c>
      <c r="D179" t="s">
        <v>89</v>
      </c>
      <c r="E179" t="s">
        <v>140</v>
      </c>
      <c r="F179">
        <v>0</v>
      </c>
      <c r="G179">
        <f>MAX(I174,I173)</f>
        <v>268970</v>
      </c>
      <c r="H179">
        <f>0</f>
        <v>8453</v>
      </c>
      <c r="I179">
        <f>G179+H179</f>
        <v>277423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110</v>
      </c>
      <c r="C180" t="s">
        <v>92</v>
      </c>
      <c r="D180" t="s">
        <v>83</v>
      </c>
      <c r="E180" t="s">
        <v>140</v>
      </c>
      <c r="F180">
        <v>1024</v>
      </c>
      <c r="G180">
        <f>MAX(I179,I177)</f>
        <v>277423</v>
      </c>
      <c r="H180">
        <f>CEILING((dram_access_latency+F180/dram_bandwidth)*frequency,1)</f>
        <v>116</v>
      </c>
      <c r="I180">
        <f>G180+H180</f>
        <v>277539</v>
      </c>
      <c r="J180">
        <f>IF(AND(D180&lt;&gt;"dram",D180&lt;&gt;"control"),H180,0)</f>
        <v>0</v>
      </c>
      <c r="K180">
        <f>IF(D180="dram",H180,0)</f>
        <v>116</v>
      </c>
      <c r="L180">
        <v>0</v>
      </c>
      <c r="M180">
        <v>1024</v>
      </c>
    </row>
    <row r="181" spans="1:13">
      <c r="A181">
        <v>179</v>
      </c>
      <c r="B181" t="s">
        <v>141</v>
      </c>
      <c r="C181" t="s">
        <v>88</v>
      </c>
      <c r="D181" t="s">
        <v>89</v>
      </c>
      <c r="E181" t="s">
        <v>84</v>
      </c>
      <c r="F181">
        <v>0</v>
      </c>
      <c r="G181">
        <f>MAX(I179,I178)</f>
        <v>277423</v>
      </c>
      <c r="H181">
        <f>0</f>
        <v>8453</v>
      </c>
      <c r="I181">
        <f>G181+H181</f>
        <v>285876</v>
      </c>
      <c r="J181">
        <f>IF(AND(D181&lt;&gt;"dram",D181&lt;&gt;"control"),H181,0)</f>
        <v>0</v>
      </c>
      <c r="K181">
        <f>IF(D181="dram",H181,0)</f>
        <v>0</v>
      </c>
      <c r="L181">
        <v>0</v>
      </c>
      <c r="M181">
        <v>0</v>
      </c>
    </row>
    <row r="182" spans="1:13">
      <c r="A182">
        <v>180</v>
      </c>
      <c r="B182" t="s">
        <v>142</v>
      </c>
      <c r="C182" t="s">
        <v>92</v>
      </c>
      <c r="D182" t="s">
        <v>83</v>
      </c>
      <c r="E182" t="s">
        <v>84</v>
      </c>
      <c r="F182">
        <v>1024</v>
      </c>
      <c r="G182">
        <f>MAX(I181,I180)</f>
        <v>285876</v>
      </c>
      <c r="H182">
        <f>CEILING((dram_access_latency+F182/dram_bandwidth)*frequency,1)</f>
        <v>116</v>
      </c>
      <c r="I182">
        <f>G182+H182</f>
        <v>285992</v>
      </c>
      <c r="J182">
        <f>IF(AND(D182&lt;&gt;"dram",D182&lt;&gt;"control"),H182,0)</f>
        <v>0</v>
      </c>
      <c r="K182">
        <f>IF(D182="dram",H182,0)</f>
        <v>116</v>
      </c>
      <c r="L182">
        <v>0</v>
      </c>
      <c r="M182">
        <v>1024</v>
      </c>
    </row>
    <row r="183" spans="1:13">
      <c r="A183">
        <v>181</v>
      </c>
      <c r="B183" t="s">
        <v>143</v>
      </c>
      <c r="C183" t="s">
        <v>88</v>
      </c>
      <c r="D183" t="s">
        <v>89</v>
      </c>
      <c r="E183" t="s">
        <v>84</v>
      </c>
      <c r="F183">
        <v>0</v>
      </c>
      <c r="G183">
        <f>MAX(I181,I180)</f>
        <v>285876</v>
      </c>
      <c r="H183">
        <f>0</f>
        <v>0</v>
      </c>
      <c r="I183">
        <f>G183+H183</f>
        <v>285876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144</v>
      </c>
      <c r="C184" t="s">
        <v>88</v>
      </c>
      <c r="D184" t="s">
        <v>89</v>
      </c>
      <c r="E184" t="s">
        <v>84</v>
      </c>
      <c r="F184">
        <v>0</v>
      </c>
      <c r="G184">
        <f>MAX(I183,I182)</f>
        <v>285876</v>
      </c>
      <c r="H184">
        <f>0</f>
        <v>116</v>
      </c>
      <c r="I184">
        <f>G184+H184</f>
        <v>285992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145</v>
      </c>
      <c r="C185" t="s">
        <v>82</v>
      </c>
      <c r="D185" t="s">
        <v>83</v>
      </c>
      <c r="E185" t="s">
        <v>86</v>
      </c>
      <c r="F185">
        <v>8192</v>
      </c>
      <c r="G185">
        <f>MAX(I184,I182)</f>
        <v>285992</v>
      </c>
      <c r="H185">
        <f>CEILING((dram_access_latency+F185/dram_bandwidth)*frequency,1)</f>
        <v>228</v>
      </c>
      <c r="I185">
        <f>G185+H185</f>
        <v>286220</v>
      </c>
      <c r="J185">
        <f>IF(AND(D185&lt;&gt;"dram",D185&lt;&gt;"control"),H185,0)</f>
        <v>0</v>
      </c>
      <c r="K185">
        <f>IF(D185="dram",H185,0)</f>
        <v>228</v>
      </c>
      <c r="L185">
        <v>8192</v>
      </c>
      <c r="M185">
        <v>0</v>
      </c>
    </row>
    <row r="186" spans="1:13">
      <c r="A186">
        <v>184</v>
      </c>
      <c r="B186" t="s">
        <v>146</v>
      </c>
      <c r="C186" t="s">
        <v>82</v>
      </c>
      <c r="D186" t="s">
        <v>83</v>
      </c>
      <c r="E186" t="s">
        <v>86</v>
      </c>
      <c r="F186">
        <v>262144</v>
      </c>
      <c r="G186">
        <f>MAX(I184,I185)</f>
        <v>286220</v>
      </c>
      <c r="H186">
        <f>CEILING((dram_access_latency+F186/dram_bandwidth)*frequency,1)</f>
        <v>4196</v>
      </c>
      <c r="I186">
        <f>G186+H186</f>
        <v>290416</v>
      </c>
      <c r="J186">
        <f>IF(AND(D186&lt;&gt;"dram",D186&lt;&gt;"control"),H186,0)</f>
        <v>0</v>
      </c>
      <c r="K186">
        <f>IF(D186="dram",H186,0)</f>
        <v>4196</v>
      </c>
      <c r="L186">
        <v>262144</v>
      </c>
      <c r="M186">
        <v>0</v>
      </c>
    </row>
    <row r="187" spans="1:13">
      <c r="A187">
        <v>185</v>
      </c>
      <c r="B187" t="s">
        <v>147</v>
      </c>
      <c r="C187" t="s">
        <v>82</v>
      </c>
      <c r="D187" t="s">
        <v>83</v>
      </c>
      <c r="E187" t="s">
        <v>86</v>
      </c>
      <c r="F187">
        <v>256</v>
      </c>
      <c r="G187">
        <f>MAX(I184,I186)</f>
        <v>290416</v>
      </c>
      <c r="H187">
        <f>CEILING((dram_access_latency+F187/dram_bandwidth)*frequency,1)</f>
        <v>104</v>
      </c>
      <c r="I187">
        <f>G187+H187</f>
        <v>290520</v>
      </c>
      <c r="J187">
        <f>IF(AND(D187&lt;&gt;"dram",D187&lt;&gt;"control"),H187,0)</f>
        <v>0</v>
      </c>
      <c r="K187">
        <f>IF(D187="dram",H187,0)</f>
        <v>104</v>
      </c>
      <c r="L187">
        <v>256</v>
      </c>
      <c r="M187">
        <v>0</v>
      </c>
    </row>
    <row r="188" spans="1:13">
      <c r="A188">
        <v>186</v>
      </c>
      <c r="B188" t="s">
        <v>148</v>
      </c>
      <c r="C188" t="s">
        <v>82</v>
      </c>
      <c r="D188" t="s">
        <v>83</v>
      </c>
      <c r="E188" t="s">
        <v>86</v>
      </c>
      <c r="F188">
        <v>8192</v>
      </c>
      <c r="G188">
        <f>MAX(I184,I187)</f>
        <v>290520</v>
      </c>
      <c r="H188">
        <f>CEILING((dram_access_latency+F188/dram_bandwidth)*frequency,1)</f>
        <v>228</v>
      </c>
      <c r="I188">
        <f>G188+H188</f>
        <v>290748</v>
      </c>
      <c r="J188">
        <f>IF(AND(D188&lt;&gt;"dram",D188&lt;&gt;"control"),H188,0)</f>
        <v>0</v>
      </c>
      <c r="K188">
        <f>IF(D188="dram",H188,0)</f>
        <v>228</v>
      </c>
      <c r="L188">
        <v>8192</v>
      </c>
      <c r="M188">
        <v>0</v>
      </c>
    </row>
    <row r="189" spans="1:13">
      <c r="A189">
        <v>187</v>
      </c>
      <c r="B189" t="s">
        <v>25</v>
      </c>
      <c r="C189" t="s">
        <v>90</v>
      </c>
      <c r="D189" t="s">
        <v>108</v>
      </c>
      <c r="E189" t="s">
        <v>86</v>
      </c>
      <c r="F189">
        <v>0</v>
      </c>
      <c r="G189">
        <f>MAX(I178,I178,I185,I186,I187,I188)</f>
        <v>290748</v>
      </c>
      <c r="H189">
        <f>'Operations'!I5</f>
        <v>8453</v>
      </c>
      <c r="I189">
        <f>G189+H189</f>
        <v>299201</v>
      </c>
      <c r="J189">
        <f>IF(AND(D189&lt;&gt;"dram",D189&lt;&gt;"control"),H189,0)</f>
        <v>8453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146</v>
      </c>
      <c r="C190" t="s">
        <v>82</v>
      </c>
      <c r="D190" t="s">
        <v>83</v>
      </c>
      <c r="E190" t="s">
        <v>93</v>
      </c>
      <c r="F190">
        <v>262144</v>
      </c>
      <c r="G190">
        <f>MAX(I184,I188)</f>
        <v>290748</v>
      </c>
      <c r="H190">
        <f>CEILING((dram_access_latency+F190/dram_bandwidth)*frequency,1)</f>
        <v>4196</v>
      </c>
      <c r="I190">
        <f>G190+H190</f>
        <v>294944</v>
      </c>
      <c r="J190">
        <f>IF(AND(D190&lt;&gt;"dram",D190&lt;&gt;"control"),H190,0)</f>
        <v>0</v>
      </c>
      <c r="K190">
        <f>IF(D190="dram",H190,0)</f>
        <v>4196</v>
      </c>
      <c r="L190">
        <v>262144</v>
      </c>
      <c r="M190">
        <v>0</v>
      </c>
    </row>
    <row r="191" spans="1:13">
      <c r="A191">
        <v>189</v>
      </c>
      <c r="B191" t="s">
        <v>148</v>
      </c>
      <c r="C191" t="s">
        <v>82</v>
      </c>
      <c r="D191" t="s">
        <v>83</v>
      </c>
      <c r="E191" t="s">
        <v>93</v>
      </c>
      <c r="F191">
        <v>8192</v>
      </c>
      <c r="G191">
        <f>MAX(I184,I190)</f>
        <v>294944</v>
      </c>
      <c r="H191">
        <f>CEILING((dram_access_latency+F191/dram_bandwidth)*frequency,1)</f>
        <v>228</v>
      </c>
      <c r="I191">
        <f>G191+H191</f>
        <v>295172</v>
      </c>
      <c r="J191">
        <f>IF(AND(D191&lt;&gt;"dram",D191&lt;&gt;"control"),H191,0)</f>
        <v>0</v>
      </c>
      <c r="K191">
        <f>IF(D191="dram",H191,0)</f>
        <v>228</v>
      </c>
      <c r="L191">
        <v>8192</v>
      </c>
      <c r="M191">
        <v>0</v>
      </c>
    </row>
    <row r="192" spans="1:13">
      <c r="A192">
        <v>190</v>
      </c>
      <c r="B192" t="s">
        <v>25</v>
      </c>
      <c r="C192" t="s">
        <v>90</v>
      </c>
      <c r="D192" t="s">
        <v>108</v>
      </c>
      <c r="E192" t="s">
        <v>93</v>
      </c>
      <c r="F192">
        <v>0</v>
      </c>
      <c r="G192">
        <f>MAX(I189,I189,I185,I190,I187,I191)</f>
        <v>299201</v>
      </c>
      <c r="H192">
        <f>'Operations'!I5</f>
        <v>8453</v>
      </c>
      <c r="I192">
        <f>G192+H192</f>
        <v>307654</v>
      </c>
      <c r="J192">
        <f>IF(AND(D192&lt;&gt;"dram",D192&lt;&gt;"control"),H192,0)</f>
        <v>8453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149</v>
      </c>
      <c r="C193" t="s">
        <v>88</v>
      </c>
      <c r="D193" t="s">
        <v>89</v>
      </c>
      <c r="E193" t="s">
        <v>93</v>
      </c>
      <c r="F193">
        <v>0</v>
      </c>
      <c r="G193">
        <f>MAX(I184,I189)</f>
        <v>285992</v>
      </c>
      <c r="H193">
        <f>0</f>
        <v>13209</v>
      </c>
      <c r="I193">
        <f>G193+H193</f>
        <v>299201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150</v>
      </c>
      <c r="C194" t="s">
        <v>92</v>
      </c>
      <c r="D194" t="s">
        <v>83</v>
      </c>
      <c r="E194" t="s">
        <v>93</v>
      </c>
      <c r="F194">
        <v>1024</v>
      </c>
      <c r="G194">
        <f>MAX(I193,I191)</f>
        <v>299201</v>
      </c>
      <c r="H194">
        <f>CEILING((dram_access_latency+F194/dram_bandwidth)*frequency,1)</f>
        <v>116</v>
      </c>
      <c r="I194">
        <f>G194+H194</f>
        <v>299317</v>
      </c>
      <c r="J194">
        <f>IF(AND(D194&lt;&gt;"dram",D194&lt;&gt;"control"),H194,0)</f>
        <v>0</v>
      </c>
      <c r="K194">
        <f>IF(D194="dram",H194,0)</f>
        <v>116</v>
      </c>
      <c r="L194">
        <v>0</v>
      </c>
      <c r="M194">
        <v>1024</v>
      </c>
    </row>
    <row r="195" spans="1:13">
      <c r="A195">
        <v>193</v>
      </c>
      <c r="B195" t="s">
        <v>146</v>
      </c>
      <c r="C195" t="s">
        <v>82</v>
      </c>
      <c r="D195" t="s">
        <v>83</v>
      </c>
      <c r="E195" t="s">
        <v>111</v>
      </c>
      <c r="F195">
        <v>262144</v>
      </c>
      <c r="G195">
        <f>MAX(I193,I194)</f>
        <v>299317</v>
      </c>
      <c r="H195">
        <f>CEILING((dram_access_latency+F195/dram_bandwidth)*frequency,1)</f>
        <v>4196</v>
      </c>
      <c r="I195">
        <f>G195+H195</f>
        <v>303513</v>
      </c>
      <c r="J195">
        <f>IF(AND(D195&lt;&gt;"dram",D195&lt;&gt;"control"),H195,0)</f>
        <v>0</v>
      </c>
      <c r="K195">
        <f>IF(D195="dram",H195,0)</f>
        <v>4196</v>
      </c>
      <c r="L195">
        <v>262144</v>
      </c>
      <c r="M195">
        <v>0</v>
      </c>
    </row>
    <row r="196" spans="1:13">
      <c r="A196">
        <v>194</v>
      </c>
      <c r="B196" t="s">
        <v>148</v>
      </c>
      <c r="C196" t="s">
        <v>82</v>
      </c>
      <c r="D196" t="s">
        <v>83</v>
      </c>
      <c r="E196" t="s">
        <v>111</v>
      </c>
      <c r="F196">
        <v>8192</v>
      </c>
      <c r="G196">
        <f>MAX(I193,I195)</f>
        <v>303513</v>
      </c>
      <c r="H196">
        <f>CEILING((dram_access_latency+F196/dram_bandwidth)*frequency,1)</f>
        <v>228</v>
      </c>
      <c r="I196">
        <f>G196+H196</f>
        <v>303741</v>
      </c>
      <c r="J196">
        <f>IF(AND(D196&lt;&gt;"dram",D196&lt;&gt;"control"),H196,0)</f>
        <v>0</v>
      </c>
      <c r="K196">
        <f>IF(D196="dram",H196,0)</f>
        <v>228</v>
      </c>
      <c r="L196">
        <v>8192</v>
      </c>
      <c r="M196">
        <v>0</v>
      </c>
    </row>
    <row r="197" spans="1:13">
      <c r="A197">
        <v>195</v>
      </c>
      <c r="B197" t="s">
        <v>25</v>
      </c>
      <c r="C197" t="s">
        <v>90</v>
      </c>
      <c r="D197" t="s">
        <v>108</v>
      </c>
      <c r="E197" t="s">
        <v>111</v>
      </c>
      <c r="F197">
        <v>0</v>
      </c>
      <c r="G197">
        <f>MAX(I192,I192,I185,I195,I187,I196,I194)</f>
        <v>307654</v>
      </c>
      <c r="H197">
        <f>'Operations'!I5</f>
        <v>8453</v>
      </c>
      <c r="I197">
        <f>G197+H197</f>
        <v>316107</v>
      </c>
      <c r="J197">
        <f>IF(AND(D197&lt;&gt;"dram",D197&lt;&gt;"control"),H197,0)</f>
        <v>8453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149</v>
      </c>
      <c r="C198" t="s">
        <v>88</v>
      </c>
      <c r="D198" t="s">
        <v>89</v>
      </c>
      <c r="E198" t="s">
        <v>111</v>
      </c>
      <c r="F198">
        <v>0</v>
      </c>
      <c r="G198">
        <f>MAX(I193,I192)</f>
        <v>299201</v>
      </c>
      <c r="H198">
        <f>0</f>
        <v>8453</v>
      </c>
      <c r="I198">
        <f>G198+H198</f>
        <v>307654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150</v>
      </c>
      <c r="C199" t="s">
        <v>92</v>
      </c>
      <c r="D199" t="s">
        <v>83</v>
      </c>
      <c r="E199" t="s">
        <v>111</v>
      </c>
      <c r="F199">
        <v>1024</v>
      </c>
      <c r="G199">
        <f>MAX(I198,I196)</f>
        <v>307654</v>
      </c>
      <c r="H199">
        <f>CEILING((dram_access_latency+F199/dram_bandwidth)*frequency,1)</f>
        <v>116</v>
      </c>
      <c r="I199">
        <f>G199+H199</f>
        <v>307770</v>
      </c>
      <c r="J199">
        <f>IF(AND(D199&lt;&gt;"dram",D199&lt;&gt;"control"),H199,0)</f>
        <v>0</v>
      </c>
      <c r="K199">
        <f>IF(D199="dram",H199,0)</f>
        <v>116</v>
      </c>
      <c r="L199">
        <v>0</v>
      </c>
      <c r="M199">
        <v>1024</v>
      </c>
    </row>
    <row r="200" spans="1:13">
      <c r="A200">
        <v>198</v>
      </c>
      <c r="B200" t="s">
        <v>146</v>
      </c>
      <c r="C200" t="s">
        <v>82</v>
      </c>
      <c r="D200" t="s">
        <v>83</v>
      </c>
      <c r="E200" t="s">
        <v>112</v>
      </c>
      <c r="F200">
        <v>262144</v>
      </c>
      <c r="G200">
        <f>MAX(I198,I199)</f>
        <v>307770</v>
      </c>
      <c r="H200">
        <f>CEILING((dram_access_latency+F200/dram_bandwidth)*frequency,1)</f>
        <v>4196</v>
      </c>
      <c r="I200">
        <f>G200+H200</f>
        <v>311966</v>
      </c>
      <c r="J200">
        <f>IF(AND(D200&lt;&gt;"dram",D200&lt;&gt;"control"),H200,0)</f>
        <v>0</v>
      </c>
      <c r="K200">
        <f>IF(D200="dram",H200,0)</f>
        <v>4196</v>
      </c>
      <c r="L200">
        <v>262144</v>
      </c>
      <c r="M200">
        <v>0</v>
      </c>
    </row>
    <row r="201" spans="1:13">
      <c r="A201">
        <v>199</v>
      </c>
      <c r="B201" t="s">
        <v>148</v>
      </c>
      <c r="C201" t="s">
        <v>82</v>
      </c>
      <c r="D201" t="s">
        <v>83</v>
      </c>
      <c r="E201" t="s">
        <v>112</v>
      </c>
      <c r="F201">
        <v>8192</v>
      </c>
      <c r="G201">
        <f>MAX(I198,I200)</f>
        <v>311966</v>
      </c>
      <c r="H201">
        <f>CEILING((dram_access_latency+F201/dram_bandwidth)*frequency,1)</f>
        <v>228</v>
      </c>
      <c r="I201">
        <f>G201+H201</f>
        <v>312194</v>
      </c>
      <c r="J201">
        <f>IF(AND(D201&lt;&gt;"dram",D201&lt;&gt;"control"),H201,0)</f>
        <v>0</v>
      </c>
      <c r="K201">
        <f>IF(D201="dram",H201,0)</f>
        <v>228</v>
      </c>
      <c r="L201">
        <v>8192</v>
      </c>
      <c r="M201">
        <v>0</v>
      </c>
    </row>
    <row r="202" spans="1:13">
      <c r="A202">
        <v>200</v>
      </c>
      <c r="B202" t="s">
        <v>25</v>
      </c>
      <c r="C202" t="s">
        <v>90</v>
      </c>
      <c r="D202" t="s">
        <v>108</v>
      </c>
      <c r="E202" t="s">
        <v>112</v>
      </c>
      <c r="F202">
        <v>0</v>
      </c>
      <c r="G202">
        <f>MAX(I197,I197,I185,I200,I187,I201,I199)</f>
        <v>316107</v>
      </c>
      <c r="H202">
        <f>'Operations'!I5</f>
        <v>8453</v>
      </c>
      <c r="I202">
        <f>G202+H202</f>
        <v>324560</v>
      </c>
      <c r="J202">
        <f>IF(AND(D202&lt;&gt;"dram",D202&lt;&gt;"control"),H202,0)</f>
        <v>8453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149</v>
      </c>
      <c r="C203" t="s">
        <v>88</v>
      </c>
      <c r="D203" t="s">
        <v>89</v>
      </c>
      <c r="E203" t="s">
        <v>112</v>
      </c>
      <c r="F203">
        <v>0</v>
      </c>
      <c r="G203">
        <f>MAX(I198,I197)</f>
        <v>307654</v>
      </c>
      <c r="H203">
        <f>0</f>
        <v>8453</v>
      </c>
      <c r="I203">
        <f>G203+H203</f>
        <v>316107</v>
      </c>
      <c r="J203">
        <f>IF(AND(D203&lt;&gt;"dram",D203&lt;&gt;"control"),H203,0)</f>
        <v>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150</v>
      </c>
      <c r="C204" t="s">
        <v>92</v>
      </c>
      <c r="D204" t="s">
        <v>83</v>
      </c>
      <c r="E204" t="s">
        <v>112</v>
      </c>
      <c r="F204">
        <v>1024</v>
      </c>
      <c r="G204">
        <f>MAX(I203,I201)</f>
        <v>316107</v>
      </c>
      <c r="H204">
        <f>CEILING((dram_access_latency+F204/dram_bandwidth)*frequency,1)</f>
        <v>116</v>
      </c>
      <c r="I204">
        <f>G204+H204</f>
        <v>316223</v>
      </c>
      <c r="J204">
        <f>IF(AND(D204&lt;&gt;"dram",D204&lt;&gt;"control"),H204,0)</f>
        <v>0</v>
      </c>
      <c r="K204">
        <f>IF(D204="dram",H204,0)</f>
        <v>116</v>
      </c>
      <c r="L204">
        <v>0</v>
      </c>
      <c r="M204">
        <v>1024</v>
      </c>
    </row>
    <row r="205" spans="1:13">
      <c r="A205">
        <v>203</v>
      </c>
      <c r="B205" t="s">
        <v>146</v>
      </c>
      <c r="C205" t="s">
        <v>82</v>
      </c>
      <c r="D205" t="s">
        <v>83</v>
      </c>
      <c r="E205" t="s">
        <v>113</v>
      </c>
      <c r="F205">
        <v>262144</v>
      </c>
      <c r="G205">
        <f>MAX(I203,I204)</f>
        <v>316223</v>
      </c>
      <c r="H205">
        <f>CEILING((dram_access_latency+F205/dram_bandwidth)*frequency,1)</f>
        <v>4196</v>
      </c>
      <c r="I205">
        <f>G205+H205</f>
        <v>320419</v>
      </c>
      <c r="J205">
        <f>IF(AND(D205&lt;&gt;"dram",D205&lt;&gt;"control"),H205,0)</f>
        <v>0</v>
      </c>
      <c r="K205">
        <f>IF(D205="dram",H205,0)</f>
        <v>4196</v>
      </c>
      <c r="L205">
        <v>262144</v>
      </c>
      <c r="M205">
        <v>0</v>
      </c>
    </row>
    <row r="206" spans="1:13">
      <c r="A206">
        <v>204</v>
      </c>
      <c r="B206" t="s">
        <v>148</v>
      </c>
      <c r="C206" t="s">
        <v>82</v>
      </c>
      <c r="D206" t="s">
        <v>83</v>
      </c>
      <c r="E206" t="s">
        <v>113</v>
      </c>
      <c r="F206">
        <v>8192</v>
      </c>
      <c r="G206">
        <f>MAX(I203,I205)</f>
        <v>320419</v>
      </c>
      <c r="H206">
        <f>CEILING((dram_access_latency+F206/dram_bandwidth)*frequency,1)</f>
        <v>228</v>
      </c>
      <c r="I206">
        <f>G206+H206</f>
        <v>320647</v>
      </c>
      <c r="J206">
        <f>IF(AND(D206&lt;&gt;"dram",D206&lt;&gt;"control"),H206,0)</f>
        <v>0</v>
      </c>
      <c r="K206">
        <f>IF(D206="dram",H206,0)</f>
        <v>228</v>
      </c>
      <c r="L206">
        <v>8192</v>
      </c>
      <c r="M206">
        <v>0</v>
      </c>
    </row>
    <row r="207" spans="1:13">
      <c r="A207">
        <v>205</v>
      </c>
      <c r="B207" t="s">
        <v>25</v>
      </c>
      <c r="C207" t="s">
        <v>90</v>
      </c>
      <c r="D207" t="s">
        <v>108</v>
      </c>
      <c r="E207" t="s">
        <v>113</v>
      </c>
      <c r="F207">
        <v>0</v>
      </c>
      <c r="G207">
        <f>MAX(I202,I202,I185,I205,I187,I206,I204)</f>
        <v>324560</v>
      </c>
      <c r="H207">
        <f>'Operations'!I5</f>
        <v>8453</v>
      </c>
      <c r="I207">
        <f>G207+H207</f>
        <v>333013</v>
      </c>
      <c r="J207">
        <f>IF(AND(D207&lt;&gt;"dram",D207&lt;&gt;"control"),H207,0)</f>
        <v>8453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149</v>
      </c>
      <c r="C208" t="s">
        <v>88</v>
      </c>
      <c r="D208" t="s">
        <v>89</v>
      </c>
      <c r="E208" t="s">
        <v>113</v>
      </c>
      <c r="F208">
        <v>0</v>
      </c>
      <c r="G208">
        <f>MAX(I203,I202)</f>
        <v>316107</v>
      </c>
      <c r="H208">
        <f>0</f>
        <v>8453</v>
      </c>
      <c r="I208">
        <f>G208+H208</f>
        <v>324560</v>
      </c>
      <c r="J208">
        <f>IF(AND(D208&lt;&gt;"dram",D208&lt;&gt;"control"),H208,0)</f>
        <v>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150</v>
      </c>
      <c r="C209" t="s">
        <v>92</v>
      </c>
      <c r="D209" t="s">
        <v>83</v>
      </c>
      <c r="E209" t="s">
        <v>113</v>
      </c>
      <c r="F209">
        <v>1024</v>
      </c>
      <c r="G209">
        <f>MAX(I208,I206)</f>
        <v>324560</v>
      </c>
      <c r="H209">
        <f>CEILING((dram_access_latency+F209/dram_bandwidth)*frequency,1)</f>
        <v>116</v>
      </c>
      <c r="I209">
        <f>G209+H209</f>
        <v>324676</v>
      </c>
      <c r="J209">
        <f>IF(AND(D209&lt;&gt;"dram",D209&lt;&gt;"control"),H209,0)</f>
        <v>0</v>
      </c>
      <c r="K209">
        <f>IF(D209="dram",H209,0)</f>
        <v>116</v>
      </c>
      <c r="L209">
        <v>0</v>
      </c>
      <c r="M209">
        <v>1024</v>
      </c>
    </row>
    <row r="210" spans="1:13">
      <c r="A210">
        <v>208</v>
      </c>
      <c r="B210" t="s">
        <v>146</v>
      </c>
      <c r="C210" t="s">
        <v>82</v>
      </c>
      <c r="D210" t="s">
        <v>83</v>
      </c>
      <c r="E210" t="s">
        <v>114</v>
      </c>
      <c r="F210">
        <v>262144</v>
      </c>
      <c r="G210">
        <f>MAX(I208,I209)</f>
        <v>324676</v>
      </c>
      <c r="H210">
        <f>CEILING((dram_access_latency+F210/dram_bandwidth)*frequency,1)</f>
        <v>4196</v>
      </c>
      <c r="I210">
        <f>G210+H210</f>
        <v>328872</v>
      </c>
      <c r="J210">
        <f>IF(AND(D210&lt;&gt;"dram",D210&lt;&gt;"control"),H210,0)</f>
        <v>0</v>
      </c>
      <c r="K210">
        <f>IF(D210="dram",H210,0)</f>
        <v>4196</v>
      </c>
      <c r="L210">
        <v>262144</v>
      </c>
      <c r="M210">
        <v>0</v>
      </c>
    </row>
    <row r="211" spans="1:13">
      <c r="A211">
        <v>209</v>
      </c>
      <c r="B211" t="s">
        <v>148</v>
      </c>
      <c r="C211" t="s">
        <v>82</v>
      </c>
      <c r="D211" t="s">
        <v>83</v>
      </c>
      <c r="E211" t="s">
        <v>114</v>
      </c>
      <c r="F211">
        <v>8192</v>
      </c>
      <c r="G211">
        <f>MAX(I208,I210)</f>
        <v>328872</v>
      </c>
      <c r="H211">
        <f>CEILING((dram_access_latency+F211/dram_bandwidth)*frequency,1)</f>
        <v>228</v>
      </c>
      <c r="I211">
        <f>G211+H211</f>
        <v>329100</v>
      </c>
      <c r="J211">
        <f>IF(AND(D211&lt;&gt;"dram",D211&lt;&gt;"control"),H211,0)</f>
        <v>0</v>
      </c>
      <c r="K211">
        <f>IF(D211="dram",H211,0)</f>
        <v>228</v>
      </c>
      <c r="L211">
        <v>8192</v>
      </c>
      <c r="M211">
        <v>0</v>
      </c>
    </row>
    <row r="212" spans="1:13">
      <c r="A212">
        <v>210</v>
      </c>
      <c r="B212" t="s">
        <v>25</v>
      </c>
      <c r="C212" t="s">
        <v>90</v>
      </c>
      <c r="D212" t="s">
        <v>108</v>
      </c>
      <c r="E212" t="s">
        <v>114</v>
      </c>
      <c r="F212">
        <v>0</v>
      </c>
      <c r="G212">
        <f>MAX(I207,I207,I185,I210,I187,I211,I209)</f>
        <v>333013</v>
      </c>
      <c r="H212">
        <f>'Operations'!I5</f>
        <v>8453</v>
      </c>
      <c r="I212">
        <f>G212+H212</f>
        <v>341466</v>
      </c>
      <c r="J212">
        <f>IF(AND(D212&lt;&gt;"dram",D212&lt;&gt;"control"),H212,0)</f>
        <v>8453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149</v>
      </c>
      <c r="C213" t="s">
        <v>88</v>
      </c>
      <c r="D213" t="s">
        <v>89</v>
      </c>
      <c r="E213" t="s">
        <v>114</v>
      </c>
      <c r="F213">
        <v>0</v>
      </c>
      <c r="G213">
        <f>MAX(I208,I207)</f>
        <v>324560</v>
      </c>
      <c r="H213">
        <f>0</f>
        <v>8453</v>
      </c>
      <c r="I213">
        <f>G213+H213</f>
        <v>333013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150</v>
      </c>
      <c r="C214" t="s">
        <v>92</v>
      </c>
      <c r="D214" t="s">
        <v>83</v>
      </c>
      <c r="E214" t="s">
        <v>114</v>
      </c>
      <c r="F214">
        <v>1024</v>
      </c>
      <c r="G214">
        <f>MAX(I213,I211)</f>
        <v>333013</v>
      </c>
      <c r="H214">
        <f>CEILING((dram_access_latency+F214/dram_bandwidth)*frequency,1)</f>
        <v>116</v>
      </c>
      <c r="I214">
        <f>G214+H214</f>
        <v>333129</v>
      </c>
      <c r="J214">
        <f>IF(AND(D214&lt;&gt;"dram",D214&lt;&gt;"control"),H214,0)</f>
        <v>0</v>
      </c>
      <c r="K214">
        <f>IF(D214="dram",H214,0)</f>
        <v>116</v>
      </c>
      <c r="L214">
        <v>0</v>
      </c>
      <c r="M214">
        <v>1024</v>
      </c>
    </row>
    <row r="215" spans="1:13">
      <c r="A215">
        <v>213</v>
      </c>
      <c r="B215" t="s">
        <v>146</v>
      </c>
      <c r="C215" t="s">
        <v>82</v>
      </c>
      <c r="D215" t="s">
        <v>83</v>
      </c>
      <c r="E215" t="s">
        <v>115</v>
      </c>
      <c r="F215">
        <v>262144</v>
      </c>
      <c r="G215">
        <f>MAX(I213,I214)</f>
        <v>333129</v>
      </c>
      <c r="H215">
        <f>CEILING((dram_access_latency+F215/dram_bandwidth)*frequency,1)</f>
        <v>4196</v>
      </c>
      <c r="I215">
        <f>G215+H215</f>
        <v>337325</v>
      </c>
      <c r="J215">
        <f>IF(AND(D215&lt;&gt;"dram",D215&lt;&gt;"control"),H215,0)</f>
        <v>0</v>
      </c>
      <c r="K215">
        <f>IF(D215="dram",H215,0)</f>
        <v>4196</v>
      </c>
      <c r="L215">
        <v>262144</v>
      </c>
      <c r="M215">
        <v>0</v>
      </c>
    </row>
    <row r="216" spans="1:13">
      <c r="A216">
        <v>214</v>
      </c>
      <c r="B216" t="s">
        <v>148</v>
      </c>
      <c r="C216" t="s">
        <v>82</v>
      </c>
      <c r="D216" t="s">
        <v>83</v>
      </c>
      <c r="E216" t="s">
        <v>115</v>
      </c>
      <c r="F216">
        <v>8192</v>
      </c>
      <c r="G216">
        <f>MAX(I213,I215)</f>
        <v>337325</v>
      </c>
      <c r="H216">
        <f>CEILING((dram_access_latency+F216/dram_bandwidth)*frequency,1)</f>
        <v>228</v>
      </c>
      <c r="I216">
        <f>G216+H216</f>
        <v>337553</v>
      </c>
      <c r="J216">
        <f>IF(AND(D216&lt;&gt;"dram",D216&lt;&gt;"control"),H216,0)</f>
        <v>0</v>
      </c>
      <c r="K216">
        <f>IF(D216="dram",H216,0)</f>
        <v>228</v>
      </c>
      <c r="L216">
        <v>8192</v>
      </c>
      <c r="M216">
        <v>0</v>
      </c>
    </row>
    <row r="217" spans="1:13">
      <c r="A217">
        <v>215</v>
      </c>
      <c r="B217" t="s">
        <v>25</v>
      </c>
      <c r="C217" t="s">
        <v>90</v>
      </c>
      <c r="D217" t="s">
        <v>108</v>
      </c>
      <c r="E217" t="s">
        <v>115</v>
      </c>
      <c r="F217">
        <v>0</v>
      </c>
      <c r="G217">
        <f>MAX(I212,I212,I185,I215,I187,I216,I214)</f>
        <v>341466</v>
      </c>
      <c r="H217">
        <f>'Operations'!I5</f>
        <v>8453</v>
      </c>
      <c r="I217">
        <f>G217+H217</f>
        <v>349919</v>
      </c>
      <c r="J217">
        <f>IF(AND(D217&lt;&gt;"dram",D217&lt;&gt;"control"),H217,0)</f>
        <v>8453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149</v>
      </c>
      <c r="C218" t="s">
        <v>88</v>
      </c>
      <c r="D218" t="s">
        <v>89</v>
      </c>
      <c r="E218" t="s">
        <v>115</v>
      </c>
      <c r="F218">
        <v>0</v>
      </c>
      <c r="G218">
        <f>MAX(I213,I212)</f>
        <v>333013</v>
      </c>
      <c r="H218">
        <f>0</f>
        <v>8453</v>
      </c>
      <c r="I218">
        <f>G218+H218</f>
        <v>341466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150</v>
      </c>
      <c r="C219" t="s">
        <v>92</v>
      </c>
      <c r="D219" t="s">
        <v>83</v>
      </c>
      <c r="E219" t="s">
        <v>115</v>
      </c>
      <c r="F219">
        <v>1024</v>
      </c>
      <c r="G219">
        <f>MAX(I218,I216)</f>
        <v>341466</v>
      </c>
      <c r="H219">
        <f>CEILING((dram_access_latency+F219/dram_bandwidth)*frequency,1)</f>
        <v>116</v>
      </c>
      <c r="I219">
        <f>G219+H219</f>
        <v>341582</v>
      </c>
      <c r="J219">
        <f>IF(AND(D219&lt;&gt;"dram",D219&lt;&gt;"control"),H219,0)</f>
        <v>0</v>
      </c>
      <c r="K219">
        <f>IF(D219="dram",H219,0)</f>
        <v>116</v>
      </c>
      <c r="L219">
        <v>0</v>
      </c>
      <c r="M219">
        <v>1024</v>
      </c>
    </row>
    <row r="220" spans="1:13">
      <c r="A220">
        <v>218</v>
      </c>
      <c r="B220" t="s">
        <v>146</v>
      </c>
      <c r="C220" t="s">
        <v>82</v>
      </c>
      <c r="D220" t="s">
        <v>83</v>
      </c>
      <c r="E220" t="s">
        <v>116</v>
      </c>
      <c r="F220">
        <v>262144</v>
      </c>
      <c r="G220">
        <f>MAX(I218,I219)</f>
        <v>341582</v>
      </c>
      <c r="H220">
        <f>CEILING((dram_access_latency+F220/dram_bandwidth)*frequency,1)</f>
        <v>4196</v>
      </c>
      <c r="I220">
        <f>G220+H220</f>
        <v>345778</v>
      </c>
      <c r="J220">
        <f>IF(AND(D220&lt;&gt;"dram",D220&lt;&gt;"control"),H220,0)</f>
        <v>0</v>
      </c>
      <c r="K220">
        <f>IF(D220="dram",H220,0)</f>
        <v>4196</v>
      </c>
      <c r="L220">
        <v>262144</v>
      </c>
      <c r="M220">
        <v>0</v>
      </c>
    </row>
    <row r="221" spans="1:13">
      <c r="A221">
        <v>219</v>
      </c>
      <c r="B221" t="s">
        <v>148</v>
      </c>
      <c r="C221" t="s">
        <v>82</v>
      </c>
      <c r="D221" t="s">
        <v>83</v>
      </c>
      <c r="E221" t="s">
        <v>116</v>
      </c>
      <c r="F221">
        <v>8192</v>
      </c>
      <c r="G221">
        <f>MAX(I218,I220)</f>
        <v>345778</v>
      </c>
      <c r="H221">
        <f>CEILING((dram_access_latency+F221/dram_bandwidth)*frequency,1)</f>
        <v>228</v>
      </c>
      <c r="I221">
        <f>G221+H221</f>
        <v>346006</v>
      </c>
      <c r="J221">
        <f>IF(AND(D221&lt;&gt;"dram",D221&lt;&gt;"control"),H221,0)</f>
        <v>0</v>
      </c>
      <c r="K221">
        <f>IF(D221="dram",H221,0)</f>
        <v>228</v>
      </c>
      <c r="L221">
        <v>8192</v>
      </c>
      <c r="M221">
        <v>0</v>
      </c>
    </row>
    <row r="222" spans="1:13">
      <c r="A222">
        <v>220</v>
      </c>
      <c r="B222" t="s">
        <v>25</v>
      </c>
      <c r="C222" t="s">
        <v>90</v>
      </c>
      <c r="D222" t="s">
        <v>108</v>
      </c>
      <c r="E222" t="s">
        <v>116</v>
      </c>
      <c r="F222">
        <v>0</v>
      </c>
      <c r="G222">
        <f>MAX(I217,I217,I185,I220,I187,I221,I219)</f>
        <v>349919</v>
      </c>
      <c r="H222">
        <f>'Operations'!I5</f>
        <v>8453</v>
      </c>
      <c r="I222">
        <f>G222+H222</f>
        <v>358372</v>
      </c>
      <c r="J222">
        <f>IF(AND(D222&lt;&gt;"dram",D222&lt;&gt;"control"),H222,0)</f>
        <v>8453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149</v>
      </c>
      <c r="C223" t="s">
        <v>88</v>
      </c>
      <c r="D223" t="s">
        <v>89</v>
      </c>
      <c r="E223" t="s">
        <v>116</v>
      </c>
      <c r="F223">
        <v>0</v>
      </c>
      <c r="G223">
        <f>MAX(I218,I217)</f>
        <v>341466</v>
      </c>
      <c r="H223">
        <f>0</f>
        <v>8453</v>
      </c>
      <c r="I223">
        <f>G223+H223</f>
        <v>349919</v>
      </c>
      <c r="J223">
        <f>IF(AND(D223&lt;&gt;"dram",D223&lt;&gt;"control"),H223,0)</f>
        <v>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150</v>
      </c>
      <c r="C224" t="s">
        <v>92</v>
      </c>
      <c r="D224" t="s">
        <v>83</v>
      </c>
      <c r="E224" t="s">
        <v>116</v>
      </c>
      <c r="F224">
        <v>1024</v>
      </c>
      <c r="G224">
        <f>MAX(I223,I221)</f>
        <v>349919</v>
      </c>
      <c r="H224">
        <f>CEILING((dram_access_latency+F224/dram_bandwidth)*frequency,1)</f>
        <v>116</v>
      </c>
      <c r="I224">
        <f>G224+H224</f>
        <v>350035</v>
      </c>
      <c r="J224">
        <f>IF(AND(D224&lt;&gt;"dram",D224&lt;&gt;"control"),H224,0)</f>
        <v>0</v>
      </c>
      <c r="K224">
        <f>IF(D224="dram",H224,0)</f>
        <v>116</v>
      </c>
      <c r="L224">
        <v>0</v>
      </c>
      <c r="M224">
        <v>1024</v>
      </c>
    </row>
    <row r="225" spans="1:13">
      <c r="A225">
        <v>223</v>
      </c>
      <c r="B225" t="s">
        <v>146</v>
      </c>
      <c r="C225" t="s">
        <v>82</v>
      </c>
      <c r="D225" t="s">
        <v>83</v>
      </c>
      <c r="E225" t="s">
        <v>117</v>
      </c>
      <c r="F225">
        <v>262144</v>
      </c>
      <c r="G225">
        <f>MAX(I223,I224)</f>
        <v>350035</v>
      </c>
      <c r="H225">
        <f>CEILING((dram_access_latency+F225/dram_bandwidth)*frequency,1)</f>
        <v>4196</v>
      </c>
      <c r="I225">
        <f>G225+H225</f>
        <v>354231</v>
      </c>
      <c r="J225">
        <f>IF(AND(D225&lt;&gt;"dram",D225&lt;&gt;"control"),H225,0)</f>
        <v>0</v>
      </c>
      <c r="K225">
        <f>IF(D225="dram",H225,0)</f>
        <v>4196</v>
      </c>
      <c r="L225">
        <v>262144</v>
      </c>
      <c r="M225">
        <v>0</v>
      </c>
    </row>
    <row r="226" spans="1:13">
      <c r="A226">
        <v>224</v>
      </c>
      <c r="B226" t="s">
        <v>148</v>
      </c>
      <c r="C226" t="s">
        <v>82</v>
      </c>
      <c r="D226" t="s">
        <v>83</v>
      </c>
      <c r="E226" t="s">
        <v>117</v>
      </c>
      <c r="F226">
        <v>8192</v>
      </c>
      <c r="G226">
        <f>MAX(I223,I225)</f>
        <v>354231</v>
      </c>
      <c r="H226">
        <f>CEILING((dram_access_latency+F226/dram_bandwidth)*frequency,1)</f>
        <v>228</v>
      </c>
      <c r="I226">
        <f>G226+H226</f>
        <v>354459</v>
      </c>
      <c r="J226">
        <f>IF(AND(D226&lt;&gt;"dram",D226&lt;&gt;"control"),H226,0)</f>
        <v>0</v>
      </c>
      <c r="K226">
        <f>IF(D226="dram",H226,0)</f>
        <v>228</v>
      </c>
      <c r="L226">
        <v>8192</v>
      </c>
      <c r="M226">
        <v>0</v>
      </c>
    </row>
    <row r="227" spans="1:13">
      <c r="A227">
        <v>225</v>
      </c>
      <c r="B227" t="s">
        <v>25</v>
      </c>
      <c r="C227" t="s">
        <v>90</v>
      </c>
      <c r="D227" t="s">
        <v>108</v>
      </c>
      <c r="E227" t="s">
        <v>117</v>
      </c>
      <c r="F227">
        <v>0</v>
      </c>
      <c r="G227">
        <f>MAX(I222,I222,I185,I225,I187,I226,I224)</f>
        <v>358372</v>
      </c>
      <c r="H227">
        <f>'Operations'!I5</f>
        <v>8453</v>
      </c>
      <c r="I227">
        <f>G227+H227</f>
        <v>366825</v>
      </c>
      <c r="J227">
        <f>IF(AND(D227&lt;&gt;"dram",D227&lt;&gt;"control"),H227,0)</f>
        <v>8453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149</v>
      </c>
      <c r="C228" t="s">
        <v>88</v>
      </c>
      <c r="D228" t="s">
        <v>89</v>
      </c>
      <c r="E228" t="s">
        <v>117</v>
      </c>
      <c r="F228">
        <v>0</v>
      </c>
      <c r="G228">
        <f>MAX(I223,I222)</f>
        <v>349919</v>
      </c>
      <c r="H228">
        <f>0</f>
        <v>8453</v>
      </c>
      <c r="I228">
        <f>G228+H228</f>
        <v>358372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150</v>
      </c>
      <c r="C229" t="s">
        <v>92</v>
      </c>
      <c r="D229" t="s">
        <v>83</v>
      </c>
      <c r="E229" t="s">
        <v>117</v>
      </c>
      <c r="F229">
        <v>1024</v>
      </c>
      <c r="G229">
        <f>MAX(I228,I226)</f>
        <v>358372</v>
      </c>
      <c r="H229">
        <f>CEILING((dram_access_latency+F229/dram_bandwidth)*frequency,1)</f>
        <v>116</v>
      </c>
      <c r="I229">
        <f>G229+H229</f>
        <v>358488</v>
      </c>
      <c r="J229">
        <f>IF(AND(D229&lt;&gt;"dram",D229&lt;&gt;"control"),H229,0)</f>
        <v>0</v>
      </c>
      <c r="K229">
        <f>IF(D229="dram",H229,0)</f>
        <v>116</v>
      </c>
      <c r="L229">
        <v>0</v>
      </c>
      <c r="M229">
        <v>1024</v>
      </c>
    </row>
    <row r="230" spans="1:13">
      <c r="A230">
        <v>228</v>
      </c>
      <c r="B230" t="s">
        <v>146</v>
      </c>
      <c r="C230" t="s">
        <v>82</v>
      </c>
      <c r="D230" t="s">
        <v>83</v>
      </c>
      <c r="E230" t="s">
        <v>118</v>
      </c>
      <c r="F230">
        <v>262144</v>
      </c>
      <c r="G230">
        <f>MAX(I228,I229)</f>
        <v>358488</v>
      </c>
      <c r="H230">
        <f>CEILING((dram_access_latency+F230/dram_bandwidth)*frequency,1)</f>
        <v>4196</v>
      </c>
      <c r="I230">
        <f>G230+H230</f>
        <v>362684</v>
      </c>
      <c r="J230">
        <f>IF(AND(D230&lt;&gt;"dram",D230&lt;&gt;"control"),H230,0)</f>
        <v>0</v>
      </c>
      <c r="K230">
        <f>IF(D230="dram",H230,0)</f>
        <v>4196</v>
      </c>
      <c r="L230">
        <v>262144</v>
      </c>
      <c r="M230">
        <v>0</v>
      </c>
    </row>
    <row r="231" spans="1:13">
      <c r="A231">
        <v>229</v>
      </c>
      <c r="B231" t="s">
        <v>148</v>
      </c>
      <c r="C231" t="s">
        <v>82</v>
      </c>
      <c r="D231" t="s">
        <v>83</v>
      </c>
      <c r="E231" t="s">
        <v>118</v>
      </c>
      <c r="F231">
        <v>8192</v>
      </c>
      <c r="G231">
        <f>MAX(I228,I230)</f>
        <v>362684</v>
      </c>
      <c r="H231">
        <f>CEILING((dram_access_latency+F231/dram_bandwidth)*frequency,1)</f>
        <v>228</v>
      </c>
      <c r="I231">
        <f>G231+H231</f>
        <v>362912</v>
      </c>
      <c r="J231">
        <f>IF(AND(D231&lt;&gt;"dram",D231&lt;&gt;"control"),H231,0)</f>
        <v>0</v>
      </c>
      <c r="K231">
        <f>IF(D231="dram",H231,0)</f>
        <v>228</v>
      </c>
      <c r="L231">
        <v>8192</v>
      </c>
      <c r="M231">
        <v>0</v>
      </c>
    </row>
    <row r="232" spans="1:13">
      <c r="A232">
        <v>230</v>
      </c>
      <c r="B232" t="s">
        <v>25</v>
      </c>
      <c r="C232" t="s">
        <v>90</v>
      </c>
      <c r="D232" t="s">
        <v>108</v>
      </c>
      <c r="E232" t="s">
        <v>118</v>
      </c>
      <c r="F232">
        <v>0</v>
      </c>
      <c r="G232">
        <f>MAX(I227,I227,I185,I230,I187,I231,I229)</f>
        <v>366825</v>
      </c>
      <c r="H232">
        <f>'Operations'!I5</f>
        <v>8453</v>
      </c>
      <c r="I232">
        <f>G232+H232</f>
        <v>375278</v>
      </c>
      <c r="J232">
        <f>IF(AND(D232&lt;&gt;"dram",D232&lt;&gt;"control"),H232,0)</f>
        <v>8453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149</v>
      </c>
      <c r="C233" t="s">
        <v>88</v>
      </c>
      <c r="D233" t="s">
        <v>89</v>
      </c>
      <c r="E233" t="s">
        <v>118</v>
      </c>
      <c r="F233">
        <v>0</v>
      </c>
      <c r="G233">
        <f>MAX(I228,I227)</f>
        <v>358372</v>
      </c>
      <c r="H233">
        <f>0</f>
        <v>8453</v>
      </c>
      <c r="I233">
        <f>G233+H233</f>
        <v>366825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150</v>
      </c>
      <c r="C234" t="s">
        <v>92</v>
      </c>
      <c r="D234" t="s">
        <v>83</v>
      </c>
      <c r="E234" t="s">
        <v>118</v>
      </c>
      <c r="F234">
        <v>1024</v>
      </c>
      <c r="G234">
        <f>MAX(I233,I231)</f>
        <v>366825</v>
      </c>
      <c r="H234">
        <f>CEILING((dram_access_latency+F234/dram_bandwidth)*frequency,1)</f>
        <v>116</v>
      </c>
      <c r="I234">
        <f>G234+H234</f>
        <v>366941</v>
      </c>
      <c r="J234">
        <f>IF(AND(D234&lt;&gt;"dram",D234&lt;&gt;"control"),H234,0)</f>
        <v>0</v>
      </c>
      <c r="K234">
        <f>IF(D234="dram",H234,0)</f>
        <v>116</v>
      </c>
      <c r="L234">
        <v>0</v>
      </c>
      <c r="M234">
        <v>1024</v>
      </c>
    </row>
    <row r="235" spans="1:13">
      <c r="A235">
        <v>233</v>
      </c>
      <c r="B235" t="s">
        <v>146</v>
      </c>
      <c r="C235" t="s">
        <v>82</v>
      </c>
      <c r="D235" t="s">
        <v>83</v>
      </c>
      <c r="E235" t="s">
        <v>119</v>
      </c>
      <c r="F235">
        <v>262144</v>
      </c>
      <c r="G235">
        <f>MAX(I233,I234)</f>
        <v>366941</v>
      </c>
      <c r="H235">
        <f>CEILING((dram_access_latency+F235/dram_bandwidth)*frequency,1)</f>
        <v>4196</v>
      </c>
      <c r="I235">
        <f>G235+H235</f>
        <v>371137</v>
      </c>
      <c r="J235">
        <f>IF(AND(D235&lt;&gt;"dram",D235&lt;&gt;"control"),H235,0)</f>
        <v>0</v>
      </c>
      <c r="K235">
        <f>IF(D235="dram",H235,0)</f>
        <v>4196</v>
      </c>
      <c r="L235">
        <v>262144</v>
      </c>
      <c r="M235">
        <v>0</v>
      </c>
    </row>
    <row r="236" spans="1:13">
      <c r="A236">
        <v>234</v>
      </c>
      <c r="B236" t="s">
        <v>148</v>
      </c>
      <c r="C236" t="s">
        <v>82</v>
      </c>
      <c r="D236" t="s">
        <v>83</v>
      </c>
      <c r="E236" t="s">
        <v>119</v>
      </c>
      <c r="F236">
        <v>8192</v>
      </c>
      <c r="G236">
        <f>MAX(I233,I235)</f>
        <v>371137</v>
      </c>
      <c r="H236">
        <f>CEILING((dram_access_latency+F236/dram_bandwidth)*frequency,1)</f>
        <v>228</v>
      </c>
      <c r="I236">
        <f>G236+H236</f>
        <v>371365</v>
      </c>
      <c r="J236">
        <f>IF(AND(D236&lt;&gt;"dram",D236&lt;&gt;"control"),H236,0)</f>
        <v>0</v>
      </c>
      <c r="K236">
        <f>IF(D236="dram",H236,0)</f>
        <v>228</v>
      </c>
      <c r="L236">
        <v>8192</v>
      </c>
      <c r="M236">
        <v>0</v>
      </c>
    </row>
    <row r="237" spans="1:13">
      <c r="A237">
        <v>235</v>
      </c>
      <c r="B237" t="s">
        <v>25</v>
      </c>
      <c r="C237" t="s">
        <v>90</v>
      </c>
      <c r="D237" t="s">
        <v>108</v>
      </c>
      <c r="E237" t="s">
        <v>119</v>
      </c>
      <c r="F237">
        <v>0</v>
      </c>
      <c r="G237">
        <f>MAX(I232,I232,I185,I235,I187,I236,I234)</f>
        <v>375278</v>
      </c>
      <c r="H237">
        <f>'Operations'!I5</f>
        <v>8453</v>
      </c>
      <c r="I237">
        <f>G237+H237</f>
        <v>383731</v>
      </c>
      <c r="J237">
        <f>IF(AND(D237&lt;&gt;"dram",D237&lt;&gt;"control"),H237,0)</f>
        <v>8453</v>
      </c>
      <c r="K237">
        <f>IF(D237="dram",H237,0)</f>
        <v>0</v>
      </c>
      <c r="L237">
        <v>0</v>
      </c>
      <c r="M237">
        <v>0</v>
      </c>
    </row>
    <row r="238" spans="1:13">
      <c r="A238">
        <v>236</v>
      </c>
      <c r="B238" t="s">
        <v>149</v>
      </c>
      <c r="C238" t="s">
        <v>88</v>
      </c>
      <c r="D238" t="s">
        <v>89</v>
      </c>
      <c r="E238" t="s">
        <v>119</v>
      </c>
      <c r="F238">
        <v>0</v>
      </c>
      <c r="G238">
        <f>MAX(I233,I232)</f>
        <v>366825</v>
      </c>
      <c r="H238">
        <f>0</f>
        <v>8453</v>
      </c>
      <c r="I238">
        <f>G238+H238</f>
        <v>375278</v>
      </c>
      <c r="J238">
        <f>IF(AND(D238&lt;&gt;"dram",D238&lt;&gt;"control"),H238,0)</f>
        <v>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150</v>
      </c>
      <c r="C239" t="s">
        <v>92</v>
      </c>
      <c r="D239" t="s">
        <v>83</v>
      </c>
      <c r="E239" t="s">
        <v>119</v>
      </c>
      <c r="F239">
        <v>1024</v>
      </c>
      <c r="G239">
        <f>MAX(I238,I236)</f>
        <v>375278</v>
      </c>
      <c r="H239">
        <f>CEILING((dram_access_latency+F239/dram_bandwidth)*frequency,1)</f>
        <v>116</v>
      </c>
      <c r="I239">
        <f>G239+H239</f>
        <v>375394</v>
      </c>
      <c r="J239">
        <f>IF(AND(D239&lt;&gt;"dram",D239&lt;&gt;"control"),H239,0)</f>
        <v>0</v>
      </c>
      <c r="K239">
        <f>IF(D239="dram",H239,0)</f>
        <v>116</v>
      </c>
      <c r="L239">
        <v>0</v>
      </c>
      <c r="M239">
        <v>1024</v>
      </c>
    </row>
    <row r="240" spans="1:13">
      <c r="A240">
        <v>238</v>
      </c>
      <c r="B240" t="s">
        <v>146</v>
      </c>
      <c r="C240" t="s">
        <v>82</v>
      </c>
      <c r="D240" t="s">
        <v>83</v>
      </c>
      <c r="E240" t="s">
        <v>120</v>
      </c>
      <c r="F240">
        <v>262144</v>
      </c>
      <c r="G240">
        <f>MAX(I238,I239)</f>
        <v>375394</v>
      </c>
      <c r="H240">
        <f>CEILING((dram_access_latency+F240/dram_bandwidth)*frequency,1)</f>
        <v>4196</v>
      </c>
      <c r="I240">
        <f>G240+H240</f>
        <v>379590</v>
      </c>
      <c r="J240">
        <f>IF(AND(D240&lt;&gt;"dram",D240&lt;&gt;"control"),H240,0)</f>
        <v>0</v>
      </c>
      <c r="K240">
        <f>IF(D240="dram",H240,0)</f>
        <v>4196</v>
      </c>
      <c r="L240">
        <v>262144</v>
      </c>
      <c r="M240">
        <v>0</v>
      </c>
    </row>
    <row r="241" spans="1:13">
      <c r="A241">
        <v>239</v>
      </c>
      <c r="B241" t="s">
        <v>148</v>
      </c>
      <c r="C241" t="s">
        <v>82</v>
      </c>
      <c r="D241" t="s">
        <v>83</v>
      </c>
      <c r="E241" t="s">
        <v>120</v>
      </c>
      <c r="F241">
        <v>8192</v>
      </c>
      <c r="G241">
        <f>MAX(I238,I240)</f>
        <v>379590</v>
      </c>
      <c r="H241">
        <f>CEILING((dram_access_latency+F241/dram_bandwidth)*frequency,1)</f>
        <v>228</v>
      </c>
      <c r="I241">
        <f>G241+H241</f>
        <v>379818</v>
      </c>
      <c r="J241">
        <f>IF(AND(D241&lt;&gt;"dram",D241&lt;&gt;"control"),H241,0)</f>
        <v>0</v>
      </c>
      <c r="K241">
        <f>IF(D241="dram",H241,0)</f>
        <v>228</v>
      </c>
      <c r="L241">
        <v>8192</v>
      </c>
      <c r="M241">
        <v>0</v>
      </c>
    </row>
    <row r="242" spans="1:13">
      <c r="A242">
        <v>240</v>
      </c>
      <c r="B242" t="s">
        <v>25</v>
      </c>
      <c r="C242" t="s">
        <v>90</v>
      </c>
      <c r="D242" t="s">
        <v>108</v>
      </c>
      <c r="E242" t="s">
        <v>120</v>
      </c>
      <c r="F242">
        <v>0</v>
      </c>
      <c r="G242">
        <f>MAX(I237,I237,I185,I240,I187,I241,I239)</f>
        <v>383731</v>
      </c>
      <c r="H242">
        <f>'Operations'!I5</f>
        <v>8453</v>
      </c>
      <c r="I242">
        <f>G242+H242</f>
        <v>392184</v>
      </c>
      <c r="J242">
        <f>IF(AND(D242&lt;&gt;"dram",D242&lt;&gt;"control"),H242,0)</f>
        <v>8453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149</v>
      </c>
      <c r="C243" t="s">
        <v>88</v>
      </c>
      <c r="D243" t="s">
        <v>89</v>
      </c>
      <c r="E243" t="s">
        <v>120</v>
      </c>
      <c r="F243">
        <v>0</v>
      </c>
      <c r="G243">
        <f>MAX(I238,I237)</f>
        <v>375278</v>
      </c>
      <c r="H243">
        <f>0</f>
        <v>8453</v>
      </c>
      <c r="I243">
        <f>G243+H243</f>
        <v>383731</v>
      </c>
      <c r="J243">
        <f>IF(AND(D243&lt;&gt;"dram",D243&lt;&gt;"control"),H243,0)</f>
        <v>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150</v>
      </c>
      <c r="C244" t="s">
        <v>92</v>
      </c>
      <c r="D244" t="s">
        <v>83</v>
      </c>
      <c r="E244" t="s">
        <v>120</v>
      </c>
      <c r="F244">
        <v>1024</v>
      </c>
      <c r="G244">
        <f>MAX(I243,I241)</f>
        <v>383731</v>
      </c>
      <c r="H244">
        <f>CEILING((dram_access_latency+F244/dram_bandwidth)*frequency,1)</f>
        <v>116</v>
      </c>
      <c r="I244">
        <f>G244+H244</f>
        <v>383847</v>
      </c>
      <c r="J244">
        <f>IF(AND(D244&lt;&gt;"dram",D244&lt;&gt;"control"),H244,0)</f>
        <v>0</v>
      </c>
      <c r="K244">
        <f>IF(D244="dram",H244,0)</f>
        <v>116</v>
      </c>
      <c r="L244">
        <v>0</v>
      </c>
      <c r="M244">
        <v>1024</v>
      </c>
    </row>
    <row r="245" spans="1:13">
      <c r="A245">
        <v>243</v>
      </c>
      <c r="B245" t="s">
        <v>146</v>
      </c>
      <c r="C245" t="s">
        <v>82</v>
      </c>
      <c r="D245" t="s">
        <v>83</v>
      </c>
      <c r="E245" t="s">
        <v>121</v>
      </c>
      <c r="F245">
        <v>262144</v>
      </c>
      <c r="G245">
        <f>MAX(I243,I244)</f>
        <v>383847</v>
      </c>
      <c r="H245">
        <f>CEILING((dram_access_latency+F245/dram_bandwidth)*frequency,1)</f>
        <v>4196</v>
      </c>
      <c r="I245">
        <f>G245+H245</f>
        <v>388043</v>
      </c>
      <c r="J245">
        <f>IF(AND(D245&lt;&gt;"dram",D245&lt;&gt;"control"),H245,0)</f>
        <v>0</v>
      </c>
      <c r="K245">
        <f>IF(D245="dram",H245,0)</f>
        <v>4196</v>
      </c>
      <c r="L245">
        <v>262144</v>
      </c>
      <c r="M245">
        <v>0</v>
      </c>
    </row>
    <row r="246" spans="1:13">
      <c r="A246">
        <v>244</v>
      </c>
      <c r="B246" t="s">
        <v>148</v>
      </c>
      <c r="C246" t="s">
        <v>82</v>
      </c>
      <c r="D246" t="s">
        <v>83</v>
      </c>
      <c r="E246" t="s">
        <v>121</v>
      </c>
      <c r="F246">
        <v>8192</v>
      </c>
      <c r="G246">
        <f>MAX(I243,I245)</f>
        <v>388043</v>
      </c>
      <c r="H246">
        <f>CEILING((dram_access_latency+F246/dram_bandwidth)*frequency,1)</f>
        <v>228</v>
      </c>
      <c r="I246">
        <f>G246+H246</f>
        <v>388271</v>
      </c>
      <c r="J246">
        <f>IF(AND(D246&lt;&gt;"dram",D246&lt;&gt;"control"),H246,0)</f>
        <v>0</v>
      </c>
      <c r="K246">
        <f>IF(D246="dram",H246,0)</f>
        <v>228</v>
      </c>
      <c r="L246">
        <v>8192</v>
      </c>
      <c r="M246">
        <v>0</v>
      </c>
    </row>
    <row r="247" spans="1:13">
      <c r="A247">
        <v>245</v>
      </c>
      <c r="B247" t="s">
        <v>25</v>
      </c>
      <c r="C247" t="s">
        <v>90</v>
      </c>
      <c r="D247" t="s">
        <v>108</v>
      </c>
      <c r="E247" t="s">
        <v>121</v>
      </c>
      <c r="F247">
        <v>0</v>
      </c>
      <c r="G247">
        <f>MAX(I242,I242,I185,I245,I187,I246,I244)</f>
        <v>392184</v>
      </c>
      <c r="H247">
        <f>'Operations'!I5</f>
        <v>8453</v>
      </c>
      <c r="I247">
        <f>G247+H247</f>
        <v>400637</v>
      </c>
      <c r="J247">
        <f>IF(AND(D247&lt;&gt;"dram",D247&lt;&gt;"control"),H247,0)</f>
        <v>8453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149</v>
      </c>
      <c r="C248" t="s">
        <v>88</v>
      </c>
      <c r="D248" t="s">
        <v>89</v>
      </c>
      <c r="E248" t="s">
        <v>121</v>
      </c>
      <c r="F248">
        <v>0</v>
      </c>
      <c r="G248">
        <f>MAX(I243,I242)</f>
        <v>383731</v>
      </c>
      <c r="H248">
        <f>0</f>
        <v>8453</v>
      </c>
      <c r="I248">
        <f>G248+H248</f>
        <v>392184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150</v>
      </c>
      <c r="C249" t="s">
        <v>92</v>
      </c>
      <c r="D249" t="s">
        <v>83</v>
      </c>
      <c r="E249" t="s">
        <v>121</v>
      </c>
      <c r="F249">
        <v>1024</v>
      </c>
      <c r="G249">
        <f>MAX(I248,I246)</f>
        <v>392184</v>
      </c>
      <c r="H249">
        <f>CEILING((dram_access_latency+F249/dram_bandwidth)*frequency,1)</f>
        <v>116</v>
      </c>
      <c r="I249">
        <f>G249+H249</f>
        <v>392300</v>
      </c>
      <c r="J249">
        <f>IF(AND(D249&lt;&gt;"dram",D249&lt;&gt;"control"),H249,0)</f>
        <v>0</v>
      </c>
      <c r="K249">
        <f>IF(D249="dram",H249,0)</f>
        <v>116</v>
      </c>
      <c r="L249">
        <v>0</v>
      </c>
      <c r="M249">
        <v>1024</v>
      </c>
    </row>
    <row r="250" spans="1:13">
      <c r="A250">
        <v>248</v>
      </c>
      <c r="B250" t="s">
        <v>146</v>
      </c>
      <c r="C250" t="s">
        <v>82</v>
      </c>
      <c r="D250" t="s">
        <v>83</v>
      </c>
      <c r="E250" t="s">
        <v>122</v>
      </c>
      <c r="F250">
        <v>262144</v>
      </c>
      <c r="G250">
        <f>MAX(I248,I249)</f>
        <v>392300</v>
      </c>
      <c r="H250">
        <f>CEILING((dram_access_latency+F250/dram_bandwidth)*frequency,1)</f>
        <v>4196</v>
      </c>
      <c r="I250">
        <f>G250+H250</f>
        <v>396496</v>
      </c>
      <c r="J250">
        <f>IF(AND(D250&lt;&gt;"dram",D250&lt;&gt;"control"),H250,0)</f>
        <v>0</v>
      </c>
      <c r="K250">
        <f>IF(D250="dram",H250,0)</f>
        <v>4196</v>
      </c>
      <c r="L250">
        <v>262144</v>
      </c>
      <c r="M250">
        <v>0</v>
      </c>
    </row>
    <row r="251" spans="1:13">
      <c r="A251">
        <v>249</v>
      </c>
      <c r="B251" t="s">
        <v>148</v>
      </c>
      <c r="C251" t="s">
        <v>82</v>
      </c>
      <c r="D251" t="s">
        <v>83</v>
      </c>
      <c r="E251" t="s">
        <v>122</v>
      </c>
      <c r="F251">
        <v>8192</v>
      </c>
      <c r="G251">
        <f>MAX(I248,I250)</f>
        <v>396496</v>
      </c>
      <c r="H251">
        <f>CEILING((dram_access_latency+F251/dram_bandwidth)*frequency,1)</f>
        <v>228</v>
      </c>
      <c r="I251">
        <f>G251+H251</f>
        <v>396724</v>
      </c>
      <c r="J251">
        <f>IF(AND(D251&lt;&gt;"dram",D251&lt;&gt;"control"),H251,0)</f>
        <v>0</v>
      </c>
      <c r="K251">
        <f>IF(D251="dram",H251,0)</f>
        <v>228</v>
      </c>
      <c r="L251">
        <v>8192</v>
      </c>
      <c r="M251">
        <v>0</v>
      </c>
    </row>
    <row r="252" spans="1:13">
      <c r="A252">
        <v>250</v>
      </c>
      <c r="B252" t="s">
        <v>25</v>
      </c>
      <c r="C252" t="s">
        <v>90</v>
      </c>
      <c r="D252" t="s">
        <v>108</v>
      </c>
      <c r="E252" t="s">
        <v>122</v>
      </c>
      <c r="F252">
        <v>0</v>
      </c>
      <c r="G252">
        <f>MAX(I247,I247,I185,I250,I187,I251,I249)</f>
        <v>400637</v>
      </c>
      <c r="H252">
        <f>'Operations'!I5</f>
        <v>8453</v>
      </c>
      <c r="I252">
        <f>G252+H252</f>
        <v>409090</v>
      </c>
      <c r="J252">
        <f>IF(AND(D252&lt;&gt;"dram",D252&lt;&gt;"control"),H252,0)</f>
        <v>8453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149</v>
      </c>
      <c r="C253" t="s">
        <v>88</v>
      </c>
      <c r="D253" t="s">
        <v>89</v>
      </c>
      <c r="E253" t="s">
        <v>122</v>
      </c>
      <c r="F253">
        <v>0</v>
      </c>
      <c r="G253">
        <f>MAX(I248,I247)</f>
        <v>392184</v>
      </c>
      <c r="H253">
        <f>0</f>
        <v>8453</v>
      </c>
      <c r="I253">
        <f>G253+H253</f>
        <v>400637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150</v>
      </c>
      <c r="C254" t="s">
        <v>92</v>
      </c>
      <c r="D254" t="s">
        <v>83</v>
      </c>
      <c r="E254" t="s">
        <v>122</v>
      </c>
      <c r="F254">
        <v>1024</v>
      </c>
      <c r="G254">
        <f>MAX(I253,I251)</f>
        <v>400637</v>
      </c>
      <c r="H254">
        <f>CEILING((dram_access_latency+F254/dram_bandwidth)*frequency,1)</f>
        <v>116</v>
      </c>
      <c r="I254">
        <f>G254+H254</f>
        <v>400753</v>
      </c>
      <c r="J254">
        <f>IF(AND(D254&lt;&gt;"dram",D254&lt;&gt;"control"),H254,0)</f>
        <v>0</v>
      </c>
      <c r="K254">
        <f>IF(D254="dram",H254,0)</f>
        <v>116</v>
      </c>
      <c r="L254">
        <v>0</v>
      </c>
      <c r="M254">
        <v>1024</v>
      </c>
    </row>
    <row r="255" spans="1:13">
      <c r="A255">
        <v>253</v>
      </c>
      <c r="B255" t="s">
        <v>146</v>
      </c>
      <c r="C255" t="s">
        <v>82</v>
      </c>
      <c r="D255" t="s">
        <v>83</v>
      </c>
      <c r="E255" t="s">
        <v>123</v>
      </c>
      <c r="F255">
        <v>262144</v>
      </c>
      <c r="G255">
        <f>MAX(I253,I254)</f>
        <v>400753</v>
      </c>
      <c r="H255">
        <f>CEILING((dram_access_latency+F255/dram_bandwidth)*frequency,1)</f>
        <v>4196</v>
      </c>
      <c r="I255">
        <f>G255+H255</f>
        <v>404949</v>
      </c>
      <c r="J255">
        <f>IF(AND(D255&lt;&gt;"dram",D255&lt;&gt;"control"),H255,0)</f>
        <v>0</v>
      </c>
      <c r="K255">
        <f>IF(D255="dram",H255,0)</f>
        <v>4196</v>
      </c>
      <c r="L255">
        <v>262144</v>
      </c>
      <c r="M255">
        <v>0</v>
      </c>
    </row>
    <row r="256" spans="1:13">
      <c r="A256">
        <v>254</v>
      </c>
      <c r="B256" t="s">
        <v>148</v>
      </c>
      <c r="C256" t="s">
        <v>82</v>
      </c>
      <c r="D256" t="s">
        <v>83</v>
      </c>
      <c r="E256" t="s">
        <v>123</v>
      </c>
      <c r="F256">
        <v>8192</v>
      </c>
      <c r="G256">
        <f>MAX(I253,I255)</f>
        <v>404949</v>
      </c>
      <c r="H256">
        <f>CEILING((dram_access_latency+F256/dram_bandwidth)*frequency,1)</f>
        <v>228</v>
      </c>
      <c r="I256">
        <f>G256+H256</f>
        <v>405177</v>
      </c>
      <c r="J256">
        <f>IF(AND(D256&lt;&gt;"dram",D256&lt;&gt;"control"),H256,0)</f>
        <v>0</v>
      </c>
      <c r="K256">
        <f>IF(D256="dram",H256,0)</f>
        <v>228</v>
      </c>
      <c r="L256">
        <v>8192</v>
      </c>
      <c r="M256">
        <v>0</v>
      </c>
    </row>
    <row r="257" spans="1:13">
      <c r="A257">
        <v>255</v>
      </c>
      <c r="B257" t="s">
        <v>25</v>
      </c>
      <c r="C257" t="s">
        <v>90</v>
      </c>
      <c r="D257" t="s">
        <v>108</v>
      </c>
      <c r="E257" t="s">
        <v>123</v>
      </c>
      <c r="F257">
        <v>0</v>
      </c>
      <c r="G257">
        <f>MAX(I252,I252,I185,I255,I187,I256,I254)</f>
        <v>409090</v>
      </c>
      <c r="H257">
        <f>'Operations'!I5</f>
        <v>8453</v>
      </c>
      <c r="I257">
        <f>G257+H257</f>
        <v>417543</v>
      </c>
      <c r="J257">
        <f>IF(AND(D257&lt;&gt;"dram",D257&lt;&gt;"control"),H257,0)</f>
        <v>8453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149</v>
      </c>
      <c r="C258" t="s">
        <v>88</v>
      </c>
      <c r="D258" t="s">
        <v>89</v>
      </c>
      <c r="E258" t="s">
        <v>123</v>
      </c>
      <c r="F258">
        <v>0</v>
      </c>
      <c r="G258">
        <f>MAX(I253,I252)</f>
        <v>400637</v>
      </c>
      <c r="H258">
        <f>0</f>
        <v>8453</v>
      </c>
      <c r="I258">
        <f>G258+H258</f>
        <v>409090</v>
      </c>
      <c r="J258">
        <f>IF(AND(D258&lt;&gt;"dram",D258&lt;&gt;"control"),H258,0)</f>
        <v>0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150</v>
      </c>
      <c r="C259" t="s">
        <v>92</v>
      </c>
      <c r="D259" t="s">
        <v>83</v>
      </c>
      <c r="E259" t="s">
        <v>123</v>
      </c>
      <c r="F259">
        <v>1024</v>
      </c>
      <c r="G259">
        <f>MAX(I258,I256)</f>
        <v>409090</v>
      </c>
      <c r="H259">
        <f>CEILING((dram_access_latency+F259/dram_bandwidth)*frequency,1)</f>
        <v>116</v>
      </c>
      <c r="I259">
        <f>G259+H259</f>
        <v>409206</v>
      </c>
      <c r="J259">
        <f>IF(AND(D259&lt;&gt;"dram",D259&lt;&gt;"control"),H259,0)</f>
        <v>0</v>
      </c>
      <c r="K259">
        <f>IF(D259="dram",H259,0)</f>
        <v>116</v>
      </c>
      <c r="L259">
        <v>0</v>
      </c>
      <c r="M259">
        <v>1024</v>
      </c>
    </row>
    <row r="260" spans="1:13">
      <c r="A260">
        <v>258</v>
      </c>
      <c r="B260" t="s">
        <v>146</v>
      </c>
      <c r="C260" t="s">
        <v>82</v>
      </c>
      <c r="D260" t="s">
        <v>83</v>
      </c>
      <c r="E260" t="s">
        <v>124</v>
      </c>
      <c r="F260">
        <v>262144</v>
      </c>
      <c r="G260">
        <f>MAX(I258,I259)</f>
        <v>409206</v>
      </c>
      <c r="H260">
        <f>CEILING((dram_access_latency+F260/dram_bandwidth)*frequency,1)</f>
        <v>4196</v>
      </c>
      <c r="I260">
        <f>G260+H260</f>
        <v>413402</v>
      </c>
      <c r="J260">
        <f>IF(AND(D260&lt;&gt;"dram",D260&lt;&gt;"control"),H260,0)</f>
        <v>0</v>
      </c>
      <c r="K260">
        <f>IF(D260="dram",H260,0)</f>
        <v>4196</v>
      </c>
      <c r="L260">
        <v>262144</v>
      </c>
      <c r="M260">
        <v>0</v>
      </c>
    </row>
    <row r="261" spans="1:13">
      <c r="A261">
        <v>259</v>
      </c>
      <c r="B261" t="s">
        <v>148</v>
      </c>
      <c r="C261" t="s">
        <v>82</v>
      </c>
      <c r="D261" t="s">
        <v>83</v>
      </c>
      <c r="E261" t="s">
        <v>124</v>
      </c>
      <c r="F261">
        <v>8192</v>
      </c>
      <c r="G261">
        <f>MAX(I258,I260)</f>
        <v>413402</v>
      </c>
      <c r="H261">
        <f>CEILING((dram_access_latency+F261/dram_bandwidth)*frequency,1)</f>
        <v>228</v>
      </c>
      <c r="I261">
        <f>G261+H261</f>
        <v>413630</v>
      </c>
      <c r="J261">
        <f>IF(AND(D261&lt;&gt;"dram",D261&lt;&gt;"control"),H261,0)</f>
        <v>0</v>
      </c>
      <c r="K261">
        <f>IF(D261="dram",H261,0)</f>
        <v>228</v>
      </c>
      <c r="L261">
        <v>8192</v>
      </c>
      <c r="M261">
        <v>0</v>
      </c>
    </row>
    <row r="262" spans="1:13">
      <c r="A262">
        <v>260</v>
      </c>
      <c r="B262" t="s">
        <v>25</v>
      </c>
      <c r="C262" t="s">
        <v>90</v>
      </c>
      <c r="D262" t="s">
        <v>108</v>
      </c>
      <c r="E262" t="s">
        <v>124</v>
      </c>
      <c r="F262">
        <v>0</v>
      </c>
      <c r="G262">
        <f>MAX(I257,I257,I185,I260,I187,I261,I259)</f>
        <v>417543</v>
      </c>
      <c r="H262">
        <f>'Operations'!I5</f>
        <v>8453</v>
      </c>
      <c r="I262">
        <f>G262+H262</f>
        <v>425996</v>
      </c>
      <c r="J262">
        <f>IF(AND(D262&lt;&gt;"dram",D262&lt;&gt;"control"),H262,0)</f>
        <v>8453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149</v>
      </c>
      <c r="C263" t="s">
        <v>88</v>
      </c>
      <c r="D263" t="s">
        <v>89</v>
      </c>
      <c r="E263" t="s">
        <v>124</v>
      </c>
      <c r="F263">
        <v>0</v>
      </c>
      <c r="G263">
        <f>MAX(I258,I257)</f>
        <v>409090</v>
      </c>
      <c r="H263">
        <f>0</f>
        <v>8453</v>
      </c>
      <c r="I263">
        <f>G263+H263</f>
        <v>417543</v>
      </c>
      <c r="J263">
        <f>IF(AND(D263&lt;&gt;"dram",D263&lt;&gt;"control"),H263,0)</f>
        <v>0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150</v>
      </c>
      <c r="C264" t="s">
        <v>92</v>
      </c>
      <c r="D264" t="s">
        <v>83</v>
      </c>
      <c r="E264" t="s">
        <v>124</v>
      </c>
      <c r="F264">
        <v>1024</v>
      </c>
      <c r="G264">
        <f>MAX(I263,I261)</f>
        <v>417543</v>
      </c>
      <c r="H264">
        <f>CEILING((dram_access_latency+F264/dram_bandwidth)*frequency,1)</f>
        <v>116</v>
      </c>
      <c r="I264">
        <f>G264+H264</f>
        <v>417659</v>
      </c>
      <c r="J264">
        <f>IF(AND(D264&lt;&gt;"dram",D264&lt;&gt;"control"),H264,0)</f>
        <v>0</v>
      </c>
      <c r="K264">
        <f>IF(D264="dram",H264,0)</f>
        <v>116</v>
      </c>
      <c r="L264">
        <v>0</v>
      </c>
      <c r="M264">
        <v>1024</v>
      </c>
    </row>
    <row r="265" spans="1:13">
      <c r="A265">
        <v>263</v>
      </c>
      <c r="B265" t="s">
        <v>146</v>
      </c>
      <c r="C265" t="s">
        <v>82</v>
      </c>
      <c r="D265" t="s">
        <v>83</v>
      </c>
      <c r="E265" t="s">
        <v>125</v>
      </c>
      <c r="F265">
        <v>262144</v>
      </c>
      <c r="G265">
        <f>MAX(I263,I264)</f>
        <v>417659</v>
      </c>
      <c r="H265">
        <f>CEILING((dram_access_latency+F265/dram_bandwidth)*frequency,1)</f>
        <v>4196</v>
      </c>
      <c r="I265">
        <f>G265+H265</f>
        <v>421855</v>
      </c>
      <c r="J265">
        <f>IF(AND(D265&lt;&gt;"dram",D265&lt;&gt;"control"),H265,0)</f>
        <v>0</v>
      </c>
      <c r="K265">
        <f>IF(D265="dram",H265,0)</f>
        <v>4196</v>
      </c>
      <c r="L265">
        <v>262144</v>
      </c>
      <c r="M265">
        <v>0</v>
      </c>
    </row>
    <row r="266" spans="1:13">
      <c r="A266">
        <v>264</v>
      </c>
      <c r="B266" t="s">
        <v>148</v>
      </c>
      <c r="C266" t="s">
        <v>82</v>
      </c>
      <c r="D266" t="s">
        <v>83</v>
      </c>
      <c r="E266" t="s">
        <v>125</v>
      </c>
      <c r="F266">
        <v>8192</v>
      </c>
      <c r="G266">
        <f>MAX(I263,I265)</f>
        <v>421855</v>
      </c>
      <c r="H266">
        <f>CEILING((dram_access_latency+F266/dram_bandwidth)*frequency,1)</f>
        <v>228</v>
      </c>
      <c r="I266">
        <f>G266+H266</f>
        <v>422083</v>
      </c>
      <c r="J266">
        <f>IF(AND(D266&lt;&gt;"dram",D266&lt;&gt;"control"),H266,0)</f>
        <v>0</v>
      </c>
      <c r="K266">
        <f>IF(D266="dram",H266,0)</f>
        <v>228</v>
      </c>
      <c r="L266">
        <v>8192</v>
      </c>
      <c r="M266">
        <v>0</v>
      </c>
    </row>
    <row r="267" spans="1:13">
      <c r="A267">
        <v>265</v>
      </c>
      <c r="B267" t="s">
        <v>25</v>
      </c>
      <c r="C267" t="s">
        <v>90</v>
      </c>
      <c r="D267" t="s">
        <v>108</v>
      </c>
      <c r="E267" t="s">
        <v>125</v>
      </c>
      <c r="F267">
        <v>0</v>
      </c>
      <c r="G267">
        <f>MAX(I262,I262,I185,I265,I187,I266,I264)</f>
        <v>425996</v>
      </c>
      <c r="H267">
        <f>'Operations'!I5</f>
        <v>8453</v>
      </c>
      <c r="I267">
        <f>G267+H267</f>
        <v>434449</v>
      </c>
      <c r="J267">
        <f>IF(AND(D267&lt;&gt;"dram",D267&lt;&gt;"control"),H267,0)</f>
        <v>8453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149</v>
      </c>
      <c r="C268" t="s">
        <v>88</v>
      </c>
      <c r="D268" t="s">
        <v>89</v>
      </c>
      <c r="E268" t="s">
        <v>125</v>
      </c>
      <c r="F268">
        <v>0</v>
      </c>
      <c r="G268">
        <f>MAX(I263,I262)</f>
        <v>417543</v>
      </c>
      <c r="H268">
        <f>0</f>
        <v>8453</v>
      </c>
      <c r="I268">
        <f>G268+H268</f>
        <v>425996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150</v>
      </c>
      <c r="C269" t="s">
        <v>92</v>
      </c>
      <c r="D269" t="s">
        <v>83</v>
      </c>
      <c r="E269" t="s">
        <v>125</v>
      </c>
      <c r="F269">
        <v>1024</v>
      </c>
      <c r="G269">
        <f>MAX(I268,I266)</f>
        <v>425996</v>
      </c>
      <c r="H269">
        <f>CEILING((dram_access_latency+F269/dram_bandwidth)*frequency,1)</f>
        <v>116</v>
      </c>
      <c r="I269">
        <f>G269+H269</f>
        <v>426112</v>
      </c>
      <c r="J269">
        <f>IF(AND(D269&lt;&gt;"dram",D269&lt;&gt;"control"),H269,0)</f>
        <v>0</v>
      </c>
      <c r="K269">
        <f>IF(D269="dram",H269,0)</f>
        <v>116</v>
      </c>
      <c r="L269">
        <v>0</v>
      </c>
      <c r="M269">
        <v>1024</v>
      </c>
    </row>
    <row r="270" spans="1:13">
      <c r="A270">
        <v>268</v>
      </c>
      <c r="B270" t="s">
        <v>146</v>
      </c>
      <c r="C270" t="s">
        <v>82</v>
      </c>
      <c r="D270" t="s">
        <v>83</v>
      </c>
      <c r="E270" t="s">
        <v>126</v>
      </c>
      <c r="F270">
        <v>262144</v>
      </c>
      <c r="G270">
        <f>MAX(I268,I269)</f>
        <v>426112</v>
      </c>
      <c r="H270">
        <f>CEILING((dram_access_latency+F270/dram_bandwidth)*frequency,1)</f>
        <v>4196</v>
      </c>
      <c r="I270">
        <f>G270+H270</f>
        <v>430308</v>
      </c>
      <c r="J270">
        <f>IF(AND(D270&lt;&gt;"dram",D270&lt;&gt;"control"),H270,0)</f>
        <v>0</v>
      </c>
      <c r="K270">
        <f>IF(D270="dram",H270,0)</f>
        <v>4196</v>
      </c>
      <c r="L270">
        <v>262144</v>
      </c>
      <c r="M270">
        <v>0</v>
      </c>
    </row>
    <row r="271" spans="1:13">
      <c r="A271">
        <v>269</v>
      </c>
      <c r="B271" t="s">
        <v>148</v>
      </c>
      <c r="C271" t="s">
        <v>82</v>
      </c>
      <c r="D271" t="s">
        <v>83</v>
      </c>
      <c r="E271" t="s">
        <v>126</v>
      </c>
      <c r="F271">
        <v>8192</v>
      </c>
      <c r="G271">
        <f>MAX(I268,I270)</f>
        <v>430308</v>
      </c>
      <c r="H271">
        <f>CEILING((dram_access_latency+F271/dram_bandwidth)*frequency,1)</f>
        <v>228</v>
      </c>
      <c r="I271">
        <f>G271+H271</f>
        <v>430536</v>
      </c>
      <c r="J271">
        <f>IF(AND(D271&lt;&gt;"dram",D271&lt;&gt;"control"),H271,0)</f>
        <v>0</v>
      </c>
      <c r="K271">
        <f>IF(D271="dram",H271,0)</f>
        <v>228</v>
      </c>
      <c r="L271">
        <v>8192</v>
      </c>
      <c r="M271">
        <v>0</v>
      </c>
    </row>
    <row r="272" spans="1:13">
      <c r="A272">
        <v>270</v>
      </c>
      <c r="B272" t="s">
        <v>25</v>
      </c>
      <c r="C272" t="s">
        <v>90</v>
      </c>
      <c r="D272" t="s">
        <v>108</v>
      </c>
      <c r="E272" t="s">
        <v>126</v>
      </c>
      <c r="F272">
        <v>0</v>
      </c>
      <c r="G272">
        <f>MAX(I267,I267,I185,I270,I187,I271,I269)</f>
        <v>434449</v>
      </c>
      <c r="H272">
        <f>'Operations'!I5</f>
        <v>8453</v>
      </c>
      <c r="I272">
        <f>G272+H272</f>
        <v>442902</v>
      </c>
      <c r="J272">
        <f>IF(AND(D272&lt;&gt;"dram",D272&lt;&gt;"control"),H272,0)</f>
        <v>8453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149</v>
      </c>
      <c r="C273" t="s">
        <v>88</v>
      </c>
      <c r="D273" t="s">
        <v>89</v>
      </c>
      <c r="E273" t="s">
        <v>126</v>
      </c>
      <c r="F273">
        <v>0</v>
      </c>
      <c r="G273">
        <f>MAX(I268,I267)</f>
        <v>425996</v>
      </c>
      <c r="H273">
        <f>0</f>
        <v>8453</v>
      </c>
      <c r="I273">
        <f>G273+H273</f>
        <v>434449</v>
      </c>
      <c r="J273">
        <f>IF(AND(D273&lt;&gt;"dram",D273&lt;&gt;"control"),H273,0)</f>
        <v>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150</v>
      </c>
      <c r="C274" t="s">
        <v>92</v>
      </c>
      <c r="D274" t="s">
        <v>83</v>
      </c>
      <c r="E274" t="s">
        <v>126</v>
      </c>
      <c r="F274">
        <v>1024</v>
      </c>
      <c r="G274">
        <f>MAX(I273,I271)</f>
        <v>434449</v>
      </c>
      <c r="H274">
        <f>CEILING((dram_access_latency+F274/dram_bandwidth)*frequency,1)</f>
        <v>116</v>
      </c>
      <c r="I274">
        <f>G274+H274</f>
        <v>434565</v>
      </c>
      <c r="J274">
        <f>IF(AND(D274&lt;&gt;"dram",D274&lt;&gt;"control"),H274,0)</f>
        <v>0</v>
      </c>
      <c r="K274">
        <f>IF(D274="dram",H274,0)</f>
        <v>116</v>
      </c>
      <c r="L274">
        <v>0</v>
      </c>
      <c r="M274">
        <v>1024</v>
      </c>
    </row>
    <row r="275" spans="1:13">
      <c r="A275">
        <v>273</v>
      </c>
      <c r="B275" t="s">
        <v>146</v>
      </c>
      <c r="C275" t="s">
        <v>82</v>
      </c>
      <c r="D275" t="s">
        <v>83</v>
      </c>
      <c r="E275" t="s">
        <v>127</v>
      </c>
      <c r="F275">
        <v>262144</v>
      </c>
      <c r="G275">
        <f>MAX(I273,I274)</f>
        <v>434565</v>
      </c>
      <c r="H275">
        <f>CEILING((dram_access_latency+F275/dram_bandwidth)*frequency,1)</f>
        <v>4196</v>
      </c>
      <c r="I275">
        <f>G275+H275</f>
        <v>438761</v>
      </c>
      <c r="J275">
        <f>IF(AND(D275&lt;&gt;"dram",D275&lt;&gt;"control"),H275,0)</f>
        <v>0</v>
      </c>
      <c r="K275">
        <f>IF(D275="dram",H275,0)</f>
        <v>4196</v>
      </c>
      <c r="L275">
        <v>262144</v>
      </c>
      <c r="M275">
        <v>0</v>
      </c>
    </row>
    <row r="276" spans="1:13">
      <c r="A276">
        <v>274</v>
      </c>
      <c r="B276" t="s">
        <v>148</v>
      </c>
      <c r="C276" t="s">
        <v>82</v>
      </c>
      <c r="D276" t="s">
        <v>83</v>
      </c>
      <c r="E276" t="s">
        <v>127</v>
      </c>
      <c r="F276">
        <v>8192</v>
      </c>
      <c r="G276">
        <f>MAX(I273,I275)</f>
        <v>438761</v>
      </c>
      <c r="H276">
        <f>CEILING((dram_access_latency+F276/dram_bandwidth)*frequency,1)</f>
        <v>228</v>
      </c>
      <c r="I276">
        <f>G276+H276</f>
        <v>438989</v>
      </c>
      <c r="J276">
        <f>IF(AND(D276&lt;&gt;"dram",D276&lt;&gt;"control"),H276,0)</f>
        <v>0</v>
      </c>
      <c r="K276">
        <f>IF(D276="dram",H276,0)</f>
        <v>228</v>
      </c>
      <c r="L276">
        <v>8192</v>
      </c>
      <c r="M276">
        <v>0</v>
      </c>
    </row>
    <row r="277" spans="1:13">
      <c r="A277">
        <v>275</v>
      </c>
      <c r="B277" t="s">
        <v>25</v>
      </c>
      <c r="C277" t="s">
        <v>90</v>
      </c>
      <c r="D277" t="s">
        <v>108</v>
      </c>
      <c r="E277" t="s">
        <v>127</v>
      </c>
      <c r="F277">
        <v>0</v>
      </c>
      <c r="G277">
        <f>MAX(I272,I272,I185,I275,I187,I276,I274)</f>
        <v>442902</v>
      </c>
      <c r="H277">
        <f>'Operations'!I5</f>
        <v>8453</v>
      </c>
      <c r="I277">
        <f>G277+H277</f>
        <v>451355</v>
      </c>
      <c r="J277">
        <f>IF(AND(D277&lt;&gt;"dram",D277&lt;&gt;"control"),H277,0)</f>
        <v>8453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149</v>
      </c>
      <c r="C278" t="s">
        <v>88</v>
      </c>
      <c r="D278" t="s">
        <v>89</v>
      </c>
      <c r="E278" t="s">
        <v>127</v>
      </c>
      <c r="F278">
        <v>0</v>
      </c>
      <c r="G278">
        <f>MAX(I273,I272)</f>
        <v>434449</v>
      </c>
      <c r="H278">
        <f>0</f>
        <v>8453</v>
      </c>
      <c r="I278">
        <f>G278+H278</f>
        <v>442902</v>
      </c>
      <c r="J278">
        <f>IF(AND(D278&lt;&gt;"dram",D278&lt;&gt;"control"),H278,0)</f>
        <v>0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150</v>
      </c>
      <c r="C279" t="s">
        <v>92</v>
      </c>
      <c r="D279" t="s">
        <v>83</v>
      </c>
      <c r="E279" t="s">
        <v>127</v>
      </c>
      <c r="F279">
        <v>1024</v>
      </c>
      <c r="G279">
        <f>MAX(I278,I276)</f>
        <v>442902</v>
      </c>
      <c r="H279">
        <f>CEILING((dram_access_latency+F279/dram_bandwidth)*frequency,1)</f>
        <v>116</v>
      </c>
      <c r="I279">
        <f>G279+H279</f>
        <v>443018</v>
      </c>
      <c r="J279">
        <f>IF(AND(D279&lt;&gt;"dram",D279&lt;&gt;"control"),H279,0)</f>
        <v>0</v>
      </c>
      <c r="K279">
        <f>IF(D279="dram",H279,0)</f>
        <v>116</v>
      </c>
      <c r="L279">
        <v>0</v>
      </c>
      <c r="M279">
        <v>1024</v>
      </c>
    </row>
    <row r="280" spans="1:13">
      <c r="A280">
        <v>278</v>
      </c>
      <c r="B280" t="s">
        <v>146</v>
      </c>
      <c r="C280" t="s">
        <v>82</v>
      </c>
      <c r="D280" t="s">
        <v>83</v>
      </c>
      <c r="E280" t="s">
        <v>128</v>
      </c>
      <c r="F280">
        <v>262144</v>
      </c>
      <c r="G280">
        <f>MAX(I278,I279)</f>
        <v>443018</v>
      </c>
      <c r="H280">
        <f>CEILING((dram_access_latency+F280/dram_bandwidth)*frequency,1)</f>
        <v>4196</v>
      </c>
      <c r="I280">
        <f>G280+H280</f>
        <v>447214</v>
      </c>
      <c r="J280">
        <f>IF(AND(D280&lt;&gt;"dram",D280&lt;&gt;"control"),H280,0)</f>
        <v>0</v>
      </c>
      <c r="K280">
        <f>IF(D280="dram",H280,0)</f>
        <v>4196</v>
      </c>
      <c r="L280">
        <v>262144</v>
      </c>
      <c r="M280">
        <v>0</v>
      </c>
    </row>
    <row r="281" spans="1:13">
      <c r="A281">
        <v>279</v>
      </c>
      <c r="B281" t="s">
        <v>148</v>
      </c>
      <c r="C281" t="s">
        <v>82</v>
      </c>
      <c r="D281" t="s">
        <v>83</v>
      </c>
      <c r="E281" t="s">
        <v>128</v>
      </c>
      <c r="F281">
        <v>8192</v>
      </c>
      <c r="G281">
        <f>MAX(I278,I280)</f>
        <v>447214</v>
      </c>
      <c r="H281">
        <f>CEILING((dram_access_latency+F281/dram_bandwidth)*frequency,1)</f>
        <v>228</v>
      </c>
      <c r="I281">
        <f>G281+H281</f>
        <v>447442</v>
      </c>
      <c r="J281">
        <f>IF(AND(D281&lt;&gt;"dram",D281&lt;&gt;"control"),H281,0)</f>
        <v>0</v>
      </c>
      <c r="K281">
        <f>IF(D281="dram",H281,0)</f>
        <v>228</v>
      </c>
      <c r="L281">
        <v>8192</v>
      </c>
      <c r="M281">
        <v>0</v>
      </c>
    </row>
    <row r="282" spans="1:13">
      <c r="A282">
        <v>280</v>
      </c>
      <c r="B282" t="s">
        <v>25</v>
      </c>
      <c r="C282" t="s">
        <v>90</v>
      </c>
      <c r="D282" t="s">
        <v>108</v>
      </c>
      <c r="E282" t="s">
        <v>128</v>
      </c>
      <c r="F282">
        <v>0</v>
      </c>
      <c r="G282">
        <f>MAX(I277,I277,I185,I280,I187,I281,I279)</f>
        <v>451355</v>
      </c>
      <c r="H282">
        <f>'Operations'!I5</f>
        <v>8453</v>
      </c>
      <c r="I282">
        <f>G282+H282</f>
        <v>459808</v>
      </c>
      <c r="J282">
        <f>IF(AND(D282&lt;&gt;"dram",D282&lt;&gt;"control"),H282,0)</f>
        <v>8453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149</v>
      </c>
      <c r="C283" t="s">
        <v>88</v>
      </c>
      <c r="D283" t="s">
        <v>89</v>
      </c>
      <c r="E283" t="s">
        <v>128</v>
      </c>
      <c r="F283">
        <v>0</v>
      </c>
      <c r="G283">
        <f>MAX(I278,I277)</f>
        <v>442902</v>
      </c>
      <c r="H283">
        <f>0</f>
        <v>8453</v>
      </c>
      <c r="I283">
        <f>G283+H283</f>
        <v>451355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150</v>
      </c>
      <c r="C284" t="s">
        <v>92</v>
      </c>
      <c r="D284" t="s">
        <v>83</v>
      </c>
      <c r="E284" t="s">
        <v>128</v>
      </c>
      <c r="F284">
        <v>1024</v>
      </c>
      <c r="G284">
        <f>MAX(I283,I281)</f>
        <v>451355</v>
      </c>
      <c r="H284">
        <f>CEILING((dram_access_latency+F284/dram_bandwidth)*frequency,1)</f>
        <v>116</v>
      </c>
      <c r="I284">
        <f>G284+H284</f>
        <v>451471</v>
      </c>
      <c r="J284">
        <f>IF(AND(D284&lt;&gt;"dram",D284&lt;&gt;"control"),H284,0)</f>
        <v>0</v>
      </c>
      <c r="K284">
        <f>IF(D284="dram",H284,0)</f>
        <v>116</v>
      </c>
      <c r="L284">
        <v>0</v>
      </c>
      <c r="M284">
        <v>1024</v>
      </c>
    </row>
    <row r="285" spans="1:13">
      <c r="A285">
        <v>283</v>
      </c>
      <c r="B285" t="s">
        <v>146</v>
      </c>
      <c r="C285" t="s">
        <v>82</v>
      </c>
      <c r="D285" t="s">
        <v>83</v>
      </c>
      <c r="E285" t="s">
        <v>129</v>
      </c>
      <c r="F285">
        <v>262144</v>
      </c>
      <c r="G285">
        <f>MAX(I283,I284)</f>
        <v>451471</v>
      </c>
      <c r="H285">
        <f>CEILING((dram_access_latency+F285/dram_bandwidth)*frequency,1)</f>
        <v>4196</v>
      </c>
      <c r="I285">
        <f>G285+H285</f>
        <v>455667</v>
      </c>
      <c r="J285">
        <f>IF(AND(D285&lt;&gt;"dram",D285&lt;&gt;"control"),H285,0)</f>
        <v>0</v>
      </c>
      <c r="K285">
        <f>IF(D285="dram",H285,0)</f>
        <v>4196</v>
      </c>
      <c r="L285">
        <v>262144</v>
      </c>
      <c r="M285">
        <v>0</v>
      </c>
    </row>
    <row r="286" spans="1:13">
      <c r="A286">
        <v>284</v>
      </c>
      <c r="B286" t="s">
        <v>148</v>
      </c>
      <c r="C286" t="s">
        <v>82</v>
      </c>
      <c r="D286" t="s">
        <v>83</v>
      </c>
      <c r="E286" t="s">
        <v>129</v>
      </c>
      <c r="F286">
        <v>8192</v>
      </c>
      <c r="G286">
        <f>MAX(I283,I285)</f>
        <v>455667</v>
      </c>
      <c r="H286">
        <f>CEILING((dram_access_latency+F286/dram_bandwidth)*frequency,1)</f>
        <v>228</v>
      </c>
      <c r="I286">
        <f>G286+H286</f>
        <v>455895</v>
      </c>
      <c r="J286">
        <f>IF(AND(D286&lt;&gt;"dram",D286&lt;&gt;"control"),H286,0)</f>
        <v>0</v>
      </c>
      <c r="K286">
        <f>IF(D286="dram",H286,0)</f>
        <v>228</v>
      </c>
      <c r="L286">
        <v>8192</v>
      </c>
      <c r="M286">
        <v>0</v>
      </c>
    </row>
    <row r="287" spans="1:13">
      <c r="A287">
        <v>285</v>
      </c>
      <c r="B287" t="s">
        <v>25</v>
      </c>
      <c r="C287" t="s">
        <v>90</v>
      </c>
      <c r="D287" t="s">
        <v>108</v>
      </c>
      <c r="E287" t="s">
        <v>129</v>
      </c>
      <c r="F287">
        <v>0</v>
      </c>
      <c r="G287">
        <f>MAX(I282,I282,I185,I285,I187,I286,I284)</f>
        <v>459808</v>
      </c>
      <c r="H287">
        <f>'Operations'!I5</f>
        <v>8453</v>
      </c>
      <c r="I287">
        <f>G287+H287</f>
        <v>468261</v>
      </c>
      <c r="J287">
        <f>IF(AND(D287&lt;&gt;"dram",D287&lt;&gt;"control"),H287,0)</f>
        <v>8453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149</v>
      </c>
      <c r="C288" t="s">
        <v>88</v>
      </c>
      <c r="D288" t="s">
        <v>89</v>
      </c>
      <c r="E288" t="s">
        <v>129</v>
      </c>
      <c r="F288">
        <v>0</v>
      </c>
      <c r="G288">
        <f>MAX(I283,I282)</f>
        <v>451355</v>
      </c>
      <c r="H288">
        <f>0</f>
        <v>8453</v>
      </c>
      <c r="I288">
        <f>G288+H288</f>
        <v>459808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150</v>
      </c>
      <c r="C289" t="s">
        <v>92</v>
      </c>
      <c r="D289" t="s">
        <v>83</v>
      </c>
      <c r="E289" t="s">
        <v>129</v>
      </c>
      <c r="F289">
        <v>1024</v>
      </c>
      <c r="G289">
        <f>MAX(I288,I286)</f>
        <v>459808</v>
      </c>
      <c r="H289">
        <f>CEILING((dram_access_latency+F289/dram_bandwidth)*frequency,1)</f>
        <v>116</v>
      </c>
      <c r="I289">
        <f>G289+H289</f>
        <v>459924</v>
      </c>
      <c r="J289">
        <f>IF(AND(D289&lt;&gt;"dram",D289&lt;&gt;"control"),H289,0)</f>
        <v>0</v>
      </c>
      <c r="K289">
        <f>IF(D289="dram",H289,0)</f>
        <v>116</v>
      </c>
      <c r="L289">
        <v>0</v>
      </c>
      <c r="M289">
        <v>1024</v>
      </c>
    </row>
    <row r="290" spans="1:13">
      <c r="A290">
        <v>288</v>
      </c>
      <c r="B290" t="s">
        <v>146</v>
      </c>
      <c r="C290" t="s">
        <v>82</v>
      </c>
      <c r="D290" t="s">
        <v>83</v>
      </c>
      <c r="E290" t="s">
        <v>130</v>
      </c>
      <c r="F290">
        <v>262144</v>
      </c>
      <c r="G290">
        <f>MAX(I288,I289)</f>
        <v>459924</v>
      </c>
      <c r="H290">
        <f>CEILING((dram_access_latency+F290/dram_bandwidth)*frequency,1)</f>
        <v>4196</v>
      </c>
      <c r="I290">
        <f>G290+H290</f>
        <v>464120</v>
      </c>
      <c r="J290">
        <f>IF(AND(D290&lt;&gt;"dram",D290&lt;&gt;"control"),H290,0)</f>
        <v>0</v>
      </c>
      <c r="K290">
        <f>IF(D290="dram",H290,0)</f>
        <v>4196</v>
      </c>
      <c r="L290">
        <v>262144</v>
      </c>
      <c r="M290">
        <v>0</v>
      </c>
    </row>
    <row r="291" spans="1:13">
      <c r="A291">
        <v>289</v>
      </c>
      <c r="B291" t="s">
        <v>148</v>
      </c>
      <c r="C291" t="s">
        <v>82</v>
      </c>
      <c r="D291" t="s">
        <v>83</v>
      </c>
      <c r="E291" t="s">
        <v>130</v>
      </c>
      <c r="F291">
        <v>8192</v>
      </c>
      <c r="G291">
        <f>MAX(I288,I290)</f>
        <v>464120</v>
      </c>
      <c r="H291">
        <f>CEILING((dram_access_latency+F291/dram_bandwidth)*frequency,1)</f>
        <v>228</v>
      </c>
      <c r="I291">
        <f>G291+H291</f>
        <v>464348</v>
      </c>
      <c r="J291">
        <f>IF(AND(D291&lt;&gt;"dram",D291&lt;&gt;"control"),H291,0)</f>
        <v>0</v>
      </c>
      <c r="K291">
        <f>IF(D291="dram",H291,0)</f>
        <v>228</v>
      </c>
      <c r="L291">
        <v>8192</v>
      </c>
      <c r="M291">
        <v>0</v>
      </c>
    </row>
    <row r="292" spans="1:13">
      <c r="A292">
        <v>290</v>
      </c>
      <c r="B292" t="s">
        <v>25</v>
      </c>
      <c r="C292" t="s">
        <v>90</v>
      </c>
      <c r="D292" t="s">
        <v>108</v>
      </c>
      <c r="E292" t="s">
        <v>130</v>
      </c>
      <c r="F292">
        <v>0</v>
      </c>
      <c r="G292">
        <f>MAX(I287,I287,I185,I290,I187,I291,I289)</f>
        <v>468261</v>
      </c>
      <c r="H292">
        <f>'Operations'!I5</f>
        <v>8453</v>
      </c>
      <c r="I292">
        <f>G292+H292</f>
        <v>476714</v>
      </c>
      <c r="J292">
        <f>IF(AND(D292&lt;&gt;"dram",D292&lt;&gt;"control"),H292,0)</f>
        <v>8453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149</v>
      </c>
      <c r="C293" t="s">
        <v>88</v>
      </c>
      <c r="D293" t="s">
        <v>89</v>
      </c>
      <c r="E293" t="s">
        <v>130</v>
      </c>
      <c r="F293">
        <v>0</v>
      </c>
      <c r="G293">
        <f>MAX(I288,I287)</f>
        <v>459808</v>
      </c>
      <c r="H293">
        <f>0</f>
        <v>8453</v>
      </c>
      <c r="I293">
        <f>G293+H293</f>
        <v>468261</v>
      </c>
      <c r="J293">
        <f>IF(AND(D293&lt;&gt;"dram",D293&lt;&gt;"control"),H293,0)</f>
        <v>0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150</v>
      </c>
      <c r="C294" t="s">
        <v>92</v>
      </c>
      <c r="D294" t="s">
        <v>83</v>
      </c>
      <c r="E294" t="s">
        <v>130</v>
      </c>
      <c r="F294">
        <v>1024</v>
      </c>
      <c r="G294">
        <f>MAX(I293,I291)</f>
        <v>468261</v>
      </c>
      <c r="H294">
        <f>CEILING((dram_access_latency+F294/dram_bandwidth)*frequency,1)</f>
        <v>116</v>
      </c>
      <c r="I294">
        <f>G294+H294</f>
        <v>468377</v>
      </c>
      <c r="J294">
        <f>IF(AND(D294&lt;&gt;"dram",D294&lt;&gt;"control"),H294,0)</f>
        <v>0</v>
      </c>
      <c r="K294">
        <f>IF(D294="dram",H294,0)</f>
        <v>116</v>
      </c>
      <c r="L294">
        <v>0</v>
      </c>
      <c r="M294">
        <v>1024</v>
      </c>
    </row>
    <row r="295" spans="1:13">
      <c r="A295">
        <v>293</v>
      </c>
      <c r="B295" t="s">
        <v>146</v>
      </c>
      <c r="C295" t="s">
        <v>82</v>
      </c>
      <c r="D295" t="s">
        <v>83</v>
      </c>
      <c r="E295" t="s">
        <v>131</v>
      </c>
      <c r="F295">
        <v>262144</v>
      </c>
      <c r="G295">
        <f>MAX(I293,I294)</f>
        <v>468377</v>
      </c>
      <c r="H295">
        <f>CEILING((dram_access_latency+F295/dram_bandwidth)*frequency,1)</f>
        <v>4196</v>
      </c>
      <c r="I295">
        <f>G295+H295</f>
        <v>472573</v>
      </c>
      <c r="J295">
        <f>IF(AND(D295&lt;&gt;"dram",D295&lt;&gt;"control"),H295,0)</f>
        <v>0</v>
      </c>
      <c r="K295">
        <f>IF(D295="dram",H295,0)</f>
        <v>4196</v>
      </c>
      <c r="L295">
        <v>262144</v>
      </c>
      <c r="M295">
        <v>0</v>
      </c>
    </row>
    <row r="296" spans="1:13">
      <c r="A296">
        <v>294</v>
      </c>
      <c r="B296" t="s">
        <v>148</v>
      </c>
      <c r="C296" t="s">
        <v>82</v>
      </c>
      <c r="D296" t="s">
        <v>83</v>
      </c>
      <c r="E296" t="s">
        <v>131</v>
      </c>
      <c r="F296">
        <v>8192</v>
      </c>
      <c r="G296">
        <f>MAX(I293,I295)</f>
        <v>472573</v>
      </c>
      <c r="H296">
        <f>CEILING((dram_access_latency+F296/dram_bandwidth)*frequency,1)</f>
        <v>228</v>
      </c>
      <c r="I296">
        <f>G296+H296</f>
        <v>472801</v>
      </c>
      <c r="J296">
        <f>IF(AND(D296&lt;&gt;"dram",D296&lt;&gt;"control"),H296,0)</f>
        <v>0</v>
      </c>
      <c r="K296">
        <f>IF(D296="dram",H296,0)</f>
        <v>228</v>
      </c>
      <c r="L296">
        <v>8192</v>
      </c>
      <c r="M296">
        <v>0</v>
      </c>
    </row>
    <row r="297" spans="1:13">
      <c r="A297">
        <v>295</v>
      </c>
      <c r="B297" t="s">
        <v>25</v>
      </c>
      <c r="C297" t="s">
        <v>90</v>
      </c>
      <c r="D297" t="s">
        <v>108</v>
      </c>
      <c r="E297" t="s">
        <v>131</v>
      </c>
      <c r="F297">
        <v>0</v>
      </c>
      <c r="G297">
        <f>MAX(I292,I292,I185,I295,I187,I296,I294)</f>
        <v>476714</v>
      </c>
      <c r="H297">
        <f>'Operations'!I5</f>
        <v>8453</v>
      </c>
      <c r="I297">
        <f>G297+H297</f>
        <v>485167</v>
      </c>
      <c r="J297">
        <f>IF(AND(D297&lt;&gt;"dram",D297&lt;&gt;"control"),H297,0)</f>
        <v>8453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149</v>
      </c>
      <c r="C298" t="s">
        <v>88</v>
      </c>
      <c r="D298" t="s">
        <v>89</v>
      </c>
      <c r="E298" t="s">
        <v>131</v>
      </c>
      <c r="F298">
        <v>0</v>
      </c>
      <c r="G298">
        <f>MAX(I293,I292)</f>
        <v>468261</v>
      </c>
      <c r="H298">
        <f>0</f>
        <v>8453</v>
      </c>
      <c r="I298">
        <f>G298+H298</f>
        <v>476714</v>
      </c>
      <c r="J298">
        <f>IF(AND(D298&lt;&gt;"dram",D298&lt;&gt;"control"),H298,0)</f>
        <v>0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150</v>
      </c>
      <c r="C299" t="s">
        <v>92</v>
      </c>
      <c r="D299" t="s">
        <v>83</v>
      </c>
      <c r="E299" t="s">
        <v>131</v>
      </c>
      <c r="F299">
        <v>1024</v>
      </c>
      <c r="G299">
        <f>MAX(I298,I296)</f>
        <v>476714</v>
      </c>
      <c r="H299">
        <f>CEILING((dram_access_latency+F299/dram_bandwidth)*frequency,1)</f>
        <v>116</v>
      </c>
      <c r="I299">
        <f>G299+H299</f>
        <v>476830</v>
      </c>
      <c r="J299">
        <f>IF(AND(D299&lt;&gt;"dram",D299&lt;&gt;"control"),H299,0)</f>
        <v>0</v>
      </c>
      <c r="K299">
        <f>IF(D299="dram",H299,0)</f>
        <v>116</v>
      </c>
      <c r="L299">
        <v>0</v>
      </c>
      <c r="M299">
        <v>1024</v>
      </c>
    </row>
    <row r="300" spans="1:13">
      <c r="A300">
        <v>298</v>
      </c>
      <c r="B300" t="s">
        <v>146</v>
      </c>
      <c r="C300" t="s">
        <v>82</v>
      </c>
      <c r="D300" t="s">
        <v>83</v>
      </c>
      <c r="E300" t="s">
        <v>132</v>
      </c>
      <c r="F300">
        <v>262144</v>
      </c>
      <c r="G300">
        <f>MAX(I298,I299)</f>
        <v>476830</v>
      </c>
      <c r="H300">
        <f>CEILING((dram_access_latency+F300/dram_bandwidth)*frequency,1)</f>
        <v>4196</v>
      </c>
      <c r="I300">
        <f>G300+H300</f>
        <v>481026</v>
      </c>
      <c r="J300">
        <f>IF(AND(D300&lt;&gt;"dram",D300&lt;&gt;"control"),H300,0)</f>
        <v>0</v>
      </c>
      <c r="K300">
        <f>IF(D300="dram",H300,0)</f>
        <v>4196</v>
      </c>
      <c r="L300">
        <v>262144</v>
      </c>
      <c r="M300">
        <v>0</v>
      </c>
    </row>
    <row r="301" spans="1:13">
      <c r="A301">
        <v>299</v>
      </c>
      <c r="B301" t="s">
        <v>148</v>
      </c>
      <c r="C301" t="s">
        <v>82</v>
      </c>
      <c r="D301" t="s">
        <v>83</v>
      </c>
      <c r="E301" t="s">
        <v>132</v>
      </c>
      <c r="F301">
        <v>8192</v>
      </c>
      <c r="G301">
        <f>MAX(I298,I300)</f>
        <v>481026</v>
      </c>
      <c r="H301">
        <f>CEILING((dram_access_latency+F301/dram_bandwidth)*frequency,1)</f>
        <v>228</v>
      </c>
      <c r="I301">
        <f>G301+H301</f>
        <v>481254</v>
      </c>
      <c r="J301">
        <f>IF(AND(D301&lt;&gt;"dram",D301&lt;&gt;"control"),H301,0)</f>
        <v>0</v>
      </c>
      <c r="K301">
        <f>IF(D301="dram",H301,0)</f>
        <v>228</v>
      </c>
      <c r="L301">
        <v>8192</v>
      </c>
      <c r="M301">
        <v>0</v>
      </c>
    </row>
    <row r="302" spans="1:13">
      <c r="A302">
        <v>300</v>
      </c>
      <c r="B302" t="s">
        <v>25</v>
      </c>
      <c r="C302" t="s">
        <v>90</v>
      </c>
      <c r="D302" t="s">
        <v>108</v>
      </c>
      <c r="E302" t="s">
        <v>132</v>
      </c>
      <c r="F302">
        <v>0</v>
      </c>
      <c r="G302">
        <f>MAX(I297,I297,I185,I300,I187,I301,I299)</f>
        <v>485167</v>
      </c>
      <c r="H302">
        <f>'Operations'!I5</f>
        <v>8453</v>
      </c>
      <c r="I302">
        <f>G302+H302</f>
        <v>493620</v>
      </c>
      <c r="J302">
        <f>IF(AND(D302&lt;&gt;"dram",D302&lt;&gt;"control"),H302,0)</f>
        <v>8453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149</v>
      </c>
      <c r="C303" t="s">
        <v>88</v>
      </c>
      <c r="D303" t="s">
        <v>89</v>
      </c>
      <c r="E303" t="s">
        <v>132</v>
      </c>
      <c r="F303">
        <v>0</v>
      </c>
      <c r="G303">
        <f>MAX(I298,I297)</f>
        <v>476714</v>
      </c>
      <c r="H303">
        <f>0</f>
        <v>8453</v>
      </c>
      <c r="I303">
        <f>G303+H303</f>
        <v>485167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150</v>
      </c>
      <c r="C304" t="s">
        <v>92</v>
      </c>
      <c r="D304" t="s">
        <v>83</v>
      </c>
      <c r="E304" t="s">
        <v>132</v>
      </c>
      <c r="F304">
        <v>1024</v>
      </c>
      <c r="G304">
        <f>MAX(I303,I301)</f>
        <v>485167</v>
      </c>
      <c r="H304">
        <f>CEILING((dram_access_latency+F304/dram_bandwidth)*frequency,1)</f>
        <v>116</v>
      </c>
      <c r="I304">
        <f>G304+H304</f>
        <v>485283</v>
      </c>
      <c r="J304">
        <f>IF(AND(D304&lt;&gt;"dram",D304&lt;&gt;"control"),H304,0)</f>
        <v>0</v>
      </c>
      <c r="K304">
        <f>IF(D304="dram",H304,0)</f>
        <v>116</v>
      </c>
      <c r="L304">
        <v>0</v>
      </c>
      <c r="M304">
        <v>1024</v>
      </c>
    </row>
    <row r="305" spans="1:13">
      <c r="A305">
        <v>303</v>
      </c>
      <c r="B305" t="s">
        <v>146</v>
      </c>
      <c r="C305" t="s">
        <v>82</v>
      </c>
      <c r="D305" t="s">
        <v>83</v>
      </c>
      <c r="E305" t="s">
        <v>133</v>
      </c>
      <c r="F305">
        <v>262144</v>
      </c>
      <c r="G305">
        <f>MAX(I303,I304)</f>
        <v>485283</v>
      </c>
      <c r="H305">
        <f>CEILING((dram_access_latency+F305/dram_bandwidth)*frequency,1)</f>
        <v>4196</v>
      </c>
      <c r="I305">
        <f>G305+H305</f>
        <v>489479</v>
      </c>
      <c r="J305">
        <f>IF(AND(D305&lt;&gt;"dram",D305&lt;&gt;"control"),H305,0)</f>
        <v>0</v>
      </c>
      <c r="K305">
        <f>IF(D305="dram",H305,0)</f>
        <v>4196</v>
      </c>
      <c r="L305">
        <v>262144</v>
      </c>
      <c r="M305">
        <v>0</v>
      </c>
    </row>
    <row r="306" spans="1:13">
      <c r="A306">
        <v>304</v>
      </c>
      <c r="B306" t="s">
        <v>148</v>
      </c>
      <c r="C306" t="s">
        <v>82</v>
      </c>
      <c r="D306" t="s">
        <v>83</v>
      </c>
      <c r="E306" t="s">
        <v>133</v>
      </c>
      <c r="F306">
        <v>8192</v>
      </c>
      <c r="G306">
        <f>MAX(I303,I305)</f>
        <v>489479</v>
      </c>
      <c r="H306">
        <f>CEILING((dram_access_latency+F306/dram_bandwidth)*frequency,1)</f>
        <v>228</v>
      </c>
      <c r="I306">
        <f>G306+H306</f>
        <v>489707</v>
      </c>
      <c r="J306">
        <f>IF(AND(D306&lt;&gt;"dram",D306&lt;&gt;"control"),H306,0)</f>
        <v>0</v>
      </c>
      <c r="K306">
        <f>IF(D306="dram",H306,0)</f>
        <v>228</v>
      </c>
      <c r="L306">
        <v>8192</v>
      </c>
      <c r="M306">
        <v>0</v>
      </c>
    </row>
    <row r="307" spans="1:13">
      <c r="A307">
        <v>305</v>
      </c>
      <c r="B307" t="s">
        <v>25</v>
      </c>
      <c r="C307" t="s">
        <v>90</v>
      </c>
      <c r="D307" t="s">
        <v>108</v>
      </c>
      <c r="E307" t="s">
        <v>133</v>
      </c>
      <c r="F307">
        <v>0</v>
      </c>
      <c r="G307">
        <f>MAX(I302,I302,I185,I305,I187,I306,I304)</f>
        <v>493620</v>
      </c>
      <c r="H307">
        <f>'Operations'!I5</f>
        <v>8453</v>
      </c>
      <c r="I307">
        <f>G307+H307</f>
        <v>502073</v>
      </c>
      <c r="J307">
        <f>IF(AND(D307&lt;&gt;"dram",D307&lt;&gt;"control"),H307,0)</f>
        <v>8453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149</v>
      </c>
      <c r="C308" t="s">
        <v>88</v>
      </c>
      <c r="D308" t="s">
        <v>89</v>
      </c>
      <c r="E308" t="s">
        <v>133</v>
      </c>
      <c r="F308">
        <v>0</v>
      </c>
      <c r="G308">
        <f>MAX(I303,I302)</f>
        <v>485167</v>
      </c>
      <c r="H308">
        <f>0</f>
        <v>8453</v>
      </c>
      <c r="I308">
        <f>G308+H308</f>
        <v>493620</v>
      </c>
      <c r="J308">
        <f>IF(AND(D308&lt;&gt;"dram",D308&lt;&gt;"control"),H308,0)</f>
        <v>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150</v>
      </c>
      <c r="C309" t="s">
        <v>92</v>
      </c>
      <c r="D309" t="s">
        <v>83</v>
      </c>
      <c r="E309" t="s">
        <v>133</v>
      </c>
      <c r="F309">
        <v>1024</v>
      </c>
      <c r="G309">
        <f>MAX(I308,I306)</f>
        <v>493620</v>
      </c>
      <c r="H309">
        <f>CEILING((dram_access_latency+F309/dram_bandwidth)*frequency,1)</f>
        <v>116</v>
      </c>
      <c r="I309">
        <f>G309+H309</f>
        <v>493736</v>
      </c>
      <c r="J309">
        <f>IF(AND(D309&lt;&gt;"dram",D309&lt;&gt;"control"),H309,0)</f>
        <v>0</v>
      </c>
      <c r="K309">
        <f>IF(D309="dram",H309,0)</f>
        <v>116</v>
      </c>
      <c r="L309">
        <v>0</v>
      </c>
      <c r="M309">
        <v>1024</v>
      </c>
    </row>
    <row r="310" spans="1:13">
      <c r="A310">
        <v>308</v>
      </c>
      <c r="B310" t="s">
        <v>146</v>
      </c>
      <c r="C310" t="s">
        <v>82</v>
      </c>
      <c r="D310" t="s">
        <v>83</v>
      </c>
      <c r="E310" t="s">
        <v>134</v>
      </c>
      <c r="F310">
        <v>262144</v>
      </c>
      <c r="G310">
        <f>MAX(I308,I309)</f>
        <v>493736</v>
      </c>
      <c r="H310">
        <f>CEILING((dram_access_latency+F310/dram_bandwidth)*frequency,1)</f>
        <v>4196</v>
      </c>
      <c r="I310">
        <f>G310+H310</f>
        <v>497932</v>
      </c>
      <c r="J310">
        <f>IF(AND(D310&lt;&gt;"dram",D310&lt;&gt;"control"),H310,0)</f>
        <v>0</v>
      </c>
      <c r="K310">
        <f>IF(D310="dram",H310,0)</f>
        <v>4196</v>
      </c>
      <c r="L310">
        <v>262144</v>
      </c>
      <c r="M310">
        <v>0</v>
      </c>
    </row>
    <row r="311" spans="1:13">
      <c r="A311">
        <v>309</v>
      </c>
      <c r="B311" t="s">
        <v>148</v>
      </c>
      <c r="C311" t="s">
        <v>82</v>
      </c>
      <c r="D311" t="s">
        <v>83</v>
      </c>
      <c r="E311" t="s">
        <v>134</v>
      </c>
      <c r="F311">
        <v>8192</v>
      </c>
      <c r="G311">
        <f>MAX(I308,I310)</f>
        <v>497932</v>
      </c>
      <c r="H311">
        <f>CEILING((dram_access_latency+F311/dram_bandwidth)*frequency,1)</f>
        <v>228</v>
      </c>
      <c r="I311">
        <f>G311+H311</f>
        <v>498160</v>
      </c>
      <c r="J311">
        <f>IF(AND(D311&lt;&gt;"dram",D311&lt;&gt;"control"),H311,0)</f>
        <v>0</v>
      </c>
      <c r="K311">
        <f>IF(D311="dram",H311,0)</f>
        <v>228</v>
      </c>
      <c r="L311">
        <v>8192</v>
      </c>
      <c r="M311">
        <v>0</v>
      </c>
    </row>
    <row r="312" spans="1:13">
      <c r="A312">
        <v>310</v>
      </c>
      <c r="B312" t="s">
        <v>25</v>
      </c>
      <c r="C312" t="s">
        <v>90</v>
      </c>
      <c r="D312" t="s">
        <v>108</v>
      </c>
      <c r="E312" t="s">
        <v>134</v>
      </c>
      <c r="F312">
        <v>0</v>
      </c>
      <c r="G312">
        <f>MAX(I307,I307,I185,I310,I187,I311,I309)</f>
        <v>502073</v>
      </c>
      <c r="H312">
        <f>'Operations'!I5</f>
        <v>8453</v>
      </c>
      <c r="I312">
        <f>G312+H312</f>
        <v>510526</v>
      </c>
      <c r="J312">
        <f>IF(AND(D312&lt;&gt;"dram",D312&lt;&gt;"control"),H312,0)</f>
        <v>8453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149</v>
      </c>
      <c r="C313" t="s">
        <v>88</v>
      </c>
      <c r="D313" t="s">
        <v>89</v>
      </c>
      <c r="E313" t="s">
        <v>134</v>
      </c>
      <c r="F313">
        <v>0</v>
      </c>
      <c r="G313">
        <f>MAX(I308,I307)</f>
        <v>493620</v>
      </c>
      <c r="H313">
        <f>0</f>
        <v>8453</v>
      </c>
      <c r="I313">
        <f>G313+H313</f>
        <v>502073</v>
      </c>
      <c r="J313">
        <f>IF(AND(D313&lt;&gt;"dram",D313&lt;&gt;"control"),H313,0)</f>
        <v>0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150</v>
      </c>
      <c r="C314" t="s">
        <v>92</v>
      </c>
      <c r="D314" t="s">
        <v>83</v>
      </c>
      <c r="E314" t="s">
        <v>134</v>
      </c>
      <c r="F314">
        <v>1024</v>
      </c>
      <c r="G314">
        <f>MAX(I313,I311)</f>
        <v>502073</v>
      </c>
      <c r="H314">
        <f>CEILING((dram_access_latency+F314/dram_bandwidth)*frequency,1)</f>
        <v>116</v>
      </c>
      <c r="I314">
        <f>G314+H314</f>
        <v>502189</v>
      </c>
      <c r="J314">
        <f>IF(AND(D314&lt;&gt;"dram",D314&lt;&gt;"control"),H314,0)</f>
        <v>0</v>
      </c>
      <c r="K314">
        <f>IF(D314="dram",H314,0)</f>
        <v>116</v>
      </c>
      <c r="L314">
        <v>0</v>
      </c>
      <c r="M314">
        <v>1024</v>
      </c>
    </row>
    <row r="315" spans="1:13">
      <c r="A315">
        <v>313</v>
      </c>
      <c r="B315" t="s">
        <v>146</v>
      </c>
      <c r="C315" t="s">
        <v>82</v>
      </c>
      <c r="D315" t="s">
        <v>83</v>
      </c>
      <c r="E315" t="s">
        <v>135</v>
      </c>
      <c r="F315">
        <v>262144</v>
      </c>
      <c r="G315">
        <f>MAX(I313,I314)</f>
        <v>502189</v>
      </c>
      <c r="H315">
        <f>CEILING((dram_access_latency+F315/dram_bandwidth)*frequency,1)</f>
        <v>4196</v>
      </c>
      <c r="I315">
        <f>G315+H315</f>
        <v>506385</v>
      </c>
      <c r="J315">
        <f>IF(AND(D315&lt;&gt;"dram",D315&lt;&gt;"control"),H315,0)</f>
        <v>0</v>
      </c>
      <c r="K315">
        <f>IF(D315="dram",H315,0)</f>
        <v>4196</v>
      </c>
      <c r="L315">
        <v>262144</v>
      </c>
      <c r="M315">
        <v>0</v>
      </c>
    </row>
    <row r="316" spans="1:13">
      <c r="A316">
        <v>314</v>
      </c>
      <c r="B316" t="s">
        <v>148</v>
      </c>
      <c r="C316" t="s">
        <v>82</v>
      </c>
      <c r="D316" t="s">
        <v>83</v>
      </c>
      <c r="E316" t="s">
        <v>135</v>
      </c>
      <c r="F316">
        <v>8192</v>
      </c>
      <c r="G316">
        <f>MAX(I313,I315)</f>
        <v>506385</v>
      </c>
      <c r="H316">
        <f>CEILING((dram_access_latency+F316/dram_bandwidth)*frequency,1)</f>
        <v>228</v>
      </c>
      <c r="I316">
        <f>G316+H316</f>
        <v>506613</v>
      </c>
      <c r="J316">
        <f>IF(AND(D316&lt;&gt;"dram",D316&lt;&gt;"control"),H316,0)</f>
        <v>0</v>
      </c>
      <c r="K316">
        <f>IF(D316="dram",H316,0)</f>
        <v>228</v>
      </c>
      <c r="L316">
        <v>8192</v>
      </c>
      <c r="M316">
        <v>0</v>
      </c>
    </row>
    <row r="317" spans="1:13">
      <c r="A317">
        <v>315</v>
      </c>
      <c r="B317" t="s">
        <v>25</v>
      </c>
      <c r="C317" t="s">
        <v>90</v>
      </c>
      <c r="D317" t="s">
        <v>108</v>
      </c>
      <c r="E317" t="s">
        <v>135</v>
      </c>
      <c r="F317">
        <v>0</v>
      </c>
      <c r="G317">
        <f>MAX(I312,I312,I185,I315,I187,I316,I314)</f>
        <v>510526</v>
      </c>
      <c r="H317">
        <f>'Operations'!I5</f>
        <v>8453</v>
      </c>
      <c r="I317">
        <f>G317+H317</f>
        <v>518979</v>
      </c>
      <c r="J317">
        <f>IF(AND(D317&lt;&gt;"dram",D317&lt;&gt;"control"),H317,0)</f>
        <v>8453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149</v>
      </c>
      <c r="C318" t="s">
        <v>88</v>
      </c>
      <c r="D318" t="s">
        <v>89</v>
      </c>
      <c r="E318" t="s">
        <v>135</v>
      </c>
      <c r="F318">
        <v>0</v>
      </c>
      <c r="G318">
        <f>MAX(I313,I312)</f>
        <v>502073</v>
      </c>
      <c r="H318">
        <f>0</f>
        <v>8453</v>
      </c>
      <c r="I318">
        <f>G318+H318</f>
        <v>510526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150</v>
      </c>
      <c r="C319" t="s">
        <v>92</v>
      </c>
      <c r="D319" t="s">
        <v>83</v>
      </c>
      <c r="E319" t="s">
        <v>135</v>
      </c>
      <c r="F319">
        <v>1024</v>
      </c>
      <c r="G319">
        <f>MAX(I318,I316)</f>
        <v>510526</v>
      </c>
      <c r="H319">
        <f>CEILING((dram_access_latency+F319/dram_bandwidth)*frequency,1)</f>
        <v>116</v>
      </c>
      <c r="I319">
        <f>G319+H319</f>
        <v>510642</v>
      </c>
      <c r="J319">
        <f>IF(AND(D319&lt;&gt;"dram",D319&lt;&gt;"control"),H319,0)</f>
        <v>0</v>
      </c>
      <c r="K319">
        <f>IF(D319="dram",H319,0)</f>
        <v>116</v>
      </c>
      <c r="L319">
        <v>0</v>
      </c>
      <c r="M319">
        <v>1024</v>
      </c>
    </row>
    <row r="320" spans="1:13">
      <c r="A320">
        <v>318</v>
      </c>
      <c r="B320" t="s">
        <v>146</v>
      </c>
      <c r="C320" t="s">
        <v>82</v>
      </c>
      <c r="D320" t="s">
        <v>83</v>
      </c>
      <c r="E320" t="s">
        <v>136</v>
      </c>
      <c r="F320">
        <v>262144</v>
      </c>
      <c r="G320">
        <f>MAX(I318,I319)</f>
        <v>510642</v>
      </c>
      <c r="H320">
        <f>CEILING((dram_access_latency+F320/dram_bandwidth)*frequency,1)</f>
        <v>4196</v>
      </c>
      <c r="I320">
        <f>G320+H320</f>
        <v>514838</v>
      </c>
      <c r="J320">
        <f>IF(AND(D320&lt;&gt;"dram",D320&lt;&gt;"control"),H320,0)</f>
        <v>0</v>
      </c>
      <c r="K320">
        <f>IF(D320="dram",H320,0)</f>
        <v>4196</v>
      </c>
      <c r="L320">
        <v>262144</v>
      </c>
      <c r="M320">
        <v>0</v>
      </c>
    </row>
    <row r="321" spans="1:13">
      <c r="A321">
        <v>319</v>
      </c>
      <c r="B321" t="s">
        <v>148</v>
      </c>
      <c r="C321" t="s">
        <v>82</v>
      </c>
      <c r="D321" t="s">
        <v>83</v>
      </c>
      <c r="E321" t="s">
        <v>136</v>
      </c>
      <c r="F321">
        <v>8192</v>
      </c>
      <c r="G321">
        <f>MAX(I318,I320)</f>
        <v>514838</v>
      </c>
      <c r="H321">
        <f>CEILING((dram_access_latency+F321/dram_bandwidth)*frequency,1)</f>
        <v>228</v>
      </c>
      <c r="I321">
        <f>G321+H321</f>
        <v>515066</v>
      </c>
      <c r="J321">
        <f>IF(AND(D321&lt;&gt;"dram",D321&lt;&gt;"control"),H321,0)</f>
        <v>0</v>
      </c>
      <c r="K321">
        <f>IF(D321="dram",H321,0)</f>
        <v>228</v>
      </c>
      <c r="L321">
        <v>8192</v>
      </c>
      <c r="M321">
        <v>0</v>
      </c>
    </row>
    <row r="322" spans="1:13">
      <c r="A322">
        <v>320</v>
      </c>
      <c r="B322" t="s">
        <v>25</v>
      </c>
      <c r="C322" t="s">
        <v>90</v>
      </c>
      <c r="D322" t="s">
        <v>108</v>
      </c>
      <c r="E322" t="s">
        <v>136</v>
      </c>
      <c r="F322">
        <v>0</v>
      </c>
      <c r="G322">
        <f>MAX(I317,I317,I185,I320,I187,I321,I319)</f>
        <v>518979</v>
      </c>
      <c r="H322">
        <f>'Operations'!I5</f>
        <v>8453</v>
      </c>
      <c r="I322">
        <f>G322+H322</f>
        <v>527432</v>
      </c>
      <c r="J322">
        <f>IF(AND(D322&lt;&gt;"dram",D322&lt;&gt;"control"),H322,0)</f>
        <v>8453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149</v>
      </c>
      <c r="C323" t="s">
        <v>88</v>
      </c>
      <c r="D323" t="s">
        <v>89</v>
      </c>
      <c r="E323" t="s">
        <v>136</v>
      </c>
      <c r="F323">
        <v>0</v>
      </c>
      <c r="G323">
        <f>MAX(I318,I317)</f>
        <v>510526</v>
      </c>
      <c r="H323">
        <f>0</f>
        <v>8453</v>
      </c>
      <c r="I323">
        <f>G323+H323</f>
        <v>518979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150</v>
      </c>
      <c r="C324" t="s">
        <v>92</v>
      </c>
      <c r="D324" t="s">
        <v>83</v>
      </c>
      <c r="E324" t="s">
        <v>136</v>
      </c>
      <c r="F324">
        <v>1024</v>
      </c>
      <c r="G324">
        <f>MAX(I323,I321)</f>
        <v>518979</v>
      </c>
      <c r="H324">
        <f>CEILING((dram_access_latency+F324/dram_bandwidth)*frequency,1)</f>
        <v>116</v>
      </c>
      <c r="I324">
        <f>G324+H324</f>
        <v>519095</v>
      </c>
      <c r="J324">
        <f>IF(AND(D324&lt;&gt;"dram",D324&lt;&gt;"control"),H324,0)</f>
        <v>0</v>
      </c>
      <c r="K324">
        <f>IF(D324="dram",H324,0)</f>
        <v>116</v>
      </c>
      <c r="L324">
        <v>0</v>
      </c>
      <c r="M324">
        <v>1024</v>
      </c>
    </row>
    <row r="325" spans="1:13">
      <c r="A325">
        <v>323</v>
      </c>
      <c r="B325" t="s">
        <v>146</v>
      </c>
      <c r="C325" t="s">
        <v>82</v>
      </c>
      <c r="D325" t="s">
        <v>83</v>
      </c>
      <c r="E325" t="s">
        <v>137</v>
      </c>
      <c r="F325">
        <v>262144</v>
      </c>
      <c r="G325">
        <f>MAX(I323,I324)</f>
        <v>519095</v>
      </c>
      <c r="H325">
        <f>CEILING((dram_access_latency+F325/dram_bandwidth)*frequency,1)</f>
        <v>4196</v>
      </c>
      <c r="I325">
        <f>G325+H325</f>
        <v>523291</v>
      </c>
      <c r="J325">
        <f>IF(AND(D325&lt;&gt;"dram",D325&lt;&gt;"control"),H325,0)</f>
        <v>0</v>
      </c>
      <c r="K325">
        <f>IF(D325="dram",H325,0)</f>
        <v>4196</v>
      </c>
      <c r="L325">
        <v>262144</v>
      </c>
      <c r="M325">
        <v>0</v>
      </c>
    </row>
    <row r="326" spans="1:13">
      <c r="A326">
        <v>324</v>
      </c>
      <c r="B326" t="s">
        <v>148</v>
      </c>
      <c r="C326" t="s">
        <v>82</v>
      </c>
      <c r="D326" t="s">
        <v>83</v>
      </c>
      <c r="E326" t="s">
        <v>137</v>
      </c>
      <c r="F326">
        <v>8192</v>
      </c>
      <c r="G326">
        <f>MAX(I323,I325)</f>
        <v>523291</v>
      </c>
      <c r="H326">
        <f>CEILING((dram_access_latency+F326/dram_bandwidth)*frequency,1)</f>
        <v>228</v>
      </c>
      <c r="I326">
        <f>G326+H326</f>
        <v>523519</v>
      </c>
      <c r="J326">
        <f>IF(AND(D326&lt;&gt;"dram",D326&lt;&gt;"control"),H326,0)</f>
        <v>0</v>
      </c>
      <c r="K326">
        <f>IF(D326="dram",H326,0)</f>
        <v>228</v>
      </c>
      <c r="L326">
        <v>8192</v>
      </c>
      <c r="M326">
        <v>0</v>
      </c>
    </row>
    <row r="327" spans="1:13">
      <c r="A327">
        <v>325</v>
      </c>
      <c r="B327" t="s">
        <v>25</v>
      </c>
      <c r="C327" t="s">
        <v>90</v>
      </c>
      <c r="D327" t="s">
        <v>108</v>
      </c>
      <c r="E327" t="s">
        <v>137</v>
      </c>
      <c r="F327">
        <v>0</v>
      </c>
      <c r="G327">
        <f>MAX(I322,I322,I185,I325,I187,I326,I324)</f>
        <v>527432</v>
      </c>
      <c r="H327">
        <f>'Operations'!I5</f>
        <v>8453</v>
      </c>
      <c r="I327">
        <f>G327+H327</f>
        <v>535885</v>
      </c>
      <c r="J327">
        <f>IF(AND(D327&lt;&gt;"dram",D327&lt;&gt;"control"),H327,0)</f>
        <v>8453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149</v>
      </c>
      <c r="C328" t="s">
        <v>88</v>
      </c>
      <c r="D328" t="s">
        <v>89</v>
      </c>
      <c r="E328" t="s">
        <v>137</v>
      </c>
      <c r="F328">
        <v>0</v>
      </c>
      <c r="G328">
        <f>MAX(I323,I322)</f>
        <v>518979</v>
      </c>
      <c r="H328">
        <f>0</f>
        <v>8453</v>
      </c>
      <c r="I328">
        <f>G328+H328</f>
        <v>527432</v>
      </c>
      <c r="J328">
        <f>IF(AND(D328&lt;&gt;"dram",D328&lt;&gt;"control"),H328,0)</f>
        <v>0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150</v>
      </c>
      <c r="C329" t="s">
        <v>92</v>
      </c>
      <c r="D329" t="s">
        <v>83</v>
      </c>
      <c r="E329" t="s">
        <v>137</v>
      </c>
      <c r="F329">
        <v>1024</v>
      </c>
      <c r="G329">
        <f>MAX(I328,I326)</f>
        <v>527432</v>
      </c>
      <c r="H329">
        <f>CEILING((dram_access_latency+F329/dram_bandwidth)*frequency,1)</f>
        <v>116</v>
      </c>
      <c r="I329">
        <f>G329+H329</f>
        <v>527548</v>
      </c>
      <c r="J329">
        <f>IF(AND(D329&lt;&gt;"dram",D329&lt;&gt;"control"),H329,0)</f>
        <v>0</v>
      </c>
      <c r="K329">
        <f>IF(D329="dram",H329,0)</f>
        <v>116</v>
      </c>
      <c r="L329">
        <v>0</v>
      </c>
      <c r="M329">
        <v>1024</v>
      </c>
    </row>
    <row r="330" spans="1:13">
      <c r="A330">
        <v>328</v>
      </c>
      <c r="B330" t="s">
        <v>146</v>
      </c>
      <c r="C330" t="s">
        <v>82</v>
      </c>
      <c r="D330" t="s">
        <v>83</v>
      </c>
      <c r="E330" t="s">
        <v>138</v>
      </c>
      <c r="F330">
        <v>262144</v>
      </c>
      <c r="G330">
        <f>MAX(I328,I329)</f>
        <v>527548</v>
      </c>
      <c r="H330">
        <f>CEILING((dram_access_latency+F330/dram_bandwidth)*frequency,1)</f>
        <v>4196</v>
      </c>
      <c r="I330">
        <f>G330+H330</f>
        <v>531744</v>
      </c>
      <c r="J330">
        <f>IF(AND(D330&lt;&gt;"dram",D330&lt;&gt;"control"),H330,0)</f>
        <v>0</v>
      </c>
      <c r="K330">
        <f>IF(D330="dram",H330,0)</f>
        <v>4196</v>
      </c>
      <c r="L330">
        <v>262144</v>
      </c>
      <c r="M330">
        <v>0</v>
      </c>
    </row>
    <row r="331" spans="1:13">
      <c r="A331">
        <v>329</v>
      </c>
      <c r="B331" t="s">
        <v>148</v>
      </c>
      <c r="C331" t="s">
        <v>82</v>
      </c>
      <c r="D331" t="s">
        <v>83</v>
      </c>
      <c r="E331" t="s">
        <v>138</v>
      </c>
      <c r="F331">
        <v>8192</v>
      </c>
      <c r="G331">
        <f>MAX(I328,I330)</f>
        <v>531744</v>
      </c>
      <c r="H331">
        <f>CEILING((dram_access_latency+F331/dram_bandwidth)*frequency,1)</f>
        <v>228</v>
      </c>
      <c r="I331">
        <f>G331+H331</f>
        <v>531972</v>
      </c>
      <c r="J331">
        <f>IF(AND(D331&lt;&gt;"dram",D331&lt;&gt;"control"),H331,0)</f>
        <v>0</v>
      </c>
      <c r="K331">
        <f>IF(D331="dram",H331,0)</f>
        <v>228</v>
      </c>
      <c r="L331">
        <v>8192</v>
      </c>
      <c r="M331">
        <v>0</v>
      </c>
    </row>
    <row r="332" spans="1:13">
      <c r="A332">
        <v>330</v>
      </c>
      <c r="B332" t="s">
        <v>25</v>
      </c>
      <c r="C332" t="s">
        <v>90</v>
      </c>
      <c r="D332" t="s">
        <v>108</v>
      </c>
      <c r="E332" t="s">
        <v>138</v>
      </c>
      <c r="F332">
        <v>0</v>
      </c>
      <c r="G332">
        <f>MAX(I327,I327,I185,I330,I187,I331,I329)</f>
        <v>535885</v>
      </c>
      <c r="H332">
        <f>'Operations'!I5</f>
        <v>8453</v>
      </c>
      <c r="I332">
        <f>G332+H332</f>
        <v>544338</v>
      </c>
      <c r="J332">
        <f>IF(AND(D332&lt;&gt;"dram",D332&lt;&gt;"control"),H332,0)</f>
        <v>8453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149</v>
      </c>
      <c r="C333" t="s">
        <v>88</v>
      </c>
      <c r="D333" t="s">
        <v>89</v>
      </c>
      <c r="E333" t="s">
        <v>138</v>
      </c>
      <c r="F333">
        <v>0</v>
      </c>
      <c r="G333">
        <f>MAX(I328,I327)</f>
        <v>527432</v>
      </c>
      <c r="H333">
        <f>0</f>
        <v>8453</v>
      </c>
      <c r="I333">
        <f>G333+H333</f>
        <v>535885</v>
      </c>
      <c r="J333">
        <f>IF(AND(D333&lt;&gt;"dram",D333&lt;&gt;"control"),H333,0)</f>
        <v>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150</v>
      </c>
      <c r="C334" t="s">
        <v>92</v>
      </c>
      <c r="D334" t="s">
        <v>83</v>
      </c>
      <c r="E334" t="s">
        <v>138</v>
      </c>
      <c r="F334">
        <v>1024</v>
      </c>
      <c r="G334">
        <f>MAX(I333,I331)</f>
        <v>535885</v>
      </c>
      <c r="H334">
        <f>CEILING((dram_access_latency+F334/dram_bandwidth)*frequency,1)</f>
        <v>116</v>
      </c>
      <c r="I334">
        <f>G334+H334</f>
        <v>536001</v>
      </c>
      <c r="J334">
        <f>IF(AND(D334&lt;&gt;"dram",D334&lt;&gt;"control"),H334,0)</f>
        <v>0</v>
      </c>
      <c r="K334">
        <f>IF(D334="dram",H334,0)</f>
        <v>116</v>
      </c>
      <c r="L334">
        <v>0</v>
      </c>
      <c r="M334">
        <v>1024</v>
      </c>
    </row>
    <row r="335" spans="1:13">
      <c r="A335">
        <v>333</v>
      </c>
      <c r="B335" t="s">
        <v>146</v>
      </c>
      <c r="C335" t="s">
        <v>82</v>
      </c>
      <c r="D335" t="s">
        <v>83</v>
      </c>
      <c r="E335" t="s">
        <v>139</v>
      </c>
      <c r="F335">
        <v>262144</v>
      </c>
      <c r="G335">
        <f>MAX(I333,I334)</f>
        <v>536001</v>
      </c>
      <c r="H335">
        <f>CEILING((dram_access_latency+F335/dram_bandwidth)*frequency,1)</f>
        <v>4196</v>
      </c>
      <c r="I335">
        <f>G335+H335</f>
        <v>540197</v>
      </c>
      <c r="J335">
        <f>IF(AND(D335&lt;&gt;"dram",D335&lt;&gt;"control"),H335,0)</f>
        <v>0</v>
      </c>
      <c r="K335">
        <f>IF(D335="dram",H335,0)</f>
        <v>4196</v>
      </c>
      <c r="L335">
        <v>262144</v>
      </c>
      <c r="M335">
        <v>0</v>
      </c>
    </row>
    <row r="336" spans="1:13">
      <c r="A336">
        <v>334</v>
      </c>
      <c r="B336" t="s">
        <v>148</v>
      </c>
      <c r="C336" t="s">
        <v>82</v>
      </c>
      <c r="D336" t="s">
        <v>83</v>
      </c>
      <c r="E336" t="s">
        <v>139</v>
      </c>
      <c r="F336">
        <v>8192</v>
      </c>
      <c r="G336">
        <f>MAX(I333,I335)</f>
        <v>540197</v>
      </c>
      <c r="H336">
        <f>CEILING((dram_access_latency+F336/dram_bandwidth)*frequency,1)</f>
        <v>228</v>
      </c>
      <c r="I336">
        <f>G336+H336</f>
        <v>540425</v>
      </c>
      <c r="J336">
        <f>IF(AND(D336&lt;&gt;"dram",D336&lt;&gt;"control"),H336,0)</f>
        <v>0</v>
      </c>
      <c r="K336">
        <f>IF(D336="dram",H336,0)</f>
        <v>228</v>
      </c>
      <c r="L336">
        <v>8192</v>
      </c>
      <c r="M336">
        <v>0</v>
      </c>
    </row>
    <row r="337" spans="1:13">
      <c r="A337">
        <v>335</v>
      </c>
      <c r="B337" t="s">
        <v>25</v>
      </c>
      <c r="C337" t="s">
        <v>90</v>
      </c>
      <c r="D337" t="s">
        <v>108</v>
      </c>
      <c r="E337" t="s">
        <v>139</v>
      </c>
      <c r="F337">
        <v>0</v>
      </c>
      <c r="G337">
        <f>MAX(I332,I332,I185,I335,I187,I336,I334)</f>
        <v>544338</v>
      </c>
      <c r="H337">
        <f>'Operations'!I5</f>
        <v>8453</v>
      </c>
      <c r="I337">
        <f>G337+H337</f>
        <v>552791</v>
      </c>
      <c r="J337">
        <f>IF(AND(D337&lt;&gt;"dram",D337&lt;&gt;"control"),H337,0)</f>
        <v>8453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149</v>
      </c>
      <c r="C338" t="s">
        <v>88</v>
      </c>
      <c r="D338" t="s">
        <v>89</v>
      </c>
      <c r="E338" t="s">
        <v>139</v>
      </c>
      <c r="F338">
        <v>0</v>
      </c>
      <c r="G338">
        <f>MAX(I333,I332)</f>
        <v>535885</v>
      </c>
      <c r="H338">
        <f>0</f>
        <v>8453</v>
      </c>
      <c r="I338">
        <f>G338+H338</f>
        <v>544338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150</v>
      </c>
      <c r="C339" t="s">
        <v>92</v>
      </c>
      <c r="D339" t="s">
        <v>83</v>
      </c>
      <c r="E339" t="s">
        <v>139</v>
      </c>
      <c r="F339">
        <v>1024</v>
      </c>
      <c r="G339">
        <f>MAX(I338,I336)</f>
        <v>544338</v>
      </c>
      <c r="H339">
        <f>CEILING((dram_access_latency+F339/dram_bandwidth)*frequency,1)</f>
        <v>116</v>
      </c>
      <c r="I339">
        <f>G339+H339</f>
        <v>544454</v>
      </c>
      <c r="J339">
        <f>IF(AND(D339&lt;&gt;"dram",D339&lt;&gt;"control"),H339,0)</f>
        <v>0</v>
      </c>
      <c r="K339">
        <f>IF(D339="dram",H339,0)</f>
        <v>116</v>
      </c>
      <c r="L339">
        <v>0</v>
      </c>
      <c r="M339">
        <v>1024</v>
      </c>
    </row>
    <row r="340" spans="1:13">
      <c r="A340">
        <v>338</v>
      </c>
      <c r="B340" t="s">
        <v>146</v>
      </c>
      <c r="C340" t="s">
        <v>82</v>
      </c>
      <c r="D340" t="s">
        <v>83</v>
      </c>
      <c r="E340" t="s">
        <v>140</v>
      </c>
      <c r="F340">
        <v>262144</v>
      </c>
      <c r="G340">
        <f>MAX(I338,I339)</f>
        <v>544454</v>
      </c>
      <c r="H340">
        <f>CEILING((dram_access_latency+F340/dram_bandwidth)*frequency,1)</f>
        <v>4196</v>
      </c>
      <c r="I340">
        <f>G340+H340</f>
        <v>548650</v>
      </c>
      <c r="J340">
        <f>IF(AND(D340&lt;&gt;"dram",D340&lt;&gt;"control"),H340,0)</f>
        <v>0</v>
      </c>
      <c r="K340">
        <f>IF(D340="dram",H340,0)</f>
        <v>4196</v>
      </c>
      <c r="L340">
        <v>262144</v>
      </c>
      <c r="M340">
        <v>0</v>
      </c>
    </row>
    <row r="341" spans="1:13">
      <c r="A341">
        <v>339</v>
      </c>
      <c r="B341" t="s">
        <v>148</v>
      </c>
      <c r="C341" t="s">
        <v>82</v>
      </c>
      <c r="D341" t="s">
        <v>83</v>
      </c>
      <c r="E341" t="s">
        <v>140</v>
      </c>
      <c r="F341">
        <v>8192</v>
      </c>
      <c r="G341">
        <f>MAX(I338,I340)</f>
        <v>548650</v>
      </c>
      <c r="H341">
        <f>CEILING((dram_access_latency+F341/dram_bandwidth)*frequency,1)</f>
        <v>228</v>
      </c>
      <c r="I341">
        <f>G341+H341</f>
        <v>548878</v>
      </c>
      <c r="J341">
        <f>IF(AND(D341&lt;&gt;"dram",D341&lt;&gt;"control"),H341,0)</f>
        <v>0</v>
      </c>
      <c r="K341">
        <f>IF(D341="dram",H341,0)</f>
        <v>228</v>
      </c>
      <c r="L341">
        <v>8192</v>
      </c>
      <c r="M341">
        <v>0</v>
      </c>
    </row>
    <row r="342" spans="1:13">
      <c r="A342">
        <v>340</v>
      </c>
      <c r="B342" t="s">
        <v>25</v>
      </c>
      <c r="C342" t="s">
        <v>90</v>
      </c>
      <c r="D342" t="s">
        <v>108</v>
      </c>
      <c r="E342" t="s">
        <v>140</v>
      </c>
      <c r="F342">
        <v>0</v>
      </c>
      <c r="G342">
        <f>MAX(I337,I337,I185,I340,I187,I341,I339)</f>
        <v>552791</v>
      </c>
      <c r="H342">
        <f>'Operations'!I5</f>
        <v>8453</v>
      </c>
      <c r="I342">
        <f>G342+H342</f>
        <v>561244</v>
      </c>
      <c r="J342">
        <f>IF(AND(D342&lt;&gt;"dram",D342&lt;&gt;"control"),H342,0)</f>
        <v>8453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149</v>
      </c>
      <c r="C343" t="s">
        <v>88</v>
      </c>
      <c r="D343" t="s">
        <v>89</v>
      </c>
      <c r="E343" t="s">
        <v>140</v>
      </c>
      <c r="F343">
        <v>0</v>
      </c>
      <c r="G343">
        <f>MAX(I338,I337)</f>
        <v>544338</v>
      </c>
      <c r="H343">
        <f>0</f>
        <v>8453</v>
      </c>
      <c r="I343">
        <f>G343+H343</f>
        <v>552791</v>
      </c>
      <c r="J343">
        <f>IF(AND(D343&lt;&gt;"dram",D343&lt;&gt;"control"),H343,0)</f>
        <v>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150</v>
      </c>
      <c r="C344" t="s">
        <v>92</v>
      </c>
      <c r="D344" t="s">
        <v>83</v>
      </c>
      <c r="E344" t="s">
        <v>140</v>
      </c>
      <c r="F344">
        <v>1024</v>
      </c>
      <c r="G344">
        <f>MAX(I343,I341)</f>
        <v>552791</v>
      </c>
      <c r="H344">
        <f>CEILING((dram_access_latency+F344/dram_bandwidth)*frequency,1)</f>
        <v>116</v>
      </c>
      <c r="I344">
        <f>G344+H344</f>
        <v>552907</v>
      </c>
      <c r="J344">
        <f>IF(AND(D344&lt;&gt;"dram",D344&lt;&gt;"control"),H344,0)</f>
        <v>0</v>
      </c>
      <c r="K344">
        <f>IF(D344="dram",H344,0)</f>
        <v>116</v>
      </c>
      <c r="L344">
        <v>0</v>
      </c>
      <c r="M344">
        <v>1024</v>
      </c>
    </row>
    <row r="345" spans="1:13">
      <c r="A345">
        <v>343</v>
      </c>
      <c r="B345" t="s">
        <v>151</v>
      </c>
      <c r="C345" t="s">
        <v>88</v>
      </c>
      <c r="D345" t="s">
        <v>89</v>
      </c>
      <c r="E345" t="s">
        <v>84</v>
      </c>
      <c r="F345">
        <v>0</v>
      </c>
      <c r="G345">
        <f>MAX(I343,I342)</f>
        <v>552791</v>
      </c>
      <c r="H345">
        <f>0</f>
        <v>8453</v>
      </c>
      <c r="I345">
        <f>G345+H345</f>
        <v>561244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152</v>
      </c>
      <c r="C346" t="s">
        <v>92</v>
      </c>
      <c r="D346" t="s">
        <v>83</v>
      </c>
      <c r="E346" t="s">
        <v>84</v>
      </c>
      <c r="F346">
        <v>1024</v>
      </c>
      <c r="G346">
        <f>MAX(I345,I344)</f>
        <v>561244</v>
      </c>
      <c r="H346">
        <f>CEILING((dram_access_latency+F346/dram_bandwidth)*frequency,1)</f>
        <v>116</v>
      </c>
      <c r="I346">
        <f>G346+H346</f>
        <v>561360</v>
      </c>
      <c r="J346">
        <f>IF(AND(D346&lt;&gt;"dram",D346&lt;&gt;"control"),H346,0)</f>
        <v>0</v>
      </c>
      <c r="K346">
        <f>IF(D346="dram",H346,0)</f>
        <v>116</v>
      </c>
      <c r="L346">
        <v>0</v>
      </c>
      <c r="M346">
        <v>1024</v>
      </c>
    </row>
    <row r="347" spans="1:13">
      <c r="A347">
        <v>345</v>
      </c>
      <c r="B347" t="s">
        <v>153</v>
      </c>
      <c r="C347" t="s">
        <v>88</v>
      </c>
      <c r="D347" t="s">
        <v>89</v>
      </c>
      <c r="E347" t="s">
        <v>84</v>
      </c>
      <c r="F347">
        <v>0</v>
      </c>
      <c r="G347">
        <f>MAX(I345,I344)</f>
        <v>561244</v>
      </c>
      <c r="H347">
        <f>0</f>
        <v>0</v>
      </c>
      <c r="I347">
        <f>G347+H347</f>
        <v>561244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154</v>
      </c>
      <c r="C348" t="s">
        <v>88</v>
      </c>
      <c r="D348" t="s">
        <v>89</v>
      </c>
      <c r="E348" t="s">
        <v>84</v>
      </c>
      <c r="F348">
        <v>0</v>
      </c>
      <c r="G348">
        <f>MAX(I347,I346)</f>
        <v>561244</v>
      </c>
      <c r="H348">
        <f>0</f>
        <v>116</v>
      </c>
      <c r="I348">
        <f>G348+H348</f>
        <v>561360</v>
      </c>
      <c r="J348">
        <f>IF(AND(D348&lt;&gt;"dram",D348&lt;&gt;"control"),H348,0)</f>
        <v>0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155</v>
      </c>
      <c r="C349" t="s">
        <v>82</v>
      </c>
      <c r="D349" t="s">
        <v>83</v>
      </c>
      <c r="E349" t="s">
        <v>86</v>
      </c>
      <c r="F349">
        <v>8192</v>
      </c>
      <c r="G349">
        <f>MAX(I348,I346)</f>
        <v>561360</v>
      </c>
      <c r="H349">
        <f>CEILING((dram_access_latency+F349/dram_bandwidth)*frequency,1)</f>
        <v>228</v>
      </c>
      <c r="I349">
        <f>G349+H349</f>
        <v>561588</v>
      </c>
      <c r="J349">
        <f>IF(AND(D349&lt;&gt;"dram",D349&lt;&gt;"control"),H349,0)</f>
        <v>0</v>
      </c>
      <c r="K349">
        <f>IF(D349="dram",H349,0)</f>
        <v>228</v>
      </c>
      <c r="L349">
        <v>8192</v>
      </c>
      <c r="M349">
        <v>0</v>
      </c>
    </row>
    <row r="350" spans="1:13">
      <c r="A350">
        <v>348</v>
      </c>
      <c r="B350" t="s">
        <v>156</v>
      </c>
      <c r="C350" t="s">
        <v>82</v>
      </c>
      <c r="D350" t="s">
        <v>83</v>
      </c>
      <c r="E350" t="s">
        <v>86</v>
      </c>
      <c r="F350">
        <v>262144</v>
      </c>
      <c r="G350">
        <f>MAX(I348,I349)</f>
        <v>561588</v>
      </c>
      <c r="H350">
        <f>CEILING((dram_access_latency+F350/dram_bandwidth)*frequency,1)</f>
        <v>4196</v>
      </c>
      <c r="I350">
        <f>G350+H350</f>
        <v>565784</v>
      </c>
      <c r="J350">
        <f>IF(AND(D350&lt;&gt;"dram",D350&lt;&gt;"control"),H350,0)</f>
        <v>0</v>
      </c>
      <c r="K350">
        <f>IF(D350="dram",H350,0)</f>
        <v>4196</v>
      </c>
      <c r="L350">
        <v>262144</v>
      </c>
      <c r="M350">
        <v>0</v>
      </c>
    </row>
    <row r="351" spans="1:13">
      <c r="A351">
        <v>349</v>
      </c>
      <c r="B351" t="s">
        <v>157</v>
      </c>
      <c r="C351" t="s">
        <v>82</v>
      </c>
      <c r="D351" t="s">
        <v>83</v>
      </c>
      <c r="E351" t="s">
        <v>86</v>
      </c>
      <c r="F351">
        <v>256</v>
      </c>
      <c r="G351">
        <f>MAX(I348,I350)</f>
        <v>565784</v>
      </c>
      <c r="H351">
        <f>CEILING((dram_access_latency+F351/dram_bandwidth)*frequency,1)</f>
        <v>104</v>
      </c>
      <c r="I351">
        <f>G351+H351</f>
        <v>565888</v>
      </c>
      <c r="J351">
        <f>IF(AND(D351&lt;&gt;"dram",D351&lt;&gt;"control"),H351,0)</f>
        <v>0</v>
      </c>
      <c r="K351">
        <f>IF(D351="dram",H351,0)</f>
        <v>104</v>
      </c>
      <c r="L351">
        <v>256</v>
      </c>
      <c r="M351">
        <v>0</v>
      </c>
    </row>
    <row r="352" spans="1:13">
      <c r="A352">
        <v>350</v>
      </c>
      <c r="B352" t="s">
        <v>158</v>
      </c>
      <c r="C352" t="s">
        <v>82</v>
      </c>
      <c r="D352" t="s">
        <v>83</v>
      </c>
      <c r="E352" t="s">
        <v>86</v>
      </c>
      <c r="F352">
        <v>8192</v>
      </c>
      <c r="G352">
        <f>MAX(I348,I351)</f>
        <v>565888</v>
      </c>
      <c r="H352">
        <f>CEILING((dram_access_latency+F352/dram_bandwidth)*frequency,1)</f>
        <v>228</v>
      </c>
      <c r="I352">
        <f>G352+H352</f>
        <v>566116</v>
      </c>
      <c r="J352">
        <f>IF(AND(D352&lt;&gt;"dram",D352&lt;&gt;"control"),H352,0)</f>
        <v>0</v>
      </c>
      <c r="K352">
        <f>IF(D352="dram",H352,0)</f>
        <v>228</v>
      </c>
      <c r="L352">
        <v>8192</v>
      </c>
      <c r="M352">
        <v>0</v>
      </c>
    </row>
    <row r="353" spans="1:13">
      <c r="A353">
        <v>351</v>
      </c>
      <c r="B353" t="s">
        <v>26</v>
      </c>
      <c r="C353" t="s">
        <v>90</v>
      </c>
      <c r="D353" t="s">
        <v>108</v>
      </c>
      <c r="E353" t="s">
        <v>86</v>
      </c>
      <c r="F353">
        <v>0</v>
      </c>
      <c r="G353">
        <f>MAX(I342,I342,I349,I350,I351,I352)</f>
        <v>566116</v>
      </c>
      <c r="H353">
        <f>'Operations'!I6</f>
        <v>8453</v>
      </c>
      <c r="I353">
        <f>G353+H353</f>
        <v>574569</v>
      </c>
      <c r="J353">
        <f>IF(AND(D353&lt;&gt;"dram",D353&lt;&gt;"control"),H353,0)</f>
        <v>8453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156</v>
      </c>
      <c r="C354" t="s">
        <v>82</v>
      </c>
      <c r="D354" t="s">
        <v>83</v>
      </c>
      <c r="E354" t="s">
        <v>93</v>
      </c>
      <c r="F354">
        <v>262144</v>
      </c>
      <c r="G354">
        <f>MAX(I348,I352)</f>
        <v>566116</v>
      </c>
      <c r="H354">
        <f>CEILING((dram_access_latency+F354/dram_bandwidth)*frequency,1)</f>
        <v>4196</v>
      </c>
      <c r="I354">
        <f>G354+H354</f>
        <v>570312</v>
      </c>
      <c r="J354">
        <f>IF(AND(D354&lt;&gt;"dram",D354&lt;&gt;"control"),H354,0)</f>
        <v>0</v>
      </c>
      <c r="K354">
        <f>IF(D354="dram",H354,0)</f>
        <v>4196</v>
      </c>
      <c r="L354">
        <v>262144</v>
      </c>
      <c r="M354">
        <v>0</v>
      </c>
    </row>
    <row r="355" spans="1:13">
      <c r="A355">
        <v>353</v>
      </c>
      <c r="B355" t="s">
        <v>158</v>
      </c>
      <c r="C355" t="s">
        <v>82</v>
      </c>
      <c r="D355" t="s">
        <v>83</v>
      </c>
      <c r="E355" t="s">
        <v>93</v>
      </c>
      <c r="F355">
        <v>8192</v>
      </c>
      <c r="G355">
        <f>MAX(I348,I354)</f>
        <v>570312</v>
      </c>
      <c r="H355">
        <f>CEILING((dram_access_latency+F355/dram_bandwidth)*frequency,1)</f>
        <v>228</v>
      </c>
      <c r="I355">
        <f>G355+H355</f>
        <v>570540</v>
      </c>
      <c r="J355">
        <f>IF(AND(D355&lt;&gt;"dram",D355&lt;&gt;"control"),H355,0)</f>
        <v>0</v>
      </c>
      <c r="K355">
        <f>IF(D355="dram",H355,0)</f>
        <v>228</v>
      </c>
      <c r="L355">
        <v>8192</v>
      </c>
      <c r="M355">
        <v>0</v>
      </c>
    </row>
    <row r="356" spans="1:13">
      <c r="A356">
        <v>354</v>
      </c>
      <c r="B356" t="s">
        <v>26</v>
      </c>
      <c r="C356" t="s">
        <v>90</v>
      </c>
      <c r="D356" t="s">
        <v>108</v>
      </c>
      <c r="E356" t="s">
        <v>93</v>
      </c>
      <c r="F356">
        <v>0</v>
      </c>
      <c r="G356">
        <f>MAX(I353,I353,I349,I354,I351,I355)</f>
        <v>574569</v>
      </c>
      <c r="H356">
        <f>'Operations'!I6</f>
        <v>8453</v>
      </c>
      <c r="I356">
        <f>G356+H356</f>
        <v>583022</v>
      </c>
      <c r="J356">
        <f>IF(AND(D356&lt;&gt;"dram",D356&lt;&gt;"control"),H356,0)</f>
        <v>8453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159</v>
      </c>
      <c r="C357" t="s">
        <v>88</v>
      </c>
      <c r="D357" t="s">
        <v>89</v>
      </c>
      <c r="E357" t="s">
        <v>93</v>
      </c>
      <c r="F357">
        <v>0</v>
      </c>
      <c r="G357">
        <f>MAX(I348,I353)</f>
        <v>561360</v>
      </c>
      <c r="H357">
        <f>0</f>
        <v>13209</v>
      </c>
      <c r="I357">
        <f>G357+H357</f>
        <v>574569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160</v>
      </c>
      <c r="C358" t="s">
        <v>92</v>
      </c>
      <c r="D358" t="s">
        <v>83</v>
      </c>
      <c r="E358" t="s">
        <v>93</v>
      </c>
      <c r="F358">
        <v>1024</v>
      </c>
      <c r="G358">
        <f>MAX(I357,I355)</f>
        <v>574569</v>
      </c>
      <c r="H358">
        <f>CEILING((dram_access_latency+F358/dram_bandwidth)*frequency,1)</f>
        <v>116</v>
      </c>
      <c r="I358">
        <f>G358+H358</f>
        <v>574685</v>
      </c>
      <c r="J358">
        <f>IF(AND(D358&lt;&gt;"dram",D358&lt;&gt;"control"),H358,0)</f>
        <v>0</v>
      </c>
      <c r="K358">
        <f>IF(D358="dram",H358,0)</f>
        <v>116</v>
      </c>
      <c r="L358">
        <v>0</v>
      </c>
      <c r="M358">
        <v>1024</v>
      </c>
    </row>
    <row r="359" spans="1:13">
      <c r="A359">
        <v>357</v>
      </c>
      <c r="B359" t="s">
        <v>156</v>
      </c>
      <c r="C359" t="s">
        <v>82</v>
      </c>
      <c r="D359" t="s">
        <v>83</v>
      </c>
      <c r="E359" t="s">
        <v>111</v>
      </c>
      <c r="F359">
        <v>262144</v>
      </c>
      <c r="G359">
        <f>MAX(I357,I358)</f>
        <v>574685</v>
      </c>
      <c r="H359">
        <f>CEILING((dram_access_latency+F359/dram_bandwidth)*frequency,1)</f>
        <v>4196</v>
      </c>
      <c r="I359">
        <f>G359+H359</f>
        <v>578881</v>
      </c>
      <c r="J359">
        <f>IF(AND(D359&lt;&gt;"dram",D359&lt;&gt;"control"),H359,0)</f>
        <v>0</v>
      </c>
      <c r="K359">
        <f>IF(D359="dram",H359,0)</f>
        <v>4196</v>
      </c>
      <c r="L359">
        <v>262144</v>
      </c>
      <c r="M359">
        <v>0</v>
      </c>
    </row>
    <row r="360" spans="1:13">
      <c r="A360">
        <v>358</v>
      </c>
      <c r="B360" t="s">
        <v>158</v>
      </c>
      <c r="C360" t="s">
        <v>82</v>
      </c>
      <c r="D360" t="s">
        <v>83</v>
      </c>
      <c r="E360" t="s">
        <v>111</v>
      </c>
      <c r="F360">
        <v>8192</v>
      </c>
      <c r="G360">
        <f>MAX(I357,I359)</f>
        <v>578881</v>
      </c>
      <c r="H360">
        <f>CEILING((dram_access_latency+F360/dram_bandwidth)*frequency,1)</f>
        <v>228</v>
      </c>
      <c r="I360">
        <f>G360+H360</f>
        <v>579109</v>
      </c>
      <c r="J360">
        <f>IF(AND(D360&lt;&gt;"dram",D360&lt;&gt;"control"),H360,0)</f>
        <v>0</v>
      </c>
      <c r="K360">
        <f>IF(D360="dram",H360,0)</f>
        <v>228</v>
      </c>
      <c r="L360">
        <v>8192</v>
      </c>
      <c r="M360">
        <v>0</v>
      </c>
    </row>
    <row r="361" spans="1:13">
      <c r="A361">
        <v>359</v>
      </c>
      <c r="B361" t="s">
        <v>26</v>
      </c>
      <c r="C361" t="s">
        <v>90</v>
      </c>
      <c r="D361" t="s">
        <v>108</v>
      </c>
      <c r="E361" t="s">
        <v>111</v>
      </c>
      <c r="F361">
        <v>0</v>
      </c>
      <c r="G361">
        <f>MAX(I356,I356,I349,I359,I351,I360,I358)</f>
        <v>583022</v>
      </c>
      <c r="H361">
        <f>'Operations'!I6</f>
        <v>8453</v>
      </c>
      <c r="I361">
        <f>G361+H361</f>
        <v>591475</v>
      </c>
      <c r="J361">
        <f>IF(AND(D361&lt;&gt;"dram",D361&lt;&gt;"control"),H361,0)</f>
        <v>8453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159</v>
      </c>
      <c r="C362" t="s">
        <v>88</v>
      </c>
      <c r="D362" t="s">
        <v>89</v>
      </c>
      <c r="E362" t="s">
        <v>111</v>
      </c>
      <c r="F362">
        <v>0</v>
      </c>
      <c r="G362">
        <f>MAX(I357,I356)</f>
        <v>574569</v>
      </c>
      <c r="H362">
        <f>0</f>
        <v>8453</v>
      </c>
      <c r="I362">
        <f>G362+H362</f>
        <v>583022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160</v>
      </c>
      <c r="C363" t="s">
        <v>92</v>
      </c>
      <c r="D363" t="s">
        <v>83</v>
      </c>
      <c r="E363" t="s">
        <v>111</v>
      </c>
      <c r="F363">
        <v>1024</v>
      </c>
      <c r="G363">
        <f>MAX(I362,I360)</f>
        <v>583022</v>
      </c>
      <c r="H363">
        <f>CEILING((dram_access_latency+F363/dram_bandwidth)*frequency,1)</f>
        <v>116</v>
      </c>
      <c r="I363">
        <f>G363+H363</f>
        <v>583138</v>
      </c>
      <c r="J363">
        <f>IF(AND(D363&lt;&gt;"dram",D363&lt;&gt;"control"),H363,0)</f>
        <v>0</v>
      </c>
      <c r="K363">
        <f>IF(D363="dram",H363,0)</f>
        <v>116</v>
      </c>
      <c r="L363">
        <v>0</v>
      </c>
      <c r="M363">
        <v>1024</v>
      </c>
    </row>
    <row r="364" spans="1:13">
      <c r="A364">
        <v>362</v>
      </c>
      <c r="B364" t="s">
        <v>156</v>
      </c>
      <c r="C364" t="s">
        <v>82</v>
      </c>
      <c r="D364" t="s">
        <v>83</v>
      </c>
      <c r="E364" t="s">
        <v>112</v>
      </c>
      <c r="F364">
        <v>262144</v>
      </c>
      <c r="G364">
        <f>MAX(I362,I363)</f>
        <v>583138</v>
      </c>
      <c r="H364">
        <f>CEILING((dram_access_latency+F364/dram_bandwidth)*frequency,1)</f>
        <v>4196</v>
      </c>
      <c r="I364">
        <f>G364+H364</f>
        <v>587334</v>
      </c>
      <c r="J364">
        <f>IF(AND(D364&lt;&gt;"dram",D364&lt;&gt;"control"),H364,0)</f>
        <v>0</v>
      </c>
      <c r="K364">
        <f>IF(D364="dram",H364,0)</f>
        <v>4196</v>
      </c>
      <c r="L364">
        <v>262144</v>
      </c>
      <c r="M364">
        <v>0</v>
      </c>
    </row>
    <row r="365" spans="1:13">
      <c r="A365">
        <v>363</v>
      </c>
      <c r="B365" t="s">
        <v>158</v>
      </c>
      <c r="C365" t="s">
        <v>82</v>
      </c>
      <c r="D365" t="s">
        <v>83</v>
      </c>
      <c r="E365" t="s">
        <v>112</v>
      </c>
      <c r="F365">
        <v>8192</v>
      </c>
      <c r="G365">
        <f>MAX(I362,I364)</f>
        <v>587334</v>
      </c>
      <c r="H365">
        <f>CEILING((dram_access_latency+F365/dram_bandwidth)*frequency,1)</f>
        <v>228</v>
      </c>
      <c r="I365">
        <f>G365+H365</f>
        <v>587562</v>
      </c>
      <c r="J365">
        <f>IF(AND(D365&lt;&gt;"dram",D365&lt;&gt;"control"),H365,0)</f>
        <v>0</v>
      </c>
      <c r="K365">
        <f>IF(D365="dram",H365,0)</f>
        <v>228</v>
      </c>
      <c r="L365">
        <v>8192</v>
      </c>
      <c r="M365">
        <v>0</v>
      </c>
    </row>
    <row r="366" spans="1:13">
      <c r="A366">
        <v>364</v>
      </c>
      <c r="B366" t="s">
        <v>26</v>
      </c>
      <c r="C366" t="s">
        <v>90</v>
      </c>
      <c r="D366" t="s">
        <v>108</v>
      </c>
      <c r="E366" t="s">
        <v>112</v>
      </c>
      <c r="F366">
        <v>0</v>
      </c>
      <c r="G366">
        <f>MAX(I361,I361,I349,I364,I351,I365,I363)</f>
        <v>591475</v>
      </c>
      <c r="H366">
        <f>'Operations'!I6</f>
        <v>8453</v>
      </c>
      <c r="I366">
        <f>G366+H366</f>
        <v>599928</v>
      </c>
      <c r="J366">
        <f>IF(AND(D366&lt;&gt;"dram",D366&lt;&gt;"control"),H366,0)</f>
        <v>8453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159</v>
      </c>
      <c r="C367" t="s">
        <v>88</v>
      </c>
      <c r="D367" t="s">
        <v>89</v>
      </c>
      <c r="E367" t="s">
        <v>112</v>
      </c>
      <c r="F367">
        <v>0</v>
      </c>
      <c r="G367">
        <f>MAX(I362,I361)</f>
        <v>583022</v>
      </c>
      <c r="H367">
        <f>0</f>
        <v>8453</v>
      </c>
      <c r="I367">
        <f>G367+H367</f>
        <v>591475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160</v>
      </c>
      <c r="C368" t="s">
        <v>92</v>
      </c>
      <c r="D368" t="s">
        <v>83</v>
      </c>
      <c r="E368" t="s">
        <v>112</v>
      </c>
      <c r="F368">
        <v>1024</v>
      </c>
      <c r="G368">
        <f>MAX(I367,I365)</f>
        <v>591475</v>
      </c>
      <c r="H368">
        <f>CEILING((dram_access_latency+F368/dram_bandwidth)*frequency,1)</f>
        <v>116</v>
      </c>
      <c r="I368">
        <f>G368+H368</f>
        <v>591591</v>
      </c>
      <c r="J368">
        <f>IF(AND(D368&lt;&gt;"dram",D368&lt;&gt;"control"),H368,0)</f>
        <v>0</v>
      </c>
      <c r="K368">
        <f>IF(D368="dram",H368,0)</f>
        <v>116</v>
      </c>
      <c r="L368">
        <v>0</v>
      </c>
      <c r="M368">
        <v>1024</v>
      </c>
    </row>
    <row r="369" spans="1:13">
      <c r="A369">
        <v>367</v>
      </c>
      <c r="B369" t="s">
        <v>156</v>
      </c>
      <c r="C369" t="s">
        <v>82</v>
      </c>
      <c r="D369" t="s">
        <v>83</v>
      </c>
      <c r="E369" t="s">
        <v>113</v>
      </c>
      <c r="F369">
        <v>262144</v>
      </c>
      <c r="G369">
        <f>MAX(I367,I368)</f>
        <v>591591</v>
      </c>
      <c r="H369">
        <f>CEILING((dram_access_latency+F369/dram_bandwidth)*frequency,1)</f>
        <v>4196</v>
      </c>
      <c r="I369">
        <f>G369+H369</f>
        <v>595787</v>
      </c>
      <c r="J369">
        <f>IF(AND(D369&lt;&gt;"dram",D369&lt;&gt;"control"),H369,0)</f>
        <v>0</v>
      </c>
      <c r="K369">
        <f>IF(D369="dram",H369,0)</f>
        <v>4196</v>
      </c>
      <c r="L369">
        <v>262144</v>
      </c>
      <c r="M369">
        <v>0</v>
      </c>
    </row>
    <row r="370" spans="1:13">
      <c r="A370">
        <v>368</v>
      </c>
      <c r="B370" t="s">
        <v>158</v>
      </c>
      <c r="C370" t="s">
        <v>82</v>
      </c>
      <c r="D370" t="s">
        <v>83</v>
      </c>
      <c r="E370" t="s">
        <v>113</v>
      </c>
      <c r="F370">
        <v>8192</v>
      </c>
      <c r="G370">
        <f>MAX(I367,I369)</f>
        <v>595787</v>
      </c>
      <c r="H370">
        <f>CEILING((dram_access_latency+F370/dram_bandwidth)*frequency,1)</f>
        <v>228</v>
      </c>
      <c r="I370">
        <f>G370+H370</f>
        <v>596015</v>
      </c>
      <c r="J370">
        <f>IF(AND(D370&lt;&gt;"dram",D370&lt;&gt;"control"),H370,0)</f>
        <v>0</v>
      </c>
      <c r="K370">
        <f>IF(D370="dram",H370,0)</f>
        <v>228</v>
      </c>
      <c r="L370">
        <v>8192</v>
      </c>
      <c r="M370">
        <v>0</v>
      </c>
    </row>
    <row r="371" spans="1:13">
      <c r="A371">
        <v>369</v>
      </c>
      <c r="B371" t="s">
        <v>26</v>
      </c>
      <c r="C371" t="s">
        <v>90</v>
      </c>
      <c r="D371" t="s">
        <v>108</v>
      </c>
      <c r="E371" t="s">
        <v>113</v>
      </c>
      <c r="F371">
        <v>0</v>
      </c>
      <c r="G371">
        <f>MAX(I366,I366,I349,I369,I351,I370,I368)</f>
        <v>599928</v>
      </c>
      <c r="H371">
        <f>'Operations'!I6</f>
        <v>8453</v>
      </c>
      <c r="I371">
        <f>G371+H371</f>
        <v>608381</v>
      </c>
      <c r="J371">
        <f>IF(AND(D371&lt;&gt;"dram",D371&lt;&gt;"control"),H371,0)</f>
        <v>8453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159</v>
      </c>
      <c r="C372" t="s">
        <v>88</v>
      </c>
      <c r="D372" t="s">
        <v>89</v>
      </c>
      <c r="E372" t="s">
        <v>113</v>
      </c>
      <c r="F372">
        <v>0</v>
      </c>
      <c r="G372">
        <f>MAX(I367,I366)</f>
        <v>591475</v>
      </c>
      <c r="H372">
        <f>0</f>
        <v>8453</v>
      </c>
      <c r="I372">
        <f>G372+H372</f>
        <v>599928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160</v>
      </c>
      <c r="C373" t="s">
        <v>92</v>
      </c>
      <c r="D373" t="s">
        <v>83</v>
      </c>
      <c r="E373" t="s">
        <v>113</v>
      </c>
      <c r="F373">
        <v>1024</v>
      </c>
      <c r="G373">
        <f>MAX(I372,I370)</f>
        <v>599928</v>
      </c>
      <c r="H373">
        <f>CEILING((dram_access_latency+F373/dram_bandwidth)*frequency,1)</f>
        <v>116</v>
      </c>
      <c r="I373">
        <f>G373+H373</f>
        <v>600044</v>
      </c>
      <c r="J373">
        <f>IF(AND(D373&lt;&gt;"dram",D373&lt;&gt;"control"),H373,0)</f>
        <v>0</v>
      </c>
      <c r="K373">
        <f>IF(D373="dram",H373,0)</f>
        <v>116</v>
      </c>
      <c r="L373">
        <v>0</v>
      </c>
      <c r="M373">
        <v>1024</v>
      </c>
    </row>
    <row r="374" spans="1:13">
      <c r="A374">
        <v>372</v>
      </c>
      <c r="B374" t="s">
        <v>156</v>
      </c>
      <c r="C374" t="s">
        <v>82</v>
      </c>
      <c r="D374" t="s">
        <v>83</v>
      </c>
      <c r="E374" t="s">
        <v>114</v>
      </c>
      <c r="F374">
        <v>262144</v>
      </c>
      <c r="G374">
        <f>MAX(I372,I373)</f>
        <v>600044</v>
      </c>
      <c r="H374">
        <f>CEILING((dram_access_latency+F374/dram_bandwidth)*frequency,1)</f>
        <v>4196</v>
      </c>
      <c r="I374">
        <f>G374+H374</f>
        <v>604240</v>
      </c>
      <c r="J374">
        <f>IF(AND(D374&lt;&gt;"dram",D374&lt;&gt;"control"),H374,0)</f>
        <v>0</v>
      </c>
      <c r="K374">
        <f>IF(D374="dram",H374,0)</f>
        <v>4196</v>
      </c>
      <c r="L374">
        <v>262144</v>
      </c>
      <c r="M374">
        <v>0</v>
      </c>
    </row>
    <row r="375" spans="1:13">
      <c r="A375">
        <v>373</v>
      </c>
      <c r="B375" t="s">
        <v>158</v>
      </c>
      <c r="C375" t="s">
        <v>82</v>
      </c>
      <c r="D375" t="s">
        <v>83</v>
      </c>
      <c r="E375" t="s">
        <v>114</v>
      </c>
      <c r="F375">
        <v>8192</v>
      </c>
      <c r="G375">
        <f>MAX(I372,I374)</f>
        <v>604240</v>
      </c>
      <c r="H375">
        <f>CEILING((dram_access_latency+F375/dram_bandwidth)*frequency,1)</f>
        <v>228</v>
      </c>
      <c r="I375">
        <f>G375+H375</f>
        <v>604468</v>
      </c>
      <c r="J375">
        <f>IF(AND(D375&lt;&gt;"dram",D375&lt;&gt;"control"),H375,0)</f>
        <v>0</v>
      </c>
      <c r="K375">
        <f>IF(D375="dram",H375,0)</f>
        <v>228</v>
      </c>
      <c r="L375">
        <v>8192</v>
      </c>
      <c r="M375">
        <v>0</v>
      </c>
    </row>
    <row r="376" spans="1:13">
      <c r="A376">
        <v>374</v>
      </c>
      <c r="B376" t="s">
        <v>26</v>
      </c>
      <c r="C376" t="s">
        <v>90</v>
      </c>
      <c r="D376" t="s">
        <v>108</v>
      </c>
      <c r="E376" t="s">
        <v>114</v>
      </c>
      <c r="F376">
        <v>0</v>
      </c>
      <c r="G376">
        <f>MAX(I371,I371,I349,I374,I351,I375,I373)</f>
        <v>608381</v>
      </c>
      <c r="H376">
        <f>'Operations'!I6</f>
        <v>8453</v>
      </c>
      <c r="I376">
        <f>G376+H376</f>
        <v>616834</v>
      </c>
      <c r="J376">
        <f>IF(AND(D376&lt;&gt;"dram",D376&lt;&gt;"control"),H376,0)</f>
        <v>8453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159</v>
      </c>
      <c r="C377" t="s">
        <v>88</v>
      </c>
      <c r="D377" t="s">
        <v>89</v>
      </c>
      <c r="E377" t="s">
        <v>114</v>
      </c>
      <c r="F377">
        <v>0</v>
      </c>
      <c r="G377">
        <f>MAX(I372,I371)</f>
        <v>599928</v>
      </c>
      <c r="H377">
        <f>0</f>
        <v>8453</v>
      </c>
      <c r="I377">
        <f>G377+H377</f>
        <v>608381</v>
      </c>
      <c r="J377">
        <f>IF(AND(D377&lt;&gt;"dram",D377&lt;&gt;"control"),H377,0)</f>
        <v>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160</v>
      </c>
      <c r="C378" t="s">
        <v>92</v>
      </c>
      <c r="D378" t="s">
        <v>83</v>
      </c>
      <c r="E378" t="s">
        <v>114</v>
      </c>
      <c r="F378">
        <v>1024</v>
      </c>
      <c r="G378">
        <f>MAX(I377,I375)</f>
        <v>608381</v>
      </c>
      <c r="H378">
        <f>CEILING((dram_access_latency+F378/dram_bandwidth)*frequency,1)</f>
        <v>116</v>
      </c>
      <c r="I378">
        <f>G378+H378</f>
        <v>608497</v>
      </c>
      <c r="J378">
        <f>IF(AND(D378&lt;&gt;"dram",D378&lt;&gt;"control"),H378,0)</f>
        <v>0</v>
      </c>
      <c r="K378">
        <f>IF(D378="dram",H378,0)</f>
        <v>116</v>
      </c>
      <c r="L378">
        <v>0</v>
      </c>
      <c r="M378">
        <v>1024</v>
      </c>
    </row>
    <row r="379" spans="1:13">
      <c r="A379">
        <v>377</v>
      </c>
      <c r="B379" t="s">
        <v>156</v>
      </c>
      <c r="C379" t="s">
        <v>82</v>
      </c>
      <c r="D379" t="s">
        <v>83</v>
      </c>
      <c r="E379" t="s">
        <v>115</v>
      </c>
      <c r="F379">
        <v>262144</v>
      </c>
      <c r="G379">
        <f>MAX(I377,I378)</f>
        <v>608497</v>
      </c>
      <c r="H379">
        <f>CEILING((dram_access_latency+F379/dram_bandwidth)*frequency,1)</f>
        <v>4196</v>
      </c>
      <c r="I379">
        <f>G379+H379</f>
        <v>612693</v>
      </c>
      <c r="J379">
        <f>IF(AND(D379&lt;&gt;"dram",D379&lt;&gt;"control"),H379,0)</f>
        <v>0</v>
      </c>
      <c r="K379">
        <f>IF(D379="dram",H379,0)</f>
        <v>4196</v>
      </c>
      <c r="L379">
        <v>262144</v>
      </c>
      <c r="M379">
        <v>0</v>
      </c>
    </row>
    <row r="380" spans="1:13">
      <c r="A380">
        <v>378</v>
      </c>
      <c r="B380" t="s">
        <v>158</v>
      </c>
      <c r="C380" t="s">
        <v>82</v>
      </c>
      <c r="D380" t="s">
        <v>83</v>
      </c>
      <c r="E380" t="s">
        <v>115</v>
      </c>
      <c r="F380">
        <v>8192</v>
      </c>
      <c r="G380">
        <f>MAX(I377,I379)</f>
        <v>612693</v>
      </c>
      <c r="H380">
        <f>CEILING((dram_access_latency+F380/dram_bandwidth)*frequency,1)</f>
        <v>228</v>
      </c>
      <c r="I380">
        <f>G380+H380</f>
        <v>612921</v>
      </c>
      <c r="J380">
        <f>IF(AND(D380&lt;&gt;"dram",D380&lt;&gt;"control"),H380,0)</f>
        <v>0</v>
      </c>
      <c r="K380">
        <f>IF(D380="dram",H380,0)</f>
        <v>228</v>
      </c>
      <c r="L380">
        <v>8192</v>
      </c>
      <c r="M380">
        <v>0</v>
      </c>
    </row>
    <row r="381" spans="1:13">
      <c r="A381">
        <v>379</v>
      </c>
      <c r="B381" t="s">
        <v>26</v>
      </c>
      <c r="C381" t="s">
        <v>90</v>
      </c>
      <c r="D381" t="s">
        <v>108</v>
      </c>
      <c r="E381" t="s">
        <v>115</v>
      </c>
      <c r="F381">
        <v>0</v>
      </c>
      <c r="G381">
        <f>MAX(I376,I376,I349,I379,I351,I380,I378)</f>
        <v>616834</v>
      </c>
      <c r="H381">
        <f>'Operations'!I6</f>
        <v>8453</v>
      </c>
      <c r="I381">
        <f>G381+H381</f>
        <v>625287</v>
      </c>
      <c r="J381">
        <f>IF(AND(D381&lt;&gt;"dram",D381&lt;&gt;"control"),H381,0)</f>
        <v>8453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159</v>
      </c>
      <c r="C382" t="s">
        <v>88</v>
      </c>
      <c r="D382" t="s">
        <v>89</v>
      </c>
      <c r="E382" t="s">
        <v>115</v>
      </c>
      <c r="F382">
        <v>0</v>
      </c>
      <c r="G382">
        <f>MAX(I377,I376)</f>
        <v>608381</v>
      </c>
      <c r="H382">
        <f>0</f>
        <v>8453</v>
      </c>
      <c r="I382">
        <f>G382+H382</f>
        <v>616834</v>
      </c>
      <c r="J382">
        <f>IF(AND(D382&lt;&gt;"dram",D382&lt;&gt;"control"),H382,0)</f>
        <v>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160</v>
      </c>
      <c r="C383" t="s">
        <v>92</v>
      </c>
      <c r="D383" t="s">
        <v>83</v>
      </c>
      <c r="E383" t="s">
        <v>115</v>
      </c>
      <c r="F383">
        <v>1024</v>
      </c>
      <c r="G383">
        <f>MAX(I382,I380)</f>
        <v>616834</v>
      </c>
      <c r="H383">
        <f>CEILING((dram_access_latency+F383/dram_bandwidth)*frequency,1)</f>
        <v>116</v>
      </c>
      <c r="I383">
        <f>G383+H383</f>
        <v>616950</v>
      </c>
      <c r="J383">
        <f>IF(AND(D383&lt;&gt;"dram",D383&lt;&gt;"control"),H383,0)</f>
        <v>0</v>
      </c>
      <c r="K383">
        <f>IF(D383="dram",H383,0)</f>
        <v>116</v>
      </c>
      <c r="L383">
        <v>0</v>
      </c>
      <c r="M383">
        <v>1024</v>
      </c>
    </row>
    <row r="384" spans="1:13">
      <c r="A384">
        <v>382</v>
      </c>
      <c r="B384" t="s">
        <v>156</v>
      </c>
      <c r="C384" t="s">
        <v>82</v>
      </c>
      <c r="D384" t="s">
        <v>83</v>
      </c>
      <c r="E384" t="s">
        <v>116</v>
      </c>
      <c r="F384">
        <v>262144</v>
      </c>
      <c r="G384">
        <f>MAX(I382,I383)</f>
        <v>616950</v>
      </c>
      <c r="H384">
        <f>CEILING((dram_access_latency+F384/dram_bandwidth)*frequency,1)</f>
        <v>4196</v>
      </c>
      <c r="I384">
        <f>G384+H384</f>
        <v>621146</v>
      </c>
      <c r="J384">
        <f>IF(AND(D384&lt;&gt;"dram",D384&lt;&gt;"control"),H384,0)</f>
        <v>0</v>
      </c>
      <c r="K384">
        <f>IF(D384="dram",H384,0)</f>
        <v>4196</v>
      </c>
      <c r="L384">
        <v>262144</v>
      </c>
      <c r="M384">
        <v>0</v>
      </c>
    </row>
    <row r="385" spans="1:13">
      <c r="A385">
        <v>383</v>
      </c>
      <c r="B385" t="s">
        <v>158</v>
      </c>
      <c r="C385" t="s">
        <v>82</v>
      </c>
      <c r="D385" t="s">
        <v>83</v>
      </c>
      <c r="E385" t="s">
        <v>116</v>
      </c>
      <c r="F385">
        <v>8192</v>
      </c>
      <c r="G385">
        <f>MAX(I382,I384)</f>
        <v>621146</v>
      </c>
      <c r="H385">
        <f>CEILING((dram_access_latency+F385/dram_bandwidth)*frequency,1)</f>
        <v>228</v>
      </c>
      <c r="I385">
        <f>G385+H385</f>
        <v>621374</v>
      </c>
      <c r="J385">
        <f>IF(AND(D385&lt;&gt;"dram",D385&lt;&gt;"control"),H385,0)</f>
        <v>0</v>
      </c>
      <c r="K385">
        <f>IF(D385="dram",H385,0)</f>
        <v>228</v>
      </c>
      <c r="L385">
        <v>8192</v>
      </c>
      <c r="M385">
        <v>0</v>
      </c>
    </row>
    <row r="386" spans="1:13">
      <c r="A386">
        <v>384</v>
      </c>
      <c r="B386" t="s">
        <v>26</v>
      </c>
      <c r="C386" t="s">
        <v>90</v>
      </c>
      <c r="D386" t="s">
        <v>108</v>
      </c>
      <c r="E386" t="s">
        <v>116</v>
      </c>
      <c r="F386">
        <v>0</v>
      </c>
      <c r="G386">
        <f>MAX(I381,I381,I349,I384,I351,I385,I383)</f>
        <v>625287</v>
      </c>
      <c r="H386">
        <f>'Operations'!I6</f>
        <v>8453</v>
      </c>
      <c r="I386">
        <f>G386+H386</f>
        <v>633740</v>
      </c>
      <c r="J386">
        <f>IF(AND(D386&lt;&gt;"dram",D386&lt;&gt;"control"),H386,0)</f>
        <v>8453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159</v>
      </c>
      <c r="C387" t="s">
        <v>88</v>
      </c>
      <c r="D387" t="s">
        <v>89</v>
      </c>
      <c r="E387" t="s">
        <v>116</v>
      </c>
      <c r="F387">
        <v>0</v>
      </c>
      <c r="G387">
        <f>MAX(I382,I381)</f>
        <v>616834</v>
      </c>
      <c r="H387">
        <f>0</f>
        <v>8453</v>
      </c>
      <c r="I387">
        <f>G387+H387</f>
        <v>625287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160</v>
      </c>
      <c r="C388" t="s">
        <v>92</v>
      </c>
      <c r="D388" t="s">
        <v>83</v>
      </c>
      <c r="E388" t="s">
        <v>116</v>
      </c>
      <c r="F388">
        <v>1024</v>
      </c>
      <c r="G388">
        <f>MAX(I387,I385)</f>
        <v>625287</v>
      </c>
      <c r="H388">
        <f>CEILING((dram_access_latency+F388/dram_bandwidth)*frequency,1)</f>
        <v>116</v>
      </c>
      <c r="I388">
        <f>G388+H388</f>
        <v>625403</v>
      </c>
      <c r="J388">
        <f>IF(AND(D388&lt;&gt;"dram",D388&lt;&gt;"control"),H388,0)</f>
        <v>0</v>
      </c>
      <c r="K388">
        <f>IF(D388="dram",H388,0)</f>
        <v>116</v>
      </c>
      <c r="L388">
        <v>0</v>
      </c>
      <c r="M388">
        <v>1024</v>
      </c>
    </row>
    <row r="389" spans="1:13">
      <c r="A389">
        <v>387</v>
      </c>
      <c r="B389" t="s">
        <v>156</v>
      </c>
      <c r="C389" t="s">
        <v>82</v>
      </c>
      <c r="D389" t="s">
        <v>83</v>
      </c>
      <c r="E389" t="s">
        <v>117</v>
      </c>
      <c r="F389">
        <v>262144</v>
      </c>
      <c r="G389">
        <f>MAX(I387,I388)</f>
        <v>625403</v>
      </c>
      <c r="H389">
        <f>CEILING((dram_access_latency+F389/dram_bandwidth)*frequency,1)</f>
        <v>4196</v>
      </c>
      <c r="I389">
        <f>G389+H389</f>
        <v>629599</v>
      </c>
      <c r="J389">
        <f>IF(AND(D389&lt;&gt;"dram",D389&lt;&gt;"control"),H389,0)</f>
        <v>0</v>
      </c>
      <c r="K389">
        <f>IF(D389="dram",H389,0)</f>
        <v>4196</v>
      </c>
      <c r="L389">
        <v>262144</v>
      </c>
      <c r="M389">
        <v>0</v>
      </c>
    </row>
    <row r="390" spans="1:13">
      <c r="A390">
        <v>388</v>
      </c>
      <c r="B390" t="s">
        <v>158</v>
      </c>
      <c r="C390" t="s">
        <v>82</v>
      </c>
      <c r="D390" t="s">
        <v>83</v>
      </c>
      <c r="E390" t="s">
        <v>117</v>
      </c>
      <c r="F390">
        <v>8192</v>
      </c>
      <c r="G390">
        <f>MAX(I387,I389)</f>
        <v>629599</v>
      </c>
      <c r="H390">
        <f>CEILING((dram_access_latency+F390/dram_bandwidth)*frequency,1)</f>
        <v>228</v>
      </c>
      <c r="I390">
        <f>G390+H390</f>
        <v>629827</v>
      </c>
      <c r="J390">
        <f>IF(AND(D390&lt;&gt;"dram",D390&lt;&gt;"control"),H390,0)</f>
        <v>0</v>
      </c>
      <c r="K390">
        <f>IF(D390="dram",H390,0)</f>
        <v>228</v>
      </c>
      <c r="L390">
        <v>8192</v>
      </c>
      <c r="M390">
        <v>0</v>
      </c>
    </row>
    <row r="391" spans="1:13">
      <c r="A391">
        <v>389</v>
      </c>
      <c r="B391" t="s">
        <v>26</v>
      </c>
      <c r="C391" t="s">
        <v>90</v>
      </c>
      <c r="D391" t="s">
        <v>108</v>
      </c>
      <c r="E391" t="s">
        <v>117</v>
      </c>
      <c r="F391">
        <v>0</v>
      </c>
      <c r="G391">
        <f>MAX(I386,I386,I349,I389,I351,I390,I388)</f>
        <v>633740</v>
      </c>
      <c r="H391">
        <f>'Operations'!I6</f>
        <v>8453</v>
      </c>
      <c r="I391">
        <f>G391+H391</f>
        <v>642193</v>
      </c>
      <c r="J391">
        <f>IF(AND(D391&lt;&gt;"dram",D391&lt;&gt;"control"),H391,0)</f>
        <v>8453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159</v>
      </c>
      <c r="C392" t="s">
        <v>88</v>
      </c>
      <c r="D392" t="s">
        <v>89</v>
      </c>
      <c r="E392" t="s">
        <v>117</v>
      </c>
      <c r="F392">
        <v>0</v>
      </c>
      <c r="G392">
        <f>MAX(I387,I386)</f>
        <v>625287</v>
      </c>
      <c r="H392">
        <f>0</f>
        <v>8453</v>
      </c>
      <c r="I392">
        <f>G392+H392</f>
        <v>633740</v>
      </c>
      <c r="J392">
        <f>IF(AND(D392&lt;&gt;"dram",D392&lt;&gt;"control"),H392,0)</f>
        <v>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160</v>
      </c>
      <c r="C393" t="s">
        <v>92</v>
      </c>
      <c r="D393" t="s">
        <v>83</v>
      </c>
      <c r="E393" t="s">
        <v>117</v>
      </c>
      <c r="F393">
        <v>1024</v>
      </c>
      <c r="G393">
        <f>MAX(I392,I390)</f>
        <v>633740</v>
      </c>
      <c r="H393">
        <f>CEILING((dram_access_latency+F393/dram_bandwidth)*frequency,1)</f>
        <v>116</v>
      </c>
      <c r="I393">
        <f>G393+H393</f>
        <v>633856</v>
      </c>
      <c r="J393">
        <f>IF(AND(D393&lt;&gt;"dram",D393&lt;&gt;"control"),H393,0)</f>
        <v>0</v>
      </c>
      <c r="K393">
        <f>IF(D393="dram",H393,0)</f>
        <v>116</v>
      </c>
      <c r="L393">
        <v>0</v>
      </c>
      <c r="M393">
        <v>1024</v>
      </c>
    </row>
    <row r="394" spans="1:13">
      <c r="A394">
        <v>392</v>
      </c>
      <c r="B394" t="s">
        <v>156</v>
      </c>
      <c r="C394" t="s">
        <v>82</v>
      </c>
      <c r="D394" t="s">
        <v>83</v>
      </c>
      <c r="E394" t="s">
        <v>118</v>
      </c>
      <c r="F394">
        <v>262144</v>
      </c>
      <c r="G394">
        <f>MAX(I392,I393)</f>
        <v>633856</v>
      </c>
      <c r="H394">
        <f>CEILING((dram_access_latency+F394/dram_bandwidth)*frequency,1)</f>
        <v>4196</v>
      </c>
      <c r="I394">
        <f>G394+H394</f>
        <v>638052</v>
      </c>
      <c r="J394">
        <f>IF(AND(D394&lt;&gt;"dram",D394&lt;&gt;"control"),H394,0)</f>
        <v>0</v>
      </c>
      <c r="K394">
        <f>IF(D394="dram",H394,0)</f>
        <v>4196</v>
      </c>
      <c r="L394">
        <v>262144</v>
      </c>
      <c r="M394">
        <v>0</v>
      </c>
    </row>
    <row r="395" spans="1:13">
      <c r="A395">
        <v>393</v>
      </c>
      <c r="B395" t="s">
        <v>158</v>
      </c>
      <c r="C395" t="s">
        <v>82</v>
      </c>
      <c r="D395" t="s">
        <v>83</v>
      </c>
      <c r="E395" t="s">
        <v>118</v>
      </c>
      <c r="F395">
        <v>8192</v>
      </c>
      <c r="G395">
        <f>MAX(I392,I394)</f>
        <v>638052</v>
      </c>
      <c r="H395">
        <f>CEILING((dram_access_latency+F395/dram_bandwidth)*frequency,1)</f>
        <v>228</v>
      </c>
      <c r="I395">
        <f>G395+H395</f>
        <v>638280</v>
      </c>
      <c r="J395">
        <f>IF(AND(D395&lt;&gt;"dram",D395&lt;&gt;"control"),H395,0)</f>
        <v>0</v>
      </c>
      <c r="K395">
        <f>IF(D395="dram",H395,0)</f>
        <v>228</v>
      </c>
      <c r="L395">
        <v>8192</v>
      </c>
      <c r="M395">
        <v>0</v>
      </c>
    </row>
    <row r="396" spans="1:13">
      <c r="A396">
        <v>394</v>
      </c>
      <c r="B396" t="s">
        <v>26</v>
      </c>
      <c r="C396" t="s">
        <v>90</v>
      </c>
      <c r="D396" t="s">
        <v>108</v>
      </c>
      <c r="E396" t="s">
        <v>118</v>
      </c>
      <c r="F396">
        <v>0</v>
      </c>
      <c r="G396">
        <f>MAX(I391,I391,I349,I394,I351,I395,I393)</f>
        <v>642193</v>
      </c>
      <c r="H396">
        <f>'Operations'!I6</f>
        <v>8453</v>
      </c>
      <c r="I396">
        <f>G396+H396</f>
        <v>650646</v>
      </c>
      <c r="J396">
        <f>IF(AND(D396&lt;&gt;"dram",D396&lt;&gt;"control"),H396,0)</f>
        <v>8453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159</v>
      </c>
      <c r="C397" t="s">
        <v>88</v>
      </c>
      <c r="D397" t="s">
        <v>89</v>
      </c>
      <c r="E397" t="s">
        <v>118</v>
      </c>
      <c r="F397">
        <v>0</v>
      </c>
      <c r="G397">
        <f>MAX(I392,I391)</f>
        <v>633740</v>
      </c>
      <c r="H397">
        <f>0</f>
        <v>8453</v>
      </c>
      <c r="I397">
        <f>G397+H397</f>
        <v>642193</v>
      </c>
      <c r="J397">
        <f>IF(AND(D397&lt;&gt;"dram",D397&lt;&gt;"control"),H397,0)</f>
        <v>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160</v>
      </c>
      <c r="C398" t="s">
        <v>92</v>
      </c>
      <c r="D398" t="s">
        <v>83</v>
      </c>
      <c r="E398" t="s">
        <v>118</v>
      </c>
      <c r="F398">
        <v>1024</v>
      </c>
      <c r="G398">
        <f>MAX(I397,I395)</f>
        <v>642193</v>
      </c>
      <c r="H398">
        <f>CEILING((dram_access_latency+F398/dram_bandwidth)*frequency,1)</f>
        <v>116</v>
      </c>
      <c r="I398">
        <f>G398+H398</f>
        <v>642309</v>
      </c>
      <c r="J398">
        <f>IF(AND(D398&lt;&gt;"dram",D398&lt;&gt;"control"),H398,0)</f>
        <v>0</v>
      </c>
      <c r="K398">
        <f>IF(D398="dram",H398,0)</f>
        <v>116</v>
      </c>
      <c r="L398">
        <v>0</v>
      </c>
      <c r="M398">
        <v>1024</v>
      </c>
    </row>
    <row r="399" spans="1:13">
      <c r="A399">
        <v>397</v>
      </c>
      <c r="B399" t="s">
        <v>156</v>
      </c>
      <c r="C399" t="s">
        <v>82</v>
      </c>
      <c r="D399" t="s">
        <v>83</v>
      </c>
      <c r="E399" t="s">
        <v>119</v>
      </c>
      <c r="F399">
        <v>262144</v>
      </c>
      <c r="G399">
        <f>MAX(I397,I398)</f>
        <v>642309</v>
      </c>
      <c r="H399">
        <f>CEILING((dram_access_latency+F399/dram_bandwidth)*frequency,1)</f>
        <v>4196</v>
      </c>
      <c r="I399">
        <f>G399+H399</f>
        <v>646505</v>
      </c>
      <c r="J399">
        <f>IF(AND(D399&lt;&gt;"dram",D399&lt;&gt;"control"),H399,0)</f>
        <v>0</v>
      </c>
      <c r="K399">
        <f>IF(D399="dram",H399,0)</f>
        <v>4196</v>
      </c>
      <c r="L399">
        <v>262144</v>
      </c>
      <c r="M399">
        <v>0</v>
      </c>
    </row>
    <row r="400" spans="1:13">
      <c r="A400">
        <v>398</v>
      </c>
      <c r="B400" t="s">
        <v>158</v>
      </c>
      <c r="C400" t="s">
        <v>82</v>
      </c>
      <c r="D400" t="s">
        <v>83</v>
      </c>
      <c r="E400" t="s">
        <v>119</v>
      </c>
      <c r="F400">
        <v>8192</v>
      </c>
      <c r="G400">
        <f>MAX(I397,I399)</f>
        <v>646505</v>
      </c>
      <c r="H400">
        <f>CEILING((dram_access_latency+F400/dram_bandwidth)*frequency,1)</f>
        <v>228</v>
      </c>
      <c r="I400">
        <f>G400+H400</f>
        <v>646733</v>
      </c>
      <c r="J400">
        <f>IF(AND(D400&lt;&gt;"dram",D400&lt;&gt;"control"),H400,0)</f>
        <v>0</v>
      </c>
      <c r="K400">
        <f>IF(D400="dram",H400,0)</f>
        <v>228</v>
      </c>
      <c r="L400">
        <v>8192</v>
      </c>
      <c r="M400">
        <v>0</v>
      </c>
    </row>
    <row r="401" spans="1:13">
      <c r="A401">
        <v>399</v>
      </c>
      <c r="B401" t="s">
        <v>26</v>
      </c>
      <c r="C401" t="s">
        <v>90</v>
      </c>
      <c r="D401" t="s">
        <v>108</v>
      </c>
      <c r="E401" t="s">
        <v>119</v>
      </c>
      <c r="F401">
        <v>0</v>
      </c>
      <c r="G401">
        <f>MAX(I396,I396,I349,I399,I351,I400,I398)</f>
        <v>650646</v>
      </c>
      <c r="H401">
        <f>'Operations'!I6</f>
        <v>8453</v>
      </c>
      <c r="I401">
        <f>G401+H401</f>
        <v>659099</v>
      </c>
      <c r="J401">
        <f>IF(AND(D401&lt;&gt;"dram",D401&lt;&gt;"control"),H401,0)</f>
        <v>8453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159</v>
      </c>
      <c r="C402" t="s">
        <v>88</v>
      </c>
      <c r="D402" t="s">
        <v>89</v>
      </c>
      <c r="E402" t="s">
        <v>119</v>
      </c>
      <c r="F402">
        <v>0</v>
      </c>
      <c r="G402">
        <f>MAX(I397,I396)</f>
        <v>642193</v>
      </c>
      <c r="H402">
        <f>0</f>
        <v>8453</v>
      </c>
      <c r="I402">
        <f>G402+H402</f>
        <v>650646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160</v>
      </c>
      <c r="C403" t="s">
        <v>92</v>
      </c>
      <c r="D403" t="s">
        <v>83</v>
      </c>
      <c r="E403" t="s">
        <v>119</v>
      </c>
      <c r="F403">
        <v>1024</v>
      </c>
      <c r="G403">
        <f>MAX(I402,I400)</f>
        <v>650646</v>
      </c>
      <c r="H403">
        <f>CEILING((dram_access_latency+F403/dram_bandwidth)*frequency,1)</f>
        <v>116</v>
      </c>
      <c r="I403">
        <f>G403+H403</f>
        <v>650762</v>
      </c>
      <c r="J403">
        <f>IF(AND(D403&lt;&gt;"dram",D403&lt;&gt;"control"),H403,0)</f>
        <v>0</v>
      </c>
      <c r="K403">
        <f>IF(D403="dram",H403,0)</f>
        <v>116</v>
      </c>
      <c r="L403">
        <v>0</v>
      </c>
      <c r="M403">
        <v>1024</v>
      </c>
    </row>
    <row r="404" spans="1:13">
      <c r="A404">
        <v>402</v>
      </c>
      <c r="B404" t="s">
        <v>156</v>
      </c>
      <c r="C404" t="s">
        <v>82</v>
      </c>
      <c r="D404" t="s">
        <v>83</v>
      </c>
      <c r="E404" t="s">
        <v>120</v>
      </c>
      <c r="F404">
        <v>262144</v>
      </c>
      <c r="G404">
        <f>MAX(I402,I403)</f>
        <v>650762</v>
      </c>
      <c r="H404">
        <f>CEILING((dram_access_latency+F404/dram_bandwidth)*frequency,1)</f>
        <v>4196</v>
      </c>
      <c r="I404">
        <f>G404+H404</f>
        <v>654958</v>
      </c>
      <c r="J404">
        <f>IF(AND(D404&lt;&gt;"dram",D404&lt;&gt;"control"),H404,0)</f>
        <v>0</v>
      </c>
      <c r="K404">
        <f>IF(D404="dram",H404,0)</f>
        <v>4196</v>
      </c>
      <c r="L404">
        <v>262144</v>
      </c>
      <c r="M404">
        <v>0</v>
      </c>
    </row>
    <row r="405" spans="1:13">
      <c r="A405">
        <v>403</v>
      </c>
      <c r="B405" t="s">
        <v>158</v>
      </c>
      <c r="C405" t="s">
        <v>82</v>
      </c>
      <c r="D405" t="s">
        <v>83</v>
      </c>
      <c r="E405" t="s">
        <v>120</v>
      </c>
      <c r="F405">
        <v>8192</v>
      </c>
      <c r="G405">
        <f>MAX(I402,I404)</f>
        <v>654958</v>
      </c>
      <c r="H405">
        <f>CEILING((dram_access_latency+F405/dram_bandwidth)*frequency,1)</f>
        <v>228</v>
      </c>
      <c r="I405">
        <f>G405+H405</f>
        <v>655186</v>
      </c>
      <c r="J405">
        <f>IF(AND(D405&lt;&gt;"dram",D405&lt;&gt;"control"),H405,0)</f>
        <v>0</v>
      </c>
      <c r="K405">
        <f>IF(D405="dram",H405,0)</f>
        <v>228</v>
      </c>
      <c r="L405">
        <v>8192</v>
      </c>
      <c r="M405">
        <v>0</v>
      </c>
    </row>
    <row r="406" spans="1:13">
      <c r="A406">
        <v>404</v>
      </c>
      <c r="B406" t="s">
        <v>26</v>
      </c>
      <c r="C406" t="s">
        <v>90</v>
      </c>
      <c r="D406" t="s">
        <v>108</v>
      </c>
      <c r="E406" t="s">
        <v>120</v>
      </c>
      <c r="F406">
        <v>0</v>
      </c>
      <c r="G406">
        <f>MAX(I401,I401,I349,I404,I351,I405,I403)</f>
        <v>659099</v>
      </c>
      <c r="H406">
        <f>'Operations'!I6</f>
        <v>8453</v>
      </c>
      <c r="I406">
        <f>G406+H406</f>
        <v>667552</v>
      </c>
      <c r="J406">
        <f>IF(AND(D406&lt;&gt;"dram",D406&lt;&gt;"control"),H406,0)</f>
        <v>8453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159</v>
      </c>
      <c r="C407" t="s">
        <v>88</v>
      </c>
      <c r="D407" t="s">
        <v>89</v>
      </c>
      <c r="E407" t="s">
        <v>120</v>
      </c>
      <c r="F407">
        <v>0</v>
      </c>
      <c r="G407">
        <f>MAX(I402,I401)</f>
        <v>650646</v>
      </c>
      <c r="H407">
        <f>0</f>
        <v>8453</v>
      </c>
      <c r="I407">
        <f>G407+H407</f>
        <v>659099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160</v>
      </c>
      <c r="C408" t="s">
        <v>92</v>
      </c>
      <c r="D408" t="s">
        <v>83</v>
      </c>
      <c r="E408" t="s">
        <v>120</v>
      </c>
      <c r="F408">
        <v>1024</v>
      </c>
      <c r="G408">
        <f>MAX(I407,I405)</f>
        <v>659099</v>
      </c>
      <c r="H408">
        <f>CEILING((dram_access_latency+F408/dram_bandwidth)*frequency,1)</f>
        <v>116</v>
      </c>
      <c r="I408">
        <f>G408+H408</f>
        <v>659215</v>
      </c>
      <c r="J408">
        <f>IF(AND(D408&lt;&gt;"dram",D408&lt;&gt;"control"),H408,0)</f>
        <v>0</v>
      </c>
      <c r="K408">
        <f>IF(D408="dram",H408,0)</f>
        <v>116</v>
      </c>
      <c r="L408">
        <v>0</v>
      </c>
      <c r="M408">
        <v>1024</v>
      </c>
    </row>
    <row r="409" spans="1:13">
      <c r="A409">
        <v>407</v>
      </c>
      <c r="B409" t="s">
        <v>156</v>
      </c>
      <c r="C409" t="s">
        <v>82</v>
      </c>
      <c r="D409" t="s">
        <v>83</v>
      </c>
      <c r="E409" t="s">
        <v>121</v>
      </c>
      <c r="F409">
        <v>262144</v>
      </c>
      <c r="G409">
        <f>MAX(I407,I408)</f>
        <v>659215</v>
      </c>
      <c r="H409">
        <f>CEILING((dram_access_latency+F409/dram_bandwidth)*frequency,1)</f>
        <v>4196</v>
      </c>
      <c r="I409">
        <f>G409+H409</f>
        <v>663411</v>
      </c>
      <c r="J409">
        <f>IF(AND(D409&lt;&gt;"dram",D409&lt;&gt;"control"),H409,0)</f>
        <v>0</v>
      </c>
      <c r="K409">
        <f>IF(D409="dram",H409,0)</f>
        <v>4196</v>
      </c>
      <c r="L409">
        <v>262144</v>
      </c>
      <c r="M409">
        <v>0</v>
      </c>
    </row>
    <row r="410" spans="1:13">
      <c r="A410">
        <v>408</v>
      </c>
      <c r="B410" t="s">
        <v>158</v>
      </c>
      <c r="C410" t="s">
        <v>82</v>
      </c>
      <c r="D410" t="s">
        <v>83</v>
      </c>
      <c r="E410" t="s">
        <v>121</v>
      </c>
      <c r="F410">
        <v>8192</v>
      </c>
      <c r="G410">
        <f>MAX(I407,I409)</f>
        <v>663411</v>
      </c>
      <c r="H410">
        <f>CEILING((dram_access_latency+F410/dram_bandwidth)*frequency,1)</f>
        <v>228</v>
      </c>
      <c r="I410">
        <f>G410+H410</f>
        <v>663639</v>
      </c>
      <c r="J410">
        <f>IF(AND(D410&lt;&gt;"dram",D410&lt;&gt;"control"),H410,0)</f>
        <v>0</v>
      </c>
      <c r="K410">
        <f>IF(D410="dram",H410,0)</f>
        <v>228</v>
      </c>
      <c r="L410">
        <v>8192</v>
      </c>
      <c r="M410">
        <v>0</v>
      </c>
    </row>
    <row r="411" spans="1:13">
      <c r="A411">
        <v>409</v>
      </c>
      <c r="B411" t="s">
        <v>26</v>
      </c>
      <c r="C411" t="s">
        <v>90</v>
      </c>
      <c r="D411" t="s">
        <v>108</v>
      </c>
      <c r="E411" t="s">
        <v>121</v>
      </c>
      <c r="F411">
        <v>0</v>
      </c>
      <c r="G411">
        <f>MAX(I406,I406,I349,I409,I351,I410,I408)</f>
        <v>667552</v>
      </c>
      <c r="H411">
        <f>'Operations'!I6</f>
        <v>8453</v>
      </c>
      <c r="I411">
        <f>G411+H411</f>
        <v>676005</v>
      </c>
      <c r="J411">
        <f>IF(AND(D411&lt;&gt;"dram",D411&lt;&gt;"control"),H411,0)</f>
        <v>8453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159</v>
      </c>
      <c r="C412" t="s">
        <v>88</v>
      </c>
      <c r="D412" t="s">
        <v>89</v>
      </c>
      <c r="E412" t="s">
        <v>121</v>
      </c>
      <c r="F412">
        <v>0</v>
      </c>
      <c r="G412">
        <f>MAX(I407,I406)</f>
        <v>659099</v>
      </c>
      <c r="H412">
        <f>0</f>
        <v>8453</v>
      </c>
      <c r="I412">
        <f>G412+H412</f>
        <v>667552</v>
      </c>
      <c r="J412">
        <f>IF(AND(D412&lt;&gt;"dram",D412&lt;&gt;"control"),H412,0)</f>
        <v>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160</v>
      </c>
      <c r="C413" t="s">
        <v>92</v>
      </c>
      <c r="D413" t="s">
        <v>83</v>
      </c>
      <c r="E413" t="s">
        <v>121</v>
      </c>
      <c r="F413">
        <v>1024</v>
      </c>
      <c r="G413">
        <f>MAX(I412,I410)</f>
        <v>667552</v>
      </c>
      <c r="H413">
        <f>CEILING((dram_access_latency+F413/dram_bandwidth)*frequency,1)</f>
        <v>116</v>
      </c>
      <c r="I413">
        <f>G413+H413</f>
        <v>667668</v>
      </c>
      <c r="J413">
        <f>IF(AND(D413&lt;&gt;"dram",D413&lt;&gt;"control"),H413,0)</f>
        <v>0</v>
      </c>
      <c r="K413">
        <f>IF(D413="dram",H413,0)</f>
        <v>116</v>
      </c>
      <c r="L413">
        <v>0</v>
      </c>
      <c r="M413">
        <v>1024</v>
      </c>
    </row>
    <row r="414" spans="1:13">
      <c r="A414">
        <v>412</v>
      </c>
      <c r="B414" t="s">
        <v>156</v>
      </c>
      <c r="C414" t="s">
        <v>82</v>
      </c>
      <c r="D414" t="s">
        <v>83</v>
      </c>
      <c r="E414" t="s">
        <v>122</v>
      </c>
      <c r="F414">
        <v>262144</v>
      </c>
      <c r="G414">
        <f>MAX(I412,I413)</f>
        <v>667668</v>
      </c>
      <c r="H414">
        <f>CEILING((dram_access_latency+F414/dram_bandwidth)*frequency,1)</f>
        <v>4196</v>
      </c>
      <c r="I414">
        <f>G414+H414</f>
        <v>671864</v>
      </c>
      <c r="J414">
        <f>IF(AND(D414&lt;&gt;"dram",D414&lt;&gt;"control"),H414,0)</f>
        <v>0</v>
      </c>
      <c r="K414">
        <f>IF(D414="dram",H414,0)</f>
        <v>4196</v>
      </c>
      <c r="L414">
        <v>262144</v>
      </c>
      <c r="M414">
        <v>0</v>
      </c>
    </row>
    <row r="415" spans="1:13">
      <c r="A415">
        <v>413</v>
      </c>
      <c r="B415" t="s">
        <v>158</v>
      </c>
      <c r="C415" t="s">
        <v>82</v>
      </c>
      <c r="D415" t="s">
        <v>83</v>
      </c>
      <c r="E415" t="s">
        <v>122</v>
      </c>
      <c r="F415">
        <v>8192</v>
      </c>
      <c r="G415">
        <f>MAX(I412,I414)</f>
        <v>671864</v>
      </c>
      <c r="H415">
        <f>CEILING((dram_access_latency+F415/dram_bandwidth)*frequency,1)</f>
        <v>228</v>
      </c>
      <c r="I415">
        <f>G415+H415</f>
        <v>672092</v>
      </c>
      <c r="J415">
        <f>IF(AND(D415&lt;&gt;"dram",D415&lt;&gt;"control"),H415,0)</f>
        <v>0</v>
      </c>
      <c r="K415">
        <f>IF(D415="dram",H415,0)</f>
        <v>228</v>
      </c>
      <c r="L415">
        <v>8192</v>
      </c>
      <c r="M415">
        <v>0</v>
      </c>
    </row>
    <row r="416" spans="1:13">
      <c r="A416">
        <v>414</v>
      </c>
      <c r="B416" t="s">
        <v>26</v>
      </c>
      <c r="C416" t="s">
        <v>90</v>
      </c>
      <c r="D416" t="s">
        <v>108</v>
      </c>
      <c r="E416" t="s">
        <v>122</v>
      </c>
      <c r="F416">
        <v>0</v>
      </c>
      <c r="G416">
        <f>MAX(I411,I411,I349,I414,I351,I415,I413)</f>
        <v>676005</v>
      </c>
      <c r="H416">
        <f>'Operations'!I6</f>
        <v>8453</v>
      </c>
      <c r="I416">
        <f>G416+H416</f>
        <v>684458</v>
      </c>
      <c r="J416">
        <f>IF(AND(D416&lt;&gt;"dram",D416&lt;&gt;"control"),H416,0)</f>
        <v>8453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159</v>
      </c>
      <c r="C417" t="s">
        <v>88</v>
      </c>
      <c r="D417" t="s">
        <v>89</v>
      </c>
      <c r="E417" t="s">
        <v>122</v>
      </c>
      <c r="F417">
        <v>0</v>
      </c>
      <c r="G417">
        <f>MAX(I412,I411)</f>
        <v>667552</v>
      </c>
      <c r="H417">
        <f>0</f>
        <v>8453</v>
      </c>
      <c r="I417">
        <f>G417+H417</f>
        <v>676005</v>
      </c>
      <c r="J417">
        <f>IF(AND(D417&lt;&gt;"dram",D417&lt;&gt;"control"),H417,0)</f>
        <v>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160</v>
      </c>
      <c r="C418" t="s">
        <v>92</v>
      </c>
      <c r="D418" t="s">
        <v>83</v>
      </c>
      <c r="E418" t="s">
        <v>122</v>
      </c>
      <c r="F418">
        <v>1024</v>
      </c>
      <c r="G418">
        <f>MAX(I417,I415)</f>
        <v>676005</v>
      </c>
      <c r="H418">
        <f>CEILING((dram_access_latency+F418/dram_bandwidth)*frequency,1)</f>
        <v>116</v>
      </c>
      <c r="I418">
        <f>G418+H418</f>
        <v>676121</v>
      </c>
      <c r="J418">
        <f>IF(AND(D418&lt;&gt;"dram",D418&lt;&gt;"control"),H418,0)</f>
        <v>0</v>
      </c>
      <c r="K418">
        <f>IF(D418="dram",H418,0)</f>
        <v>116</v>
      </c>
      <c r="L418">
        <v>0</v>
      </c>
      <c r="M418">
        <v>1024</v>
      </c>
    </row>
    <row r="419" spans="1:13">
      <c r="A419">
        <v>417</v>
      </c>
      <c r="B419" t="s">
        <v>156</v>
      </c>
      <c r="C419" t="s">
        <v>82</v>
      </c>
      <c r="D419" t="s">
        <v>83</v>
      </c>
      <c r="E419" t="s">
        <v>123</v>
      </c>
      <c r="F419">
        <v>262144</v>
      </c>
      <c r="G419">
        <f>MAX(I417,I418)</f>
        <v>676121</v>
      </c>
      <c r="H419">
        <f>CEILING((dram_access_latency+F419/dram_bandwidth)*frequency,1)</f>
        <v>4196</v>
      </c>
      <c r="I419">
        <f>G419+H419</f>
        <v>680317</v>
      </c>
      <c r="J419">
        <f>IF(AND(D419&lt;&gt;"dram",D419&lt;&gt;"control"),H419,0)</f>
        <v>0</v>
      </c>
      <c r="K419">
        <f>IF(D419="dram",H419,0)</f>
        <v>4196</v>
      </c>
      <c r="L419">
        <v>262144</v>
      </c>
      <c r="M419">
        <v>0</v>
      </c>
    </row>
    <row r="420" spans="1:13">
      <c r="A420">
        <v>418</v>
      </c>
      <c r="B420" t="s">
        <v>158</v>
      </c>
      <c r="C420" t="s">
        <v>82</v>
      </c>
      <c r="D420" t="s">
        <v>83</v>
      </c>
      <c r="E420" t="s">
        <v>123</v>
      </c>
      <c r="F420">
        <v>8192</v>
      </c>
      <c r="G420">
        <f>MAX(I417,I419)</f>
        <v>680317</v>
      </c>
      <c r="H420">
        <f>CEILING((dram_access_latency+F420/dram_bandwidth)*frequency,1)</f>
        <v>228</v>
      </c>
      <c r="I420">
        <f>G420+H420</f>
        <v>680545</v>
      </c>
      <c r="J420">
        <f>IF(AND(D420&lt;&gt;"dram",D420&lt;&gt;"control"),H420,0)</f>
        <v>0</v>
      </c>
      <c r="K420">
        <f>IF(D420="dram",H420,0)</f>
        <v>228</v>
      </c>
      <c r="L420">
        <v>8192</v>
      </c>
      <c r="M420">
        <v>0</v>
      </c>
    </row>
    <row r="421" spans="1:13">
      <c r="A421">
        <v>419</v>
      </c>
      <c r="B421" t="s">
        <v>26</v>
      </c>
      <c r="C421" t="s">
        <v>90</v>
      </c>
      <c r="D421" t="s">
        <v>108</v>
      </c>
      <c r="E421" t="s">
        <v>123</v>
      </c>
      <c r="F421">
        <v>0</v>
      </c>
      <c r="G421">
        <f>MAX(I416,I416,I349,I419,I351,I420,I418)</f>
        <v>684458</v>
      </c>
      <c r="H421">
        <f>'Operations'!I6</f>
        <v>8453</v>
      </c>
      <c r="I421">
        <f>G421+H421</f>
        <v>692911</v>
      </c>
      <c r="J421">
        <f>IF(AND(D421&lt;&gt;"dram",D421&lt;&gt;"control"),H421,0)</f>
        <v>8453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159</v>
      </c>
      <c r="C422" t="s">
        <v>88</v>
      </c>
      <c r="D422" t="s">
        <v>89</v>
      </c>
      <c r="E422" t="s">
        <v>123</v>
      </c>
      <c r="F422">
        <v>0</v>
      </c>
      <c r="G422">
        <f>MAX(I417,I416)</f>
        <v>676005</v>
      </c>
      <c r="H422">
        <f>0</f>
        <v>8453</v>
      </c>
      <c r="I422">
        <f>G422+H422</f>
        <v>684458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160</v>
      </c>
      <c r="C423" t="s">
        <v>92</v>
      </c>
      <c r="D423" t="s">
        <v>83</v>
      </c>
      <c r="E423" t="s">
        <v>123</v>
      </c>
      <c r="F423">
        <v>1024</v>
      </c>
      <c r="G423">
        <f>MAX(I422,I420)</f>
        <v>684458</v>
      </c>
      <c r="H423">
        <f>CEILING((dram_access_latency+F423/dram_bandwidth)*frequency,1)</f>
        <v>116</v>
      </c>
      <c r="I423">
        <f>G423+H423</f>
        <v>684574</v>
      </c>
      <c r="J423">
        <f>IF(AND(D423&lt;&gt;"dram",D423&lt;&gt;"control"),H423,0)</f>
        <v>0</v>
      </c>
      <c r="K423">
        <f>IF(D423="dram",H423,0)</f>
        <v>116</v>
      </c>
      <c r="L423">
        <v>0</v>
      </c>
      <c r="M423">
        <v>1024</v>
      </c>
    </row>
    <row r="424" spans="1:13">
      <c r="A424">
        <v>422</v>
      </c>
      <c r="B424" t="s">
        <v>156</v>
      </c>
      <c r="C424" t="s">
        <v>82</v>
      </c>
      <c r="D424" t="s">
        <v>83</v>
      </c>
      <c r="E424" t="s">
        <v>124</v>
      </c>
      <c r="F424">
        <v>262144</v>
      </c>
      <c r="G424">
        <f>MAX(I422,I423)</f>
        <v>684574</v>
      </c>
      <c r="H424">
        <f>CEILING((dram_access_latency+F424/dram_bandwidth)*frequency,1)</f>
        <v>4196</v>
      </c>
      <c r="I424">
        <f>G424+H424</f>
        <v>688770</v>
      </c>
      <c r="J424">
        <f>IF(AND(D424&lt;&gt;"dram",D424&lt;&gt;"control"),H424,0)</f>
        <v>0</v>
      </c>
      <c r="K424">
        <f>IF(D424="dram",H424,0)</f>
        <v>4196</v>
      </c>
      <c r="L424">
        <v>262144</v>
      </c>
      <c r="M424">
        <v>0</v>
      </c>
    </row>
    <row r="425" spans="1:13">
      <c r="A425">
        <v>423</v>
      </c>
      <c r="B425" t="s">
        <v>158</v>
      </c>
      <c r="C425" t="s">
        <v>82</v>
      </c>
      <c r="D425" t="s">
        <v>83</v>
      </c>
      <c r="E425" t="s">
        <v>124</v>
      </c>
      <c r="F425">
        <v>8192</v>
      </c>
      <c r="G425">
        <f>MAX(I422,I424)</f>
        <v>688770</v>
      </c>
      <c r="H425">
        <f>CEILING((dram_access_latency+F425/dram_bandwidth)*frequency,1)</f>
        <v>228</v>
      </c>
      <c r="I425">
        <f>G425+H425</f>
        <v>688998</v>
      </c>
      <c r="J425">
        <f>IF(AND(D425&lt;&gt;"dram",D425&lt;&gt;"control"),H425,0)</f>
        <v>0</v>
      </c>
      <c r="K425">
        <f>IF(D425="dram",H425,0)</f>
        <v>228</v>
      </c>
      <c r="L425">
        <v>8192</v>
      </c>
      <c r="M425">
        <v>0</v>
      </c>
    </row>
    <row r="426" spans="1:13">
      <c r="A426">
        <v>424</v>
      </c>
      <c r="B426" t="s">
        <v>26</v>
      </c>
      <c r="C426" t="s">
        <v>90</v>
      </c>
      <c r="D426" t="s">
        <v>108</v>
      </c>
      <c r="E426" t="s">
        <v>124</v>
      </c>
      <c r="F426">
        <v>0</v>
      </c>
      <c r="G426">
        <f>MAX(I421,I421,I349,I424,I351,I425,I423)</f>
        <v>692911</v>
      </c>
      <c r="H426">
        <f>'Operations'!I6</f>
        <v>8453</v>
      </c>
      <c r="I426">
        <f>G426+H426</f>
        <v>701364</v>
      </c>
      <c r="J426">
        <f>IF(AND(D426&lt;&gt;"dram",D426&lt;&gt;"control"),H426,0)</f>
        <v>8453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159</v>
      </c>
      <c r="C427" t="s">
        <v>88</v>
      </c>
      <c r="D427" t="s">
        <v>89</v>
      </c>
      <c r="E427" t="s">
        <v>124</v>
      </c>
      <c r="F427">
        <v>0</v>
      </c>
      <c r="G427">
        <f>MAX(I422,I421)</f>
        <v>684458</v>
      </c>
      <c r="H427">
        <f>0</f>
        <v>8453</v>
      </c>
      <c r="I427">
        <f>G427+H427</f>
        <v>692911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160</v>
      </c>
      <c r="C428" t="s">
        <v>92</v>
      </c>
      <c r="D428" t="s">
        <v>83</v>
      </c>
      <c r="E428" t="s">
        <v>124</v>
      </c>
      <c r="F428">
        <v>1024</v>
      </c>
      <c r="G428">
        <f>MAX(I427,I425)</f>
        <v>692911</v>
      </c>
      <c r="H428">
        <f>CEILING((dram_access_latency+F428/dram_bandwidth)*frequency,1)</f>
        <v>116</v>
      </c>
      <c r="I428">
        <f>G428+H428</f>
        <v>693027</v>
      </c>
      <c r="J428">
        <f>IF(AND(D428&lt;&gt;"dram",D428&lt;&gt;"control"),H428,0)</f>
        <v>0</v>
      </c>
      <c r="K428">
        <f>IF(D428="dram",H428,0)</f>
        <v>116</v>
      </c>
      <c r="L428">
        <v>0</v>
      </c>
      <c r="M428">
        <v>1024</v>
      </c>
    </row>
    <row r="429" spans="1:13">
      <c r="A429">
        <v>427</v>
      </c>
      <c r="B429" t="s">
        <v>156</v>
      </c>
      <c r="C429" t="s">
        <v>82</v>
      </c>
      <c r="D429" t="s">
        <v>83</v>
      </c>
      <c r="E429" t="s">
        <v>125</v>
      </c>
      <c r="F429">
        <v>262144</v>
      </c>
      <c r="G429">
        <f>MAX(I427,I428)</f>
        <v>693027</v>
      </c>
      <c r="H429">
        <f>CEILING((dram_access_latency+F429/dram_bandwidth)*frequency,1)</f>
        <v>4196</v>
      </c>
      <c r="I429">
        <f>G429+H429</f>
        <v>697223</v>
      </c>
      <c r="J429">
        <f>IF(AND(D429&lt;&gt;"dram",D429&lt;&gt;"control"),H429,0)</f>
        <v>0</v>
      </c>
      <c r="K429">
        <f>IF(D429="dram",H429,0)</f>
        <v>4196</v>
      </c>
      <c r="L429">
        <v>262144</v>
      </c>
      <c r="M429">
        <v>0</v>
      </c>
    </row>
    <row r="430" spans="1:13">
      <c r="A430">
        <v>428</v>
      </c>
      <c r="B430" t="s">
        <v>158</v>
      </c>
      <c r="C430" t="s">
        <v>82</v>
      </c>
      <c r="D430" t="s">
        <v>83</v>
      </c>
      <c r="E430" t="s">
        <v>125</v>
      </c>
      <c r="F430">
        <v>8192</v>
      </c>
      <c r="G430">
        <f>MAX(I427,I429)</f>
        <v>697223</v>
      </c>
      <c r="H430">
        <f>CEILING((dram_access_latency+F430/dram_bandwidth)*frequency,1)</f>
        <v>228</v>
      </c>
      <c r="I430">
        <f>G430+H430</f>
        <v>697451</v>
      </c>
      <c r="J430">
        <f>IF(AND(D430&lt;&gt;"dram",D430&lt;&gt;"control"),H430,0)</f>
        <v>0</v>
      </c>
      <c r="K430">
        <f>IF(D430="dram",H430,0)</f>
        <v>228</v>
      </c>
      <c r="L430">
        <v>8192</v>
      </c>
      <c r="M430">
        <v>0</v>
      </c>
    </row>
    <row r="431" spans="1:13">
      <c r="A431">
        <v>429</v>
      </c>
      <c r="B431" t="s">
        <v>26</v>
      </c>
      <c r="C431" t="s">
        <v>90</v>
      </c>
      <c r="D431" t="s">
        <v>108</v>
      </c>
      <c r="E431" t="s">
        <v>125</v>
      </c>
      <c r="F431">
        <v>0</v>
      </c>
      <c r="G431">
        <f>MAX(I426,I426,I349,I429,I351,I430,I428)</f>
        <v>701364</v>
      </c>
      <c r="H431">
        <f>'Operations'!I6</f>
        <v>8453</v>
      </c>
      <c r="I431">
        <f>G431+H431</f>
        <v>709817</v>
      </c>
      <c r="J431">
        <f>IF(AND(D431&lt;&gt;"dram",D431&lt;&gt;"control"),H431,0)</f>
        <v>8453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159</v>
      </c>
      <c r="C432" t="s">
        <v>88</v>
      </c>
      <c r="D432" t="s">
        <v>89</v>
      </c>
      <c r="E432" t="s">
        <v>125</v>
      </c>
      <c r="F432">
        <v>0</v>
      </c>
      <c r="G432">
        <f>MAX(I427,I426)</f>
        <v>692911</v>
      </c>
      <c r="H432">
        <f>0</f>
        <v>8453</v>
      </c>
      <c r="I432">
        <f>G432+H432</f>
        <v>701364</v>
      </c>
      <c r="J432">
        <f>IF(AND(D432&lt;&gt;"dram",D432&lt;&gt;"control"),H432,0)</f>
        <v>0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160</v>
      </c>
      <c r="C433" t="s">
        <v>92</v>
      </c>
      <c r="D433" t="s">
        <v>83</v>
      </c>
      <c r="E433" t="s">
        <v>125</v>
      </c>
      <c r="F433">
        <v>1024</v>
      </c>
      <c r="G433">
        <f>MAX(I432,I430)</f>
        <v>701364</v>
      </c>
      <c r="H433">
        <f>CEILING((dram_access_latency+F433/dram_bandwidth)*frequency,1)</f>
        <v>116</v>
      </c>
      <c r="I433">
        <f>G433+H433</f>
        <v>701480</v>
      </c>
      <c r="J433">
        <f>IF(AND(D433&lt;&gt;"dram",D433&lt;&gt;"control"),H433,0)</f>
        <v>0</v>
      </c>
      <c r="K433">
        <f>IF(D433="dram",H433,0)</f>
        <v>116</v>
      </c>
      <c r="L433">
        <v>0</v>
      </c>
      <c r="M433">
        <v>1024</v>
      </c>
    </row>
    <row r="434" spans="1:13">
      <c r="A434">
        <v>432</v>
      </c>
      <c r="B434" t="s">
        <v>156</v>
      </c>
      <c r="C434" t="s">
        <v>82</v>
      </c>
      <c r="D434" t="s">
        <v>83</v>
      </c>
      <c r="E434" t="s">
        <v>126</v>
      </c>
      <c r="F434">
        <v>262144</v>
      </c>
      <c r="G434">
        <f>MAX(I432,I433)</f>
        <v>701480</v>
      </c>
      <c r="H434">
        <f>CEILING((dram_access_latency+F434/dram_bandwidth)*frequency,1)</f>
        <v>4196</v>
      </c>
      <c r="I434">
        <f>G434+H434</f>
        <v>705676</v>
      </c>
      <c r="J434">
        <f>IF(AND(D434&lt;&gt;"dram",D434&lt;&gt;"control"),H434,0)</f>
        <v>0</v>
      </c>
      <c r="K434">
        <f>IF(D434="dram",H434,0)</f>
        <v>4196</v>
      </c>
      <c r="L434">
        <v>262144</v>
      </c>
      <c r="M434">
        <v>0</v>
      </c>
    </row>
    <row r="435" spans="1:13">
      <c r="A435">
        <v>433</v>
      </c>
      <c r="B435" t="s">
        <v>158</v>
      </c>
      <c r="C435" t="s">
        <v>82</v>
      </c>
      <c r="D435" t="s">
        <v>83</v>
      </c>
      <c r="E435" t="s">
        <v>126</v>
      </c>
      <c r="F435">
        <v>8192</v>
      </c>
      <c r="G435">
        <f>MAX(I432,I434)</f>
        <v>705676</v>
      </c>
      <c r="H435">
        <f>CEILING((dram_access_latency+F435/dram_bandwidth)*frequency,1)</f>
        <v>228</v>
      </c>
      <c r="I435">
        <f>G435+H435</f>
        <v>705904</v>
      </c>
      <c r="J435">
        <f>IF(AND(D435&lt;&gt;"dram",D435&lt;&gt;"control"),H435,0)</f>
        <v>0</v>
      </c>
      <c r="K435">
        <f>IF(D435="dram",H435,0)</f>
        <v>228</v>
      </c>
      <c r="L435">
        <v>8192</v>
      </c>
      <c r="M435">
        <v>0</v>
      </c>
    </row>
    <row r="436" spans="1:13">
      <c r="A436">
        <v>434</v>
      </c>
      <c r="B436" t="s">
        <v>26</v>
      </c>
      <c r="C436" t="s">
        <v>90</v>
      </c>
      <c r="D436" t="s">
        <v>108</v>
      </c>
      <c r="E436" t="s">
        <v>126</v>
      </c>
      <c r="F436">
        <v>0</v>
      </c>
      <c r="G436">
        <f>MAX(I431,I431,I349,I434,I351,I435,I433)</f>
        <v>709817</v>
      </c>
      <c r="H436">
        <f>'Operations'!I6</f>
        <v>8453</v>
      </c>
      <c r="I436">
        <f>G436+H436</f>
        <v>718270</v>
      </c>
      <c r="J436">
        <f>IF(AND(D436&lt;&gt;"dram",D436&lt;&gt;"control"),H436,0)</f>
        <v>8453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159</v>
      </c>
      <c r="C437" t="s">
        <v>88</v>
      </c>
      <c r="D437" t="s">
        <v>89</v>
      </c>
      <c r="E437" t="s">
        <v>126</v>
      </c>
      <c r="F437">
        <v>0</v>
      </c>
      <c r="G437">
        <f>MAX(I432,I431)</f>
        <v>701364</v>
      </c>
      <c r="H437">
        <f>0</f>
        <v>8453</v>
      </c>
      <c r="I437">
        <f>G437+H437</f>
        <v>709817</v>
      </c>
      <c r="J437">
        <f>IF(AND(D437&lt;&gt;"dram",D437&lt;&gt;"control"),H437,0)</f>
        <v>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160</v>
      </c>
      <c r="C438" t="s">
        <v>92</v>
      </c>
      <c r="D438" t="s">
        <v>83</v>
      </c>
      <c r="E438" t="s">
        <v>126</v>
      </c>
      <c r="F438">
        <v>1024</v>
      </c>
      <c r="G438">
        <f>MAX(I437,I435)</f>
        <v>709817</v>
      </c>
      <c r="H438">
        <f>CEILING((dram_access_latency+F438/dram_bandwidth)*frequency,1)</f>
        <v>116</v>
      </c>
      <c r="I438">
        <f>G438+H438</f>
        <v>709933</v>
      </c>
      <c r="J438">
        <f>IF(AND(D438&lt;&gt;"dram",D438&lt;&gt;"control"),H438,0)</f>
        <v>0</v>
      </c>
      <c r="K438">
        <f>IF(D438="dram",H438,0)</f>
        <v>116</v>
      </c>
      <c r="L438">
        <v>0</v>
      </c>
      <c r="M438">
        <v>1024</v>
      </c>
    </row>
    <row r="439" spans="1:13">
      <c r="A439">
        <v>437</v>
      </c>
      <c r="B439" t="s">
        <v>156</v>
      </c>
      <c r="C439" t="s">
        <v>82</v>
      </c>
      <c r="D439" t="s">
        <v>83</v>
      </c>
      <c r="E439" t="s">
        <v>127</v>
      </c>
      <c r="F439">
        <v>262144</v>
      </c>
      <c r="G439">
        <f>MAX(I437,I438)</f>
        <v>709933</v>
      </c>
      <c r="H439">
        <f>CEILING((dram_access_latency+F439/dram_bandwidth)*frequency,1)</f>
        <v>4196</v>
      </c>
      <c r="I439">
        <f>G439+H439</f>
        <v>714129</v>
      </c>
      <c r="J439">
        <f>IF(AND(D439&lt;&gt;"dram",D439&lt;&gt;"control"),H439,0)</f>
        <v>0</v>
      </c>
      <c r="K439">
        <f>IF(D439="dram",H439,0)</f>
        <v>4196</v>
      </c>
      <c r="L439">
        <v>262144</v>
      </c>
      <c r="M439">
        <v>0</v>
      </c>
    </row>
    <row r="440" spans="1:13">
      <c r="A440">
        <v>438</v>
      </c>
      <c r="B440" t="s">
        <v>158</v>
      </c>
      <c r="C440" t="s">
        <v>82</v>
      </c>
      <c r="D440" t="s">
        <v>83</v>
      </c>
      <c r="E440" t="s">
        <v>127</v>
      </c>
      <c r="F440">
        <v>8192</v>
      </c>
      <c r="G440">
        <f>MAX(I437,I439)</f>
        <v>714129</v>
      </c>
      <c r="H440">
        <f>CEILING((dram_access_latency+F440/dram_bandwidth)*frequency,1)</f>
        <v>228</v>
      </c>
      <c r="I440">
        <f>G440+H440</f>
        <v>714357</v>
      </c>
      <c r="J440">
        <f>IF(AND(D440&lt;&gt;"dram",D440&lt;&gt;"control"),H440,0)</f>
        <v>0</v>
      </c>
      <c r="K440">
        <f>IF(D440="dram",H440,0)</f>
        <v>228</v>
      </c>
      <c r="L440">
        <v>8192</v>
      </c>
      <c r="M440">
        <v>0</v>
      </c>
    </row>
    <row r="441" spans="1:13">
      <c r="A441">
        <v>439</v>
      </c>
      <c r="B441" t="s">
        <v>26</v>
      </c>
      <c r="C441" t="s">
        <v>90</v>
      </c>
      <c r="D441" t="s">
        <v>108</v>
      </c>
      <c r="E441" t="s">
        <v>127</v>
      </c>
      <c r="F441">
        <v>0</v>
      </c>
      <c r="G441">
        <f>MAX(I436,I436,I349,I439,I351,I440,I438)</f>
        <v>718270</v>
      </c>
      <c r="H441">
        <f>'Operations'!I6</f>
        <v>8453</v>
      </c>
      <c r="I441">
        <f>G441+H441</f>
        <v>726723</v>
      </c>
      <c r="J441">
        <f>IF(AND(D441&lt;&gt;"dram",D441&lt;&gt;"control"),H441,0)</f>
        <v>8453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159</v>
      </c>
      <c r="C442" t="s">
        <v>88</v>
      </c>
      <c r="D442" t="s">
        <v>89</v>
      </c>
      <c r="E442" t="s">
        <v>127</v>
      </c>
      <c r="F442">
        <v>0</v>
      </c>
      <c r="G442">
        <f>MAX(I437,I436)</f>
        <v>709817</v>
      </c>
      <c r="H442">
        <f>0</f>
        <v>8453</v>
      </c>
      <c r="I442">
        <f>G442+H442</f>
        <v>718270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160</v>
      </c>
      <c r="C443" t="s">
        <v>92</v>
      </c>
      <c r="D443" t="s">
        <v>83</v>
      </c>
      <c r="E443" t="s">
        <v>127</v>
      </c>
      <c r="F443">
        <v>1024</v>
      </c>
      <c r="G443">
        <f>MAX(I442,I440)</f>
        <v>718270</v>
      </c>
      <c r="H443">
        <f>CEILING((dram_access_latency+F443/dram_bandwidth)*frequency,1)</f>
        <v>116</v>
      </c>
      <c r="I443">
        <f>G443+H443</f>
        <v>718386</v>
      </c>
      <c r="J443">
        <f>IF(AND(D443&lt;&gt;"dram",D443&lt;&gt;"control"),H443,0)</f>
        <v>0</v>
      </c>
      <c r="K443">
        <f>IF(D443="dram",H443,0)</f>
        <v>116</v>
      </c>
      <c r="L443">
        <v>0</v>
      </c>
      <c r="M443">
        <v>1024</v>
      </c>
    </row>
    <row r="444" spans="1:13">
      <c r="A444">
        <v>442</v>
      </c>
      <c r="B444" t="s">
        <v>156</v>
      </c>
      <c r="C444" t="s">
        <v>82</v>
      </c>
      <c r="D444" t="s">
        <v>83</v>
      </c>
      <c r="E444" t="s">
        <v>128</v>
      </c>
      <c r="F444">
        <v>262144</v>
      </c>
      <c r="G444">
        <f>MAX(I442,I443)</f>
        <v>718386</v>
      </c>
      <c r="H444">
        <f>CEILING((dram_access_latency+F444/dram_bandwidth)*frequency,1)</f>
        <v>4196</v>
      </c>
      <c r="I444">
        <f>G444+H444</f>
        <v>722582</v>
      </c>
      <c r="J444">
        <f>IF(AND(D444&lt;&gt;"dram",D444&lt;&gt;"control"),H444,0)</f>
        <v>0</v>
      </c>
      <c r="K444">
        <f>IF(D444="dram",H444,0)</f>
        <v>4196</v>
      </c>
      <c r="L444">
        <v>262144</v>
      </c>
      <c r="M444">
        <v>0</v>
      </c>
    </row>
    <row r="445" spans="1:13">
      <c r="A445">
        <v>443</v>
      </c>
      <c r="B445" t="s">
        <v>158</v>
      </c>
      <c r="C445" t="s">
        <v>82</v>
      </c>
      <c r="D445" t="s">
        <v>83</v>
      </c>
      <c r="E445" t="s">
        <v>128</v>
      </c>
      <c r="F445">
        <v>8192</v>
      </c>
      <c r="G445">
        <f>MAX(I442,I444)</f>
        <v>722582</v>
      </c>
      <c r="H445">
        <f>CEILING((dram_access_latency+F445/dram_bandwidth)*frequency,1)</f>
        <v>228</v>
      </c>
      <c r="I445">
        <f>G445+H445</f>
        <v>722810</v>
      </c>
      <c r="J445">
        <f>IF(AND(D445&lt;&gt;"dram",D445&lt;&gt;"control"),H445,0)</f>
        <v>0</v>
      </c>
      <c r="K445">
        <f>IF(D445="dram",H445,0)</f>
        <v>228</v>
      </c>
      <c r="L445">
        <v>8192</v>
      </c>
      <c r="M445">
        <v>0</v>
      </c>
    </row>
    <row r="446" spans="1:13">
      <c r="A446">
        <v>444</v>
      </c>
      <c r="B446" t="s">
        <v>26</v>
      </c>
      <c r="C446" t="s">
        <v>90</v>
      </c>
      <c r="D446" t="s">
        <v>108</v>
      </c>
      <c r="E446" t="s">
        <v>128</v>
      </c>
      <c r="F446">
        <v>0</v>
      </c>
      <c r="G446">
        <f>MAX(I441,I441,I349,I444,I351,I445,I443)</f>
        <v>726723</v>
      </c>
      <c r="H446">
        <f>'Operations'!I6</f>
        <v>8453</v>
      </c>
      <c r="I446">
        <f>G446+H446</f>
        <v>735176</v>
      </c>
      <c r="J446">
        <f>IF(AND(D446&lt;&gt;"dram",D446&lt;&gt;"control"),H446,0)</f>
        <v>8453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159</v>
      </c>
      <c r="C447" t="s">
        <v>88</v>
      </c>
      <c r="D447" t="s">
        <v>89</v>
      </c>
      <c r="E447" t="s">
        <v>128</v>
      </c>
      <c r="F447">
        <v>0</v>
      </c>
      <c r="G447">
        <f>MAX(I442,I441)</f>
        <v>718270</v>
      </c>
      <c r="H447">
        <f>0</f>
        <v>8453</v>
      </c>
      <c r="I447">
        <f>G447+H447</f>
        <v>726723</v>
      </c>
      <c r="J447">
        <f>IF(AND(D447&lt;&gt;"dram",D447&lt;&gt;"control"),H447,0)</f>
        <v>0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160</v>
      </c>
      <c r="C448" t="s">
        <v>92</v>
      </c>
      <c r="D448" t="s">
        <v>83</v>
      </c>
      <c r="E448" t="s">
        <v>128</v>
      </c>
      <c r="F448">
        <v>1024</v>
      </c>
      <c r="G448">
        <f>MAX(I447,I445)</f>
        <v>726723</v>
      </c>
      <c r="H448">
        <f>CEILING((dram_access_latency+F448/dram_bandwidth)*frequency,1)</f>
        <v>116</v>
      </c>
      <c r="I448">
        <f>G448+H448</f>
        <v>726839</v>
      </c>
      <c r="J448">
        <f>IF(AND(D448&lt;&gt;"dram",D448&lt;&gt;"control"),H448,0)</f>
        <v>0</v>
      </c>
      <c r="K448">
        <f>IF(D448="dram",H448,0)</f>
        <v>116</v>
      </c>
      <c r="L448">
        <v>0</v>
      </c>
      <c r="M448">
        <v>1024</v>
      </c>
    </row>
    <row r="449" spans="1:13">
      <c r="A449">
        <v>447</v>
      </c>
      <c r="B449" t="s">
        <v>156</v>
      </c>
      <c r="C449" t="s">
        <v>82</v>
      </c>
      <c r="D449" t="s">
        <v>83</v>
      </c>
      <c r="E449" t="s">
        <v>129</v>
      </c>
      <c r="F449">
        <v>262144</v>
      </c>
      <c r="G449">
        <f>MAX(I447,I448)</f>
        <v>726839</v>
      </c>
      <c r="H449">
        <f>CEILING((dram_access_latency+F449/dram_bandwidth)*frequency,1)</f>
        <v>4196</v>
      </c>
      <c r="I449">
        <f>G449+H449</f>
        <v>731035</v>
      </c>
      <c r="J449">
        <f>IF(AND(D449&lt;&gt;"dram",D449&lt;&gt;"control"),H449,0)</f>
        <v>0</v>
      </c>
      <c r="K449">
        <f>IF(D449="dram",H449,0)</f>
        <v>4196</v>
      </c>
      <c r="L449">
        <v>262144</v>
      </c>
      <c r="M449">
        <v>0</v>
      </c>
    </row>
    <row r="450" spans="1:13">
      <c r="A450">
        <v>448</v>
      </c>
      <c r="B450" t="s">
        <v>158</v>
      </c>
      <c r="C450" t="s">
        <v>82</v>
      </c>
      <c r="D450" t="s">
        <v>83</v>
      </c>
      <c r="E450" t="s">
        <v>129</v>
      </c>
      <c r="F450">
        <v>8192</v>
      </c>
      <c r="G450">
        <f>MAX(I447,I449)</f>
        <v>731035</v>
      </c>
      <c r="H450">
        <f>CEILING((dram_access_latency+F450/dram_bandwidth)*frequency,1)</f>
        <v>228</v>
      </c>
      <c r="I450">
        <f>G450+H450</f>
        <v>731263</v>
      </c>
      <c r="J450">
        <f>IF(AND(D450&lt;&gt;"dram",D450&lt;&gt;"control"),H450,0)</f>
        <v>0</v>
      </c>
      <c r="K450">
        <f>IF(D450="dram",H450,0)</f>
        <v>228</v>
      </c>
      <c r="L450">
        <v>8192</v>
      </c>
      <c r="M450">
        <v>0</v>
      </c>
    </row>
    <row r="451" spans="1:13">
      <c r="A451">
        <v>449</v>
      </c>
      <c r="B451" t="s">
        <v>26</v>
      </c>
      <c r="C451" t="s">
        <v>90</v>
      </c>
      <c r="D451" t="s">
        <v>108</v>
      </c>
      <c r="E451" t="s">
        <v>129</v>
      </c>
      <c r="F451">
        <v>0</v>
      </c>
      <c r="G451">
        <f>MAX(I446,I446,I349,I449,I351,I450,I448)</f>
        <v>735176</v>
      </c>
      <c r="H451">
        <f>'Operations'!I6</f>
        <v>8453</v>
      </c>
      <c r="I451">
        <f>G451+H451</f>
        <v>743629</v>
      </c>
      <c r="J451">
        <f>IF(AND(D451&lt;&gt;"dram",D451&lt;&gt;"control"),H451,0)</f>
        <v>8453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159</v>
      </c>
      <c r="C452" t="s">
        <v>88</v>
      </c>
      <c r="D452" t="s">
        <v>89</v>
      </c>
      <c r="E452" t="s">
        <v>129</v>
      </c>
      <c r="F452">
        <v>0</v>
      </c>
      <c r="G452">
        <f>MAX(I447,I446)</f>
        <v>726723</v>
      </c>
      <c r="H452">
        <f>0</f>
        <v>8453</v>
      </c>
      <c r="I452">
        <f>G452+H452</f>
        <v>735176</v>
      </c>
      <c r="J452">
        <f>IF(AND(D452&lt;&gt;"dram",D452&lt;&gt;"control"),H452,0)</f>
        <v>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160</v>
      </c>
      <c r="C453" t="s">
        <v>92</v>
      </c>
      <c r="D453" t="s">
        <v>83</v>
      </c>
      <c r="E453" t="s">
        <v>129</v>
      </c>
      <c r="F453">
        <v>1024</v>
      </c>
      <c r="G453">
        <f>MAX(I452,I450)</f>
        <v>735176</v>
      </c>
      <c r="H453">
        <f>CEILING((dram_access_latency+F453/dram_bandwidth)*frequency,1)</f>
        <v>116</v>
      </c>
      <c r="I453">
        <f>G453+H453</f>
        <v>735292</v>
      </c>
      <c r="J453">
        <f>IF(AND(D453&lt;&gt;"dram",D453&lt;&gt;"control"),H453,0)</f>
        <v>0</v>
      </c>
      <c r="K453">
        <f>IF(D453="dram",H453,0)</f>
        <v>116</v>
      </c>
      <c r="L453">
        <v>0</v>
      </c>
      <c r="M453">
        <v>1024</v>
      </c>
    </row>
    <row r="454" spans="1:13">
      <c r="A454">
        <v>452</v>
      </c>
      <c r="B454" t="s">
        <v>156</v>
      </c>
      <c r="C454" t="s">
        <v>82</v>
      </c>
      <c r="D454" t="s">
        <v>83</v>
      </c>
      <c r="E454" t="s">
        <v>130</v>
      </c>
      <c r="F454">
        <v>262144</v>
      </c>
      <c r="G454">
        <f>MAX(I452,I453)</f>
        <v>735292</v>
      </c>
      <c r="H454">
        <f>CEILING((dram_access_latency+F454/dram_bandwidth)*frequency,1)</f>
        <v>4196</v>
      </c>
      <c r="I454">
        <f>G454+H454</f>
        <v>739488</v>
      </c>
      <c r="J454">
        <f>IF(AND(D454&lt;&gt;"dram",D454&lt;&gt;"control"),H454,0)</f>
        <v>0</v>
      </c>
      <c r="K454">
        <f>IF(D454="dram",H454,0)</f>
        <v>4196</v>
      </c>
      <c r="L454">
        <v>262144</v>
      </c>
      <c r="M454">
        <v>0</v>
      </c>
    </row>
    <row r="455" spans="1:13">
      <c r="A455">
        <v>453</v>
      </c>
      <c r="B455" t="s">
        <v>158</v>
      </c>
      <c r="C455" t="s">
        <v>82</v>
      </c>
      <c r="D455" t="s">
        <v>83</v>
      </c>
      <c r="E455" t="s">
        <v>130</v>
      </c>
      <c r="F455">
        <v>8192</v>
      </c>
      <c r="G455">
        <f>MAX(I452,I454)</f>
        <v>739488</v>
      </c>
      <c r="H455">
        <f>CEILING((dram_access_latency+F455/dram_bandwidth)*frequency,1)</f>
        <v>228</v>
      </c>
      <c r="I455">
        <f>G455+H455</f>
        <v>739716</v>
      </c>
      <c r="J455">
        <f>IF(AND(D455&lt;&gt;"dram",D455&lt;&gt;"control"),H455,0)</f>
        <v>0</v>
      </c>
      <c r="K455">
        <f>IF(D455="dram",H455,0)</f>
        <v>228</v>
      </c>
      <c r="L455">
        <v>8192</v>
      </c>
      <c r="M455">
        <v>0</v>
      </c>
    </row>
    <row r="456" spans="1:13">
      <c r="A456">
        <v>454</v>
      </c>
      <c r="B456" t="s">
        <v>26</v>
      </c>
      <c r="C456" t="s">
        <v>90</v>
      </c>
      <c r="D456" t="s">
        <v>108</v>
      </c>
      <c r="E456" t="s">
        <v>130</v>
      </c>
      <c r="F456">
        <v>0</v>
      </c>
      <c r="G456">
        <f>MAX(I451,I451,I349,I454,I351,I455,I453)</f>
        <v>743629</v>
      </c>
      <c r="H456">
        <f>'Operations'!I6</f>
        <v>8453</v>
      </c>
      <c r="I456">
        <f>G456+H456</f>
        <v>752082</v>
      </c>
      <c r="J456">
        <f>IF(AND(D456&lt;&gt;"dram",D456&lt;&gt;"control"),H456,0)</f>
        <v>8453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159</v>
      </c>
      <c r="C457" t="s">
        <v>88</v>
      </c>
      <c r="D457" t="s">
        <v>89</v>
      </c>
      <c r="E457" t="s">
        <v>130</v>
      </c>
      <c r="F457">
        <v>0</v>
      </c>
      <c r="G457">
        <f>MAX(I452,I451)</f>
        <v>735176</v>
      </c>
      <c r="H457">
        <f>0</f>
        <v>8453</v>
      </c>
      <c r="I457">
        <f>G457+H457</f>
        <v>743629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160</v>
      </c>
      <c r="C458" t="s">
        <v>92</v>
      </c>
      <c r="D458" t="s">
        <v>83</v>
      </c>
      <c r="E458" t="s">
        <v>130</v>
      </c>
      <c r="F458">
        <v>1024</v>
      </c>
      <c r="G458">
        <f>MAX(I457,I455)</f>
        <v>743629</v>
      </c>
      <c r="H458">
        <f>CEILING((dram_access_latency+F458/dram_bandwidth)*frequency,1)</f>
        <v>116</v>
      </c>
      <c r="I458">
        <f>G458+H458</f>
        <v>743745</v>
      </c>
      <c r="J458">
        <f>IF(AND(D458&lt;&gt;"dram",D458&lt;&gt;"control"),H458,0)</f>
        <v>0</v>
      </c>
      <c r="K458">
        <f>IF(D458="dram",H458,0)</f>
        <v>116</v>
      </c>
      <c r="L458">
        <v>0</v>
      </c>
      <c r="M458">
        <v>1024</v>
      </c>
    </row>
    <row r="459" spans="1:13">
      <c r="A459">
        <v>457</v>
      </c>
      <c r="B459" t="s">
        <v>156</v>
      </c>
      <c r="C459" t="s">
        <v>82</v>
      </c>
      <c r="D459" t="s">
        <v>83</v>
      </c>
      <c r="E459" t="s">
        <v>131</v>
      </c>
      <c r="F459">
        <v>262144</v>
      </c>
      <c r="G459">
        <f>MAX(I457,I458)</f>
        <v>743745</v>
      </c>
      <c r="H459">
        <f>CEILING((dram_access_latency+F459/dram_bandwidth)*frequency,1)</f>
        <v>4196</v>
      </c>
      <c r="I459">
        <f>G459+H459</f>
        <v>747941</v>
      </c>
      <c r="J459">
        <f>IF(AND(D459&lt;&gt;"dram",D459&lt;&gt;"control"),H459,0)</f>
        <v>0</v>
      </c>
      <c r="K459">
        <f>IF(D459="dram",H459,0)</f>
        <v>4196</v>
      </c>
      <c r="L459">
        <v>262144</v>
      </c>
      <c r="M459">
        <v>0</v>
      </c>
    </row>
    <row r="460" spans="1:13">
      <c r="A460">
        <v>458</v>
      </c>
      <c r="B460" t="s">
        <v>158</v>
      </c>
      <c r="C460" t="s">
        <v>82</v>
      </c>
      <c r="D460" t="s">
        <v>83</v>
      </c>
      <c r="E460" t="s">
        <v>131</v>
      </c>
      <c r="F460">
        <v>8192</v>
      </c>
      <c r="G460">
        <f>MAX(I457,I459)</f>
        <v>747941</v>
      </c>
      <c r="H460">
        <f>CEILING((dram_access_latency+F460/dram_bandwidth)*frequency,1)</f>
        <v>228</v>
      </c>
      <c r="I460">
        <f>G460+H460</f>
        <v>748169</v>
      </c>
      <c r="J460">
        <f>IF(AND(D460&lt;&gt;"dram",D460&lt;&gt;"control"),H460,0)</f>
        <v>0</v>
      </c>
      <c r="K460">
        <f>IF(D460="dram",H460,0)</f>
        <v>228</v>
      </c>
      <c r="L460">
        <v>8192</v>
      </c>
      <c r="M460">
        <v>0</v>
      </c>
    </row>
    <row r="461" spans="1:13">
      <c r="A461">
        <v>459</v>
      </c>
      <c r="B461" t="s">
        <v>26</v>
      </c>
      <c r="C461" t="s">
        <v>90</v>
      </c>
      <c r="D461" t="s">
        <v>108</v>
      </c>
      <c r="E461" t="s">
        <v>131</v>
      </c>
      <c r="F461">
        <v>0</v>
      </c>
      <c r="G461">
        <f>MAX(I456,I456,I349,I459,I351,I460,I458)</f>
        <v>752082</v>
      </c>
      <c r="H461">
        <f>'Operations'!I6</f>
        <v>8453</v>
      </c>
      <c r="I461">
        <f>G461+H461</f>
        <v>760535</v>
      </c>
      <c r="J461">
        <f>IF(AND(D461&lt;&gt;"dram",D461&lt;&gt;"control"),H461,0)</f>
        <v>8453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159</v>
      </c>
      <c r="C462" t="s">
        <v>88</v>
      </c>
      <c r="D462" t="s">
        <v>89</v>
      </c>
      <c r="E462" t="s">
        <v>131</v>
      </c>
      <c r="F462">
        <v>0</v>
      </c>
      <c r="G462">
        <f>MAX(I457,I456)</f>
        <v>743629</v>
      </c>
      <c r="H462">
        <f>0</f>
        <v>8453</v>
      </c>
      <c r="I462">
        <f>G462+H462</f>
        <v>752082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160</v>
      </c>
      <c r="C463" t="s">
        <v>92</v>
      </c>
      <c r="D463" t="s">
        <v>83</v>
      </c>
      <c r="E463" t="s">
        <v>131</v>
      </c>
      <c r="F463">
        <v>1024</v>
      </c>
      <c r="G463">
        <f>MAX(I462,I460)</f>
        <v>752082</v>
      </c>
      <c r="H463">
        <f>CEILING((dram_access_latency+F463/dram_bandwidth)*frequency,1)</f>
        <v>116</v>
      </c>
      <c r="I463">
        <f>G463+H463</f>
        <v>752198</v>
      </c>
      <c r="J463">
        <f>IF(AND(D463&lt;&gt;"dram",D463&lt;&gt;"control"),H463,0)</f>
        <v>0</v>
      </c>
      <c r="K463">
        <f>IF(D463="dram",H463,0)</f>
        <v>116</v>
      </c>
      <c r="L463">
        <v>0</v>
      </c>
      <c r="M463">
        <v>1024</v>
      </c>
    </row>
    <row r="464" spans="1:13">
      <c r="A464">
        <v>462</v>
      </c>
      <c r="B464" t="s">
        <v>156</v>
      </c>
      <c r="C464" t="s">
        <v>82</v>
      </c>
      <c r="D464" t="s">
        <v>83</v>
      </c>
      <c r="E464" t="s">
        <v>132</v>
      </c>
      <c r="F464">
        <v>262144</v>
      </c>
      <c r="G464">
        <f>MAX(I462,I463)</f>
        <v>752198</v>
      </c>
      <c r="H464">
        <f>CEILING((dram_access_latency+F464/dram_bandwidth)*frequency,1)</f>
        <v>4196</v>
      </c>
      <c r="I464">
        <f>G464+H464</f>
        <v>756394</v>
      </c>
      <c r="J464">
        <f>IF(AND(D464&lt;&gt;"dram",D464&lt;&gt;"control"),H464,0)</f>
        <v>0</v>
      </c>
      <c r="K464">
        <f>IF(D464="dram",H464,0)</f>
        <v>4196</v>
      </c>
      <c r="L464">
        <v>262144</v>
      </c>
      <c r="M464">
        <v>0</v>
      </c>
    </row>
    <row r="465" spans="1:13">
      <c r="A465">
        <v>463</v>
      </c>
      <c r="B465" t="s">
        <v>158</v>
      </c>
      <c r="C465" t="s">
        <v>82</v>
      </c>
      <c r="D465" t="s">
        <v>83</v>
      </c>
      <c r="E465" t="s">
        <v>132</v>
      </c>
      <c r="F465">
        <v>8192</v>
      </c>
      <c r="G465">
        <f>MAX(I462,I464)</f>
        <v>756394</v>
      </c>
      <c r="H465">
        <f>CEILING((dram_access_latency+F465/dram_bandwidth)*frequency,1)</f>
        <v>228</v>
      </c>
      <c r="I465">
        <f>G465+H465</f>
        <v>756622</v>
      </c>
      <c r="J465">
        <f>IF(AND(D465&lt;&gt;"dram",D465&lt;&gt;"control"),H465,0)</f>
        <v>0</v>
      </c>
      <c r="K465">
        <f>IF(D465="dram",H465,0)</f>
        <v>228</v>
      </c>
      <c r="L465">
        <v>8192</v>
      </c>
      <c r="M465">
        <v>0</v>
      </c>
    </row>
    <row r="466" spans="1:13">
      <c r="A466">
        <v>464</v>
      </c>
      <c r="B466" t="s">
        <v>26</v>
      </c>
      <c r="C466" t="s">
        <v>90</v>
      </c>
      <c r="D466" t="s">
        <v>108</v>
      </c>
      <c r="E466" t="s">
        <v>132</v>
      </c>
      <c r="F466">
        <v>0</v>
      </c>
      <c r="G466">
        <f>MAX(I461,I461,I349,I464,I351,I465,I463)</f>
        <v>760535</v>
      </c>
      <c r="H466">
        <f>'Operations'!I6</f>
        <v>8453</v>
      </c>
      <c r="I466">
        <f>G466+H466</f>
        <v>768988</v>
      </c>
      <c r="J466">
        <f>IF(AND(D466&lt;&gt;"dram",D466&lt;&gt;"control"),H466,0)</f>
        <v>8453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159</v>
      </c>
      <c r="C467" t="s">
        <v>88</v>
      </c>
      <c r="D467" t="s">
        <v>89</v>
      </c>
      <c r="E467" t="s">
        <v>132</v>
      </c>
      <c r="F467">
        <v>0</v>
      </c>
      <c r="G467">
        <f>MAX(I462,I461)</f>
        <v>752082</v>
      </c>
      <c r="H467">
        <f>0</f>
        <v>8453</v>
      </c>
      <c r="I467">
        <f>G467+H467</f>
        <v>760535</v>
      </c>
      <c r="J467">
        <f>IF(AND(D467&lt;&gt;"dram",D467&lt;&gt;"control"),H467,0)</f>
        <v>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160</v>
      </c>
      <c r="C468" t="s">
        <v>92</v>
      </c>
      <c r="D468" t="s">
        <v>83</v>
      </c>
      <c r="E468" t="s">
        <v>132</v>
      </c>
      <c r="F468">
        <v>1024</v>
      </c>
      <c r="G468">
        <f>MAX(I467,I465)</f>
        <v>760535</v>
      </c>
      <c r="H468">
        <f>CEILING((dram_access_latency+F468/dram_bandwidth)*frequency,1)</f>
        <v>116</v>
      </c>
      <c r="I468">
        <f>G468+H468</f>
        <v>760651</v>
      </c>
      <c r="J468">
        <f>IF(AND(D468&lt;&gt;"dram",D468&lt;&gt;"control"),H468,0)</f>
        <v>0</v>
      </c>
      <c r="K468">
        <f>IF(D468="dram",H468,0)</f>
        <v>116</v>
      </c>
      <c r="L468">
        <v>0</v>
      </c>
      <c r="M468">
        <v>1024</v>
      </c>
    </row>
    <row r="469" spans="1:13">
      <c r="A469">
        <v>467</v>
      </c>
      <c r="B469" t="s">
        <v>156</v>
      </c>
      <c r="C469" t="s">
        <v>82</v>
      </c>
      <c r="D469" t="s">
        <v>83</v>
      </c>
      <c r="E469" t="s">
        <v>133</v>
      </c>
      <c r="F469">
        <v>262144</v>
      </c>
      <c r="G469">
        <f>MAX(I467,I468)</f>
        <v>760651</v>
      </c>
      <c r="H469">
        <f>CEILING((dram_access_latency+F469/dram_bandwidth)*frequency,1)</f>
        <v>4196</v>
      </c>
      <c r="I469">
        <f>G469+H469</f>
        <v>764847</v>
      </c>
      <c r="J469">
        <f>IF(AND(D469&lt;&gt;"dram",D469&lt;&gt;"control"),H469,0)</f>
        <v>0</v>
      </c>
      <c r="K469">
        <f>IF(D469="dram",H469,0)</f>
        <v>4196</v>
      </c>
      <c r="L469">
        <v>262144</v>
      </c>
      <c r="M469">
        <v>0</v>
      </c>
    </row>
    <row r="470" spans="1:13">
      <c r="A470">
        <v>468</v>
      </c>
      <c r="B470" t="s">
        <v>158</v>
      </c>
      <c r="C470" t="s">
        <v>82</v>
      </c>
      <c r="D470" t="s">
        <v>83</v>
      </c>
      <c r="E470" t="s">
        <v>133</v>
      </c>
      <c r="F470">
        <v>8192</v>
      </c>
      <c r="G470">
        <f>MAX(I467,I469)</f>
        <v>764847</v>
      </c>
      <c r="H470">
        <f>CEILING((dram_access_latency+F470/dram_bandwidth)*frequency,1)</f>
        <v>228</v>
      </c>
      <c r="I470">
        <f>G470+H470</f>
        <v>765075</v>
      </c>
      <c r="J470">
        <f>IF(AND(D470&lt;&gt;"dram",D470&lt;&gt;"control"),H470,0)</f>
        <v>0</v>
      </c>
      <c r="K470">
        <f>IF(D470="dram",H470,0)</f>
        <v>228</v>
      </c>
      <c r="L470">
        <v>8192</v>
      </c>
      <c r="M470">
        <v>0</v>
      </c>
    </row>
    <row r="471" spans="1:13">
      <c r="A471">
        <v>469</v>
      </c>
      <c r="B471" t="s">
        <v>26</v>
      </c>
      <c r="C471" t="s">
        <v>90</v>
      </c>
      <c r="D471" t="s">
        <v>108</v>
      </c>
      <c r="E471" t="s">
        <v>133</v>
      </c>
      <c r="F471">
        <v>0</v>
      </c>
      <c r="G471">
        <f>MAX(I466,I466,I349,I469,I351,I470,I468)</f>
        <v>768988</v>
      </c>
      <c r="H471">
        <f>'Operations'!I6</f>
        <v>8453</v>
      </c>
      <c r="I471">
        <f>G471+H471</f>
        <v>777441</v>
      </c>
      <c r="J471">
        <f>IF(AND(D471&lt;&gt;"dram",D471&lt;&gt;"control"),H471,0)</f>
        <v>8453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159</v>
      </c>
      <c r="C472" t="s">
        <v>88</v>
      </c>
      <c r="D472" t="s">
        <v>89</v>
      </c>
      <c r="E472" t="s">
        <v>133</v>
      </c>
      <c r="F472">
        <v>0</v>
      </c>
      <c r="G472">
        <f>MAX(I467,I466)</f>
        <v>760535</v>
      </c>
      <c r="H472">
        <f>0</f>
        <v>8453</v>
      </c>
      <c r="I472">
        <f>G472+H472</f>
        <v>768988</v>
      </c>
      <c r="J472">
        <f>IF(AND(D472&lt;&gt;"dram",D472&lt;&gt;"control"),H472,0)</f>
        <v>0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160</v>
      </c>
      <c r="C473" t="s">
        <v>92</v>
      </c>
      <c r="D473" t="s">
        <v>83</v>
      </c>
      <c r="E473" t="s">
        <v>133</v>
      </c>
      <c r="F473">
        <v>1024</v>
      </c>
      <c r="G473">
        <f>MAX(I472,I470)</f>
        <v>768988</v>
      </c>
      <c r="H473">
        <f>CEILING((dram_access_latency+F473/dram_bandwidth)*frequency,1)</f>
        <v>116</v>
      </c>
      <c r="I473">
        <f>G473+H473</f>
        <v>769104</v>
      </c>
      <c r="J473">
        <f>IF(AND(D473&lt;&gt;"dram",D473&lt;&gt;"control"),H473,0)</f>
        <v>0</v>
      </c>
      <c r="K473">
        <f>IF(D473="dram",H473,0)</f>
        <v>116</v>
      </c>
      <c r="L473">
        <v>0</v>
      </c>
      <c r="M473">
        <v>1024</v>
      </c>
    </row>
    <row r="474" spans="1:13">
      <c r="A474">
        <v>472</v>
      </c>
      <c r="B474" t="s">
        <v>156</v>
      </c>
      <c r="C474" t="s">
        <v>82</v>
      </c>
      <c r="D474" t="s">
        <v>83</v>
      </c>
      <c r="E474" t="s">
        <v>134</v>
      </c>
      <c r="F474">
        <v>262144</v>
      </c>
      <c r="G474">
        <f>MAX(I472,I473)</f>
        <v>769104</v>
      </c>
      <c r="H474">
        <f>CEILING((dram_access_latency+F474/dram_bandwidth)*frequency,1)</f>
        <v>4196</v>
      </c>
      <c r="I474">
        <f>G474+H474</f>
        <v>773300</v>
      </c>
      <c r="J474">
        <f>IF(AND(D474&lt;&gt;"dram",D474&lt;&gt;"control"),H474,0)</f>
        <v>0</v>
      </c>
      <c r="K474">
        <f>IF(D474="dram",H474,0)</f>
        <v>4196</v>
      </c>
      <c r="L474">
        <v>262144</v>
      </c>
      <c r="M474">
        <v>0</v>
      </c>
    </row>
    <row r="475" spans="1:13">
      <c r="A475">
        <v>473</v>
      </c>
      <c r="B475" t="s">
        <v>158</v>
      </c>
      <c r="C475" t="s">
        <v>82</v>
      </c>
      <c r="D475" t="s">
        <v>83</v>
      </c>
      <c r="E475" t="s">
        <v>134</v>
      </c>
      <c r="F475">
        <v>8192</v>
      </c>
      <c r="G475">
        <f>MAX(I472,I474)</f>
        <v>773300</v>
      </c>
      <c r="H475">
        <f>CEILING((dram_access_latency+F475/dram_bandwidth)*frequency,1)</f>
        <v>228</v>
      </c>
      <c r="I475">
        <f>G475+H475</f>
        <v>773528</v>
      </c>
      <c r="J475">
        <f>IF(AND(D475&lt;&gt;"dram",D475&lt;&gt;"control"),H475,0)</f>
        <v>0</v>
      </c>
      <c r="K475">
        <f>IF(D475="dram",H475,0)</f>
        <v>228</v>
      </c>
      <c r="L475">
        <v>8192</v>
      </c>
      <c r="M475">
        <v>0</v>
      </c>
    </row>
    <row r="476" spans="1:13">
      <c r="A476">
        <v>474</v>
      </c>
      <c r="B476" t="s">
        <v>26</v>
      </c>
      <c r="C476" t="s">
        <v>90</v>
      </c>
      <c r="D476" t="s">
        <v>108</v>
      </c>
      <c r="E476" t="s">
        <v>134</v>
      </c>
      <c r="F476">
        <v>0</v>
      </c>
      <c r="G476">
        <f>MAX(I471,I471,I349,I474,I351,I475,I473)</f>
        <v>777441</v>
      </c>
      <c r="H476">
        <f>'Operations'!I6</f>
        <v>8453</v>
      </c>
      <c r="I476">
        <f>G476+H476</f>
        <v>785894</v>
      </c>
      <c r="J476">
        <f>IF(AND(D476&lt;&gt;"dram",D476&lt;&gt;"control"),H476,0)</f>
        <v>8453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159</v>
      </c>
      <c r="C477" t="s">
        <v>88</v>
      </c>
      <c r="D477" t="s">
        <v>89</v>
      </c>
      <c r="E477" t="s">
        <v>134</v>
      </c>
      <c r="F477">
        <v>0</v>
      </c>
      <c r="G477">
        <f>MAX(I472,I471)</f>
        <v>768988</v>
      </c>
      <c r="H477">
        <f>0</f>
        <v>8453</v>
      </c>
      <c r="I477">
        <f>G477+H477</f>
        <v>777441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160</v>
      </c>
      <c r="C478" t="s">
        <v>92</v>
      </c>
      <c r="D478" t="s">
        <v>83</v>
      </c>
      <c r="E478" t="s">
        <v>134</v>
      </c>
      <c r="F478">
        <v>1024</v>
      </c>
      <c r="G478">
        <f>MAX(I477,I475)</f>
        <v>777441</v>
      </c>
      <c r="H478">
        <f>CEILING((dram_access_latency+F478/dram_bandwidth)*frequency,1)</f>
        <v>116</v>
      </c>
      <c r="I478">
        <f>G478+H478</f>
        <v>777557</v>
      </c>
      <c r="J478">
        <f>IF(AND(D478&lt;&gt;"dram",D478&lt;&gt;"control"),H478,0)</f>
        <v>0</v>
      </c>
      <c r="K478">
        <f>IF(D478="dram",H478,0)</f>
        <v>116</v>
      </c>
      <c r="L478">
        <v>0</v>
      </c>
      <c r="M478">
        <v>1024</v>
      </c>
    </row>
    <row r="479" spans="1:13">
      <c r="A479">
        <v>477</v>
      </c>
      <c r="B479" t="s">
        <v>156</v>
      </c>
      <c r="C479" t="s">
        <v>82</v>
      </c>
      <c r="D479" t="s">
        <v>83</v>
      </c>
      <c r="E479" t="s">
        <v>135</v>
      </c>
      <c r="F479">
        <v>262144</v>
      </c>
      <c r="G479">
        <f>MAX(I477,I478)</f>
        <v>777557</v>
      </c>
      <c r="H479">
        <f>CEILING((dram_access_latency+F479/dram_bandwidth)*frequency,1)</f>
        <v>4196</v>
      </c>
      <c r="I479">
        <f>G479+H479</f>
        <v>781753</v>
      </c>
      <c r="J479">
        <f>IF(AND(D479&lt;&gt;"dram",D479&lt;&gt;"control"),H479,0)</f>
        <v>0</v>
      </c>
      <c r="K479">
        <f>IF(D479="dram",H479,0)</f>
        <v>4196</v>
      </c>
      <c r="L479">
        <v>262144</v>
      </c>
      <c r="M479">
        <v>0</v>
      </c>
    </row>
    <row r="480" spans="1:13">
      <c r="A480">
        <v>478</v>
      </c>
      <c r="B480" t="s">
        <v>158</v>
      </c>
      <c r="C480" t="s">
        <v>82</v>
      </c>
      <c r="D480" t="s">
        <v>83</v>
      </c>
      <c r="E480" t="s">
        <v>135</v>
      </c>
      <c r="F480">
        <v>8192</v>
      </c>
      <c r="G480">
        <f>MAX(I477,I479)</f>
        <v>781753</v>
      </c>
      <c r="H480">
        <f>CEILING((dram_access_latency+F480/dram_bandwidth)*frequency,1)</f>
        <v>228</v>
      </c>
      <c r="I480">
        <f>G480+H480</f>
        <v>781981</v>
      </c>
      <c r="J480">
        <f>IF(AND(D480&lt;&gt;"dram",D480&lt;&gt;"control"),H480,0)</f>
        <v>0</v>
      </c>
      <c r="K480">
        <f>IF(D480="dram",H480,0)</f>
        <v>228</v>
      </c>
      <c r="L480">
        <v>8192</v>
      </c>
      <c r="M480">
        <v>0</v>
      </c>
    </row>
    <row r="481" spans="1:13">
      <c r="A481">
        <v>479</v>
      </c>
      <c r="B481" t="s">
        <v>26</v>
      </c>
      <c r="C481" t="s">
        <v>90</v>
      </c>
      <c r="D481" t="s">
        <v>108</v>
      </c>
      <c r="E481" t="s">
        <v>135</v>
      </c>
      <c r="F481">
        <v>0</v>
      </c>
      <c r="G481">
        <f>MAX(I476,I476,I349,I479,I351,I480,I478)</f>
        <v>785894</v>
      </c>
      <c r="H481">
        <f>'Operations'!I6</f>
        <v>8453</v>
      </c>
      <c r="I481">
        <f>G481+H481</f>
        <v>794347</v>
      </c>
      <c r="J481">
        <f>IF(AND(D481&lt;&gt;"dram",D481&lt;&gt;"control"),H481,0)</f>
        <v>8453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159</v>
      </c>
      <c r="C482" t="s">
        <v>88</v>
      </c>
      <c r="D482" t="s">
        <v>89</v>
      </c>
      <c r="E482" t="s">
        <v>135</v>
      </c>
      <c r="F482">
        <v>0</v>
      </c>
      <c r="G482">
        <f>MAX(I477,I476)</f>
        <v>777441</v>
      </c>
      <c r="H482">
        <f>0</f>
        <v>8453</v>
      </c>
      <c r="I482">
        <f>G482+H482</f>
        <v>785894</v>
      </c>
      <c r="J482">
        <f>IF(AND(D482&lt;&gt;"dram",D482&lt;&gt;"control"),H482,0)</f>
        <v>0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160</v>
      </c>
      <c r="C483" t="s">
        <v>92</v>
      </c>
      <c r="D483" t="s">
        <v>83</v>
      </c>
      <c r="E483" t="s">
        <v>135</v>
      </c>
      <c r="F483">
        <v>1024</v>
      </c>
      <c r="G483">
        <f>MAX(I482,I480)</f>
        <v>785894</v>
      </c>
      <c r="H483">
        <f>CEILING((dram_access_latency+F483/dram_bandwidth)*frequency,1)</f>
        <v>116</v>
      </c>
      <c r="I483">
        <f>G483+H483</f>
        <v>786010</v>
      </c>
      <c r="J483">
        <f>IF(AND(D483&lt;&gt;"dram",D483&lt;&gt;"control"),H483,0)</f>
        <v>0</v>
      </c>
      <c r="K483">
        <f>IF(D483="dram",H483,0)</f>
        <v>116</v>
      </c>
      <c r="L483">
        <v>0</v>
      </c>
      <c r="M483">
        <v>1024</v>
      </c>
    </row>
    <row r="484" spans="1:13">
      <c r="A484">
        <v>482</v>
      </c>
      <c r="B484" t="s">
        <v>156</v>
      </c>
      <c r="C484" t="s">
        <v>82</v>
      </c>
      <c r="D484" t="s">
        <v>83</v>
      </c>
      <c r="E484" t="s">
        <v>136</v>
      </c>
      <c r="F484">
        <v>262144</v>
      </c>
      <c r="G484">
        <f>MAX(I482,I483)</f>
        <v>786010</v>
      </c>
      <c r="H484">
        <f>CEILING((dram_access_latency+F484/dram_bandwidth)*frequency,1)</f>
        <v>4196</v>
      </c>
      <c r="I484">
        <f>G484+H484</f>
        <v>790206</v>
      </c>
      <c r="J484">
        <f>IF(AND(D484&lt;&gt;"dram",D484&lt;&gt;"control"),H484,0)</f>
        <v>0</v>
      </c>
      <c r="K484">
        <f>IF(D484="dram",H484,0)</f>
        <v>4196</v>
      </c>
      <c r="L484">
        <v>262144</v>
      </c>
      <c r="M484">
        <v>0</v>
      </c>
    </row>
    <row r="485" spans="1:13">
      <c r="A485">
        <v>483</v>
      </c>
      <c r="B485" t="s">
        <v>158</v>
      </c>
      <c r="C485" t="s">
        <v>82</v>
      </c>
      <c r="D485" t="s">
        <v>83</v>
      </c>
      <c r="E485" t="s">
        <v>136</v>
      </c>
      <c r="F485">
        <v>8192</v>
      </c>
      <c r="G485">
        <f>MAX(I482,I484)</f>
        <v>790206</v>
      </c>
      <c r="H485">
        <f>CEILING((dram_access_latency+F485/dram_bandwidth)*frequency,1)</f>
        <v>228</v>
      </c>
      <c r="I485">
        <f>G485+H485</f>
        <v>790434</v>
      </c>
      <c r="J485">
        <f>IF(AND(D485&lt;&gt;"dram",D485&lt;&gt;"control"),H485,0)</f>
        <v>0</v>
      </c>
      <c r="K485">
        <f>IF(D485="dram",H485,0)</f>
        <v>228</v>
      </c>
      <c r="L485">
        <v>8192</v>
      </c>
      <c r="M485">
        <v>0</v>
      </c>
    </row>
    <row r="486" spans="1:13">
      <c r="A486">
        <v>484</v>
      </c>
      <c r="B486" t="s">
        <v>26</v>
      </c>
      <c r="C486" t="s">
        <v>90</v>
      </c>
      <c r="D486" t="s">
        <v>108</v>
      </c>
      <c r="E486" t="s">
        <v>136</v>
      </c>
      <c r="F486">
        <v>0</v>
      </c>
      <c r="G486">
        <f>MAX(I481,I481,I349,I484,I351,I485,I483)</f>
        <v>794347</v>
      </c>
      <c r="H486">
        <f>'Operations'!I6</f>
        <v>8453</v>
      </c>
      <c r="I486">
        <f>G486+H486</f>
        <v>802800</v>
      </c>
      <c r="J486">
        <f>IF(AND(D486&lt;&gt;"dram",D486&lt;&gt;"control"),H486,0)</f>
        <v>8453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159</v>
      </c>
      <c r="C487" t="s">
        <v>88</v>
      </c>
      <c r="D487" t="s">
        <v>89</v>
      </c>
      <c r="E487" t="s">
        <v>136</v>
      </c>
      <c r="F487">
        <v>0</v>
      </c>
      <c r="G487">
        <f>MAX(I482,I481)</f>
        <v>785894</v>
      </c>
      <c r="H487">
        <f>0</f>
        <v>8453</v>
      </c>
      <c r="I487">
        <f>G487+H487</f>
        <v>794347</v>
      </c>
      <c r="J487">
        <f>IF(AND(D487&lt;&gt;"dram",D487&lt;&gt;"control"),H487,0)</f>
        <v>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160</v>
      </c>
      <c r="C488" t="s">
        <v>92</v>
      </c>
      <c r="D488" t="s">
        <v>83</v>
      </c>
      <c r="E488" t="s">
        <v>136</v>
      </c>
      <c r="F488">
        <v>1024</v>
      </c>
      <c r="G488">
        <f>MAX(I487,I485)</f>
        <v>794347</v>
      </c>
      <c r="H488">
        <f>CEILING((dram_access_latency+F488/dram_bandwidth)*frequency,1)</f>
        <v>116</v>
      </c>
      <c r="I488">
        <f>G488+H488</f>
        <v>794463</v>
      </c>
      <c r="J488">
        <f>IF(AND(D488&lt;&gt;"dram",D488&lt;&gt;"control"),H488,0)</f>
        <v>0</v>
      </c>
      <c r="K488">
        <f>IF(D488="dram",H488,0)</f>
        <v>116</v>
      </c>
      <c r="L488">
        <v>0</v>
      </c>
      <c r="M488">
        <v>1024</v>
      </c>
    </row>
    <row r="489" spans="1:13">
      <c r="A489">
        <v>487</v>
      </c>
      <c r="B489" t="s">
        <v>156</v>
      </c>
      <c r="C489" t="s">
        <v>82</v>
      </c>
      <c r="D489" t="s">
        <v>83</v>
      </c>
      <c r="E489" t="s">
        <v>137</v>
      </c>
      <c r="F489">
        <v>262144</v>
      </c>
      <c r="G489">
        <f>MAX(I487,I488)</f>
        <v>794463</v>
      </c>
      <c r="H489">
        <f>CEILING((dram_access_latency+F489/dram_bandwidth)*frequency,1)</f>
        <v>4196</v>
      </c>
      <c r="I489">
        <f>G489+H489</f>
        <v>798659</v>
      </c>
      <c r="J489">
        <f>IF(AND(D489&lt;&gt;"dram",D489&lt;&gt;"control"),H489,0)</f>
        <v>0</v>
      </c>
      <c r="K489">
        <f>IF(D489="dram",H489,0)</f>
        <v>4196</v>
      </c>
      <c r="L489">
        <v>262144</v>
      </c>
      <c r="M489">
        <v>0</v>
      </c>
    </row>
    <row r="490" spans="1:13">
      <c r="A490">
        <v>488</v>
      </c>
      <c r="B490" t="s">
        <v>158</v>
      </c>
      <c r="C490" t="s">
        <v>82</v>
      </c>
      <c r="D490" t="s">
        <v>83</v>
      </c>
      <c r="E490" t="s">
        <v>137</v>
      </c>
      <c r="F490">
        <v>8192</v>
      </c>
      <c r="G490">
        <f>MAX(I487,I489)</f>
        <v>798659</v>
      </c>
      <c r="H490">
        <f>CEILING((dram_access_latency+F490/dram_bandwidth)*frequency,1)</f>
        <v>228</v>
      </c>
      <c r="I490">
        <f>G490+H490</f>
        <v>798887</v>
      </c>
      <c r="J490">
        <f>IF(AND(D490&lt;&gt;"dram",D490&lt;&gt;"control"),H490,0)</f>
        <v>0</v>
      </c>
      <c r="K490">
        <f>IF(D490="dram",H490,0)</f>
        <v>228</v>
      </c>
      <c r="L490">
        <v>8192</v>
      </c>
      <c r="M490">
        <v>0</v>
      </c>
    </row>
    <row r="491" spans="1:13">
      <c r="A491">
        <v>489</v>
      </c>
      <c r="B491" t="s">
        <v>26</v>
      </c>
      <c r="C491" t="s">
        <v>90</v>
      </c>
      <c r="D491" t="s">
        <v>108</v>
      </c>
      <c r="E491" t="s">
        <v>137</v>
      </c>
      <c r="F491">
        <v>0</v>
      </c>
      <c r="G491">
        <f>MAX(I486,I486,I349,I489,I351,I490,I488)</f>
        <v>802800</v>
      </c>
      <c r="H491">
        <f>'Operations'!I6</f>
        <v>8453</v>
      </c>
      <c r="I491">
        <f>G491+H491</f>
        <v>811253</v>
      </c>
      <c r="J491">
        <f>IF(AND(D491&lt;&gt;"dram",D491&lt;&gt;"control"),H491,0)</f>
        <v>8453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159</v>
      </c>
      <c r="C492" t="s">
        <v>88</v>
      </c>
      <c r="D492" t="s">
        <v>89</v>
      </c>
      <c r="E492" t="s">
        <v>137</v>
      </c>
      <c r="F492">
        <v>0</v>
      </c>
      <c r="G492">
        <f>MAX(I487,I486)</f>
        <v>794347</v>
      </c>
      <c r="H492">
        <f>0</f>
        <v>8453</v>
      </c>
      <c r="I492">
        <f>G492+H492</f>
        <v>802800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160</v>
      </c>
      <c r="C493" t="s">
        <v>92</v>
      </c>
      <c r="D493" t="s">
        <v>83</v>
      </c>
      <c r="E493" t="s">
        <v>137</v>
      </c>
      <c r="F493">
        <v>1024</v>
      </c>
      <c r="G493">
        <f>MAX(I492,I490)</f>
        <v>802800</v>
      </c>
      <c r="H493">
        <f>CEILING((dram_access_latency+F493/dram_bandwidth)*frequency,1)</f>
        <v>116</v>
      </c>
      <c r="I493">
        <f>G493+H493</f>
        <v>802916</v>
      </c>
      <c r="J493">
        <f>IF(AND(D493&lt;&gt;"dram",D493&lt;&gt;"control"),H493,0)</f>
        <v>0</v>
      </c>
      <c r="K493">
        <f>IF(D493="dram",H493,0)</f>
        <v>116</v>
      </c>
      <c r="L493">
        <v>0</v>
      </c>
      <c r="M493">
        <v>1024</v>
      </c>
    </row>
    <row r="494" spans="1:13">
      <c r="A494">
        <v>492</v>
      </c>
      <c r="B494" t="s">
        <v>156</v>
      </c>
      <c r="C494" t="s">
        <v>82</v>
      </c>
      <c r="D494" t="s">
        <v>83</v>
      </c>
      <c r="E494" t="s">
        <v>138</v>
      </c>
      <c r="F494">
        <v>262144</v>
      </c>
      <c r="G494">
        <f>MAX(I492,I493)</f>
        <v>802916</v>
      </c>
      <c r="H494">
        <f>CEILING((dram_access_latency+F494/dram_bandwidth)*frequency,1)</f>
        <v>4196</v>
      </c>
      <c r="I494">
        <f>G494+H494</f>
        <v>807112</v>
      </c>
      <c r="J494">
        <f>IF(AND(D494&lt;&gt;"dram",D494&lt;&gt;"control"),H494,0)</f>
        <v>0</v>
      </c>
      <c r="K494">
        <f>IF(D494="dram",H494,0)</f>
        <v>4196</v>
      </c>
      <c r="L494">
        <v>262144</v>
      </c>
      <c r="M494">
        <v>0</v>
      </c>
    </row>
    <row r="495" spans="1:13">
      <c r="A495">
        <v>493</v>
      </c>
      <c r="B495" t="s">
        <v>158</v>
      </c>
      <c r="C495" t="s">
        <v>82</v>
      </c>
      <c r="D495" t="s">
        <v>83</v>
      </c>
      <c r="E495" t="s">
        <v>138</v>
      </c>
      <c r="F495">
        <v>8192</v>
      </c>
      <c r="G495">
        <f>MAX(I492,I494)</f>
        <v>807112</v>
      </c>
      <c r="H495">
        <f>CEILING((dram_access_latency+F495/dram_bandwidth)*frequency,1)</f>
        <v>228</v>
      </c>
      <c r="I495">
        <f>G495+H495</f>
        <v>807340</v>
      </c>
      <c r="J495">
        <f>IF(AND(D495&lt;&gt;"dram",D495&lt;&gt;"control"),H495,0)</f>
        <v>0</v>
      </c>
      <c r="K495">
        <f>IF(D495="dram",H495,0)</f>
        <v>228</v>
      </c>
      <c r="L495">
        <v>8192</v>
      </c>
      <c r="M495">
        <v>0</v>
      </c>
    </row>
    <row r="496" spans="1:13">
      <c r="A496">
        <v>494</v>
      </c>
      <c r="B496" t="s">
        <v>26</v>
      </c>
      <c r="C496" t="s">
        <v>90</v>
      </c>
      <c r="D496" t="s">
        <v>108</v>
      </c>
      <c r="E496" t="s">
        <v>138</v>
      </c>
      <c r="F496">
        <v>0</v>
      </c>
      <c r="G496">
        <f>MAX(I491,I491,I349,I494,I351,I495,I493)</f>
        <v>811253</v>
      </c>
      <c r="H496">
        <f>'Operations'!I6</f>
        <v>8453</v>
      </c>
      <c r="I496">
        <f>G496+H496</f>
        <v>819706</v>
      </c>
      <c r="J496">
        <f>IF(AND(D496&lt;&gt;"dram",D496&lt;&gt;"control"),H496,0)</f>
        <v>8453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159</v>
      </c>
      <c r="C497" t="s">
        <v>88</v>
      </c>
      <c r="D497" t="s">
        <v>89</v>
      </c>
      <c r="E497" t="s">
        <v>138</v>
      </c>
      <c r="F497">
        <v>0</v>
      </c>
      <c r="G497">
        <f>MAX(I492,I491)</f>
        <v>802800</v>
      </c>
      <c r="H497">
        <f>0</f>
        <v>8453</v>
      </c>
      <c r="I497">
        <f>G497+H497</f>
        <v>811253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160</v>
      </c>
      <c r="C498" t="s">
        <v>92</v>
      </c>
      <c r="D498" t="s">
        <v>83</v>
      </c>
      <c r="E498" t="s">
        <v>138</v>
      </c>
      <c r="F498">
        <v>1024</v>
      </c>
      <c r="G498">
        <f>MAX(I497,I495)</f>
        <v>811253</v>
      </c>
      <c r="H498">
        <f>CEILING((dram_access_latency+F498/dram_bandwidth)*frequency,1)</f>
        <v>116</v>
      </c>
      <c r="I498">
        <f>G498+H498</f>
        <v>811369</v>
      </c>
      <c r="J498">
        <f>IF(AND(D498&lt;&gt;"dram",D498&lt;&gt;"control"),H498,0)</f>
        <v>0</v>
      </c>
      <c r="K498">
        <f>IF(D498="dram",H498,0)</f>
        <v>116</v>
      </c>
      <c r="L498">
        <v>0</v>
      </c>
      <c r="M498">
        <v>1024</v>
      </c>
    </row>
    <row r="499" spans="1:13">
      <c r="A499">
        <v>497</v>
      </c>
      <c r="B499" t="s">
        <v>156</v>
      </c>
      <c r="C499" t="s">
        <v>82</v>
      </c>
      <c r="D499" t="s">
        <v>83</v>
      </c>
      <c r="E499" t="s">
        <v>139</v>
      </c>
      <c r="F499">
        <v>262144</v>
      </c>
      <c r="G499">
        <f>MAX(I497,I498)</f>
        <v>811369</v>
      </c>
      <c r="H499">
        <f>CEILING((dram_access_latency+F499/dram_bandwidth)*frequency,1)</f>
        <v>4196</v>
      </c>
      <c r="I499">
        <f>G499+H499</f>
        <v>815565</v>
      </c>
      <c r="J499">
        <f>IF(AND(D499&lt;&gt;"dram",D499&lt;&gt;"control"),H499,0)</f>
        <v>0</v>
      </c>
      <c r="K499">
        <f>IF(D499="dram",H499,0)</f>
        <v>4196</v>
      </c>
      <c r="L499">
        <v>262144</v>
      </c>
      <c r="M499">
        <v>0</v>
      </c>
    </row>
    <row r="500" spans="1:13">
      <c r="A500">
        <v>498</v>
      </c>
      <c r="B500" t="s">
        <v>158</v>
      </c>
      <c r="C500" t="s">
        <v>82</v>
      </c>
      <c r="D500" t="s">
        <v>83</v>
      </c>
      <c r="E500" t="s">
        <v>139</v>
      </c>
      <c r="F500">
        <v>8192</v>
      </c>
      <c r="G500">
        <f>MAX(I497,I499)</f>
        <v>815565</v>
      </c>
      <c r="H500">
        <f>CEILING((dram_access_latency+F500/dram_bandwidth)*frequency,1)</f>
        <v>228</v>
      </c>
      <c r="I500">
        <f>G500+H500</f>
        <v>815793</v>
      </c>
      <c r="J500">
        <f>IF(AND(D500&lt;&gt;"dram",D500&lt;&gt;"control"),H500,0)</f>
        <v>0</v>
      </c>
      <c r="K500">
        <f>IF(D500="dram",H500,0)</f>
        <v>228</v>
      </c>
      <c r="L500">
        <v>8192</v>
      </c>
      <c r="M500">
        <v>0</v>
      </c>
    </row>
    <row r="501" spans="1:13">
      <c r="A501">
        <v>499</v>
      </c>
      <c r="B501" t="s">
        <v>26</v>
      </c>
      <c r="C501" t="s">
        <v>90</v>
      </c>
      <c r="D501" t="s">
        <v>108</v>
      </c>
      <c r="E501" t="s">
        <v>139</v>
      </c>
      <c r="F501">
        <v>0</v>
      </c>
      <c r="G501">
        <f>MAX(I496,I496,I349,I499,I351,I500,I498)</f>
        <v>819706</v>
      </c>
      <c r="H501">
        <f>'Operations'!I6</f>
        <v>8453</v>
      </c>
      <c r="I501">
        <f>G501+H501</f>
        <v>828159</v>
      </c>
      <c r="J501">
        <f>IF(AND(D501&lt;&gt;"dram",D501&lt;&gt;"control"),H501,0)</f>
        <v>8453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159</v>
      </c>
      <c r="C502" t="s">
        <v>88</v>
      </c>
      <c r="D502" t="s">
        <v>89</v>
      </c>
      <c r="E502" t="s">
        <v>139</v>
      </c>
      <c r="F502">
        <v>0</v>
      </c>
      <c r="G502">
        <f>MAX(I497,I496)</f>
        <v>811253</v>
      </c>
      <c r="H502">
        <f>0</f>
        <v>8453</v>
      </c>
      <c r="I502">
        <f>G502+H502</f>
        <v>819706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160</v>
      </c>
      <c r="C503" t="s">
        <v>92</v>
      </c>
      <c r="D503" t="s">
        <v>83</v>
      </c>
      <c r="E503" t="s">
        <v>139</v>
      </c>
      <c r="F503">
        <v>1024</v>
      </c>
      <c r="G503">
        <f>MAX(I502,I500)</f>
        <v>819706</v>
      </c>
      <c r="H503">
        <f>CEILING((dram_access_latency+F503/dram_bandwidth)*frequency,1)</f>
        <v>116</v>
      </c>
      <c r="I503">
        <f>G503+H503</f>
        <v>819822</v>
      </c>
      <c r="J503">
        <f>IF(AND(D503&lt;&gt;"dram",D503&lt;&gt;"control"),H503,0)</f>
        <v>0</v>
      </c>
      <c r="K503">
        <f>IF(D503="dram",H503,0)</f>
        <v>116</v>
      </c>
      <c r="L503">
        <v>0</v>
      </c>
      <c r="M503">
        <v>1024</v>
      </c>
    </row>
    <row r="504" spans="1:13">
      <c r="A504">
        <v>502</v>
      </c>
      <c r="B504" t="s">
        <v>156</v>
      </c>
      <c r="C504" t="s">
        <v>82</v>
      </c>
      <c r="D504" t="s">
        <v>83</v>
      </c>
      <c r="E504" t="s">
        <v>140</v>
      </c>
      <c r="F504">
        <v>262144</v>
      </c>
      <c r="G504">
        <f>MAX(I502,I503)</f>
        <v>819822</v>
      </c>
      <c r="H504">
        <f>CEILING((dram_access_latency+F504/dram_bandwidth)*frequency,1)</f>
        <v>4196</v>
      </c>
      <c r="I504">
        <f>G504+H504</f>
        <v>824018</v>
      </c>
      <c r="J504">
        <f>IF(AND(D504&lt;&gt;"dram",D504&lt;&gt;"control"),H504,0)</f>
        <v>0</v>
      </c>
      <c r="K504">
        <f>IF(D504="dram",H504,0)</f>
        <v>4196</v>
      </c>
      <c r="L504">
        <v>262144</v>
      </c>
      <c r="M504">
        <v>0</v>
      </c>
    </row>
    <row r="505" spans="1:13">
      <c r="A505">
        <v>503</v>
      </c>
      <c r="B505" t="s">
        <v>158</v>
      </c>
      <c r="C505" t="s">
        <v>82</v>
      </c>
      <c r="D505" t="s">
        <v>83</v>
      </c>
      <c r="E505" t="s">
        <v>140</v>
      </c>
      <c r="F505">
        <v>8192</v>
      </c>
      <c r="G505">
        <f>MAX(I502,I504)</f>
        <v>824018</v>
      </c>
      <c r="H505">
        <f>CEILING((dram_access_latency+F505/dram_bandwidth)*frequency,1)</f>
        <v>228</v>
      </c>
      <c r="I505">
        <f>G505+H505</f>
        <v>824246</v>
      </c>
      <c r="J505">
        <f>IF(AND(D505&lt;&gt;"dram",D505&lt;&gt;"control"),H505,0)</f>
        <v>0</v>
      </c>
      <c r="K505">
        <f>IF(D505="dram",H505,0)</f>
        <v>228</v>
      </c>
      <c r="L505">
        <v>8192</v>
      </c>
      <c r="M505">
        <v>0</v>
      </c>
    </row>
    <row r="506" spans="1:13">
      <c r="A506">
        <v>504</v>
      </c>
      <c r="B506" t="s">
        <v>26</v>
      </c>
      <c r="C506" t="s">
        <v>90</v>
      </c>
      <c r="D506" t="s">
        <v>108</v>
      </c>
      <c r="E506" t="s">
        <v>140</v>
      </c>
      <c r="F506">
        <v>0</v>
      </c>
      <c r="G506">
        <f>MAX(I501,I501,I349,I504,I351,I505,I503)</f>
        <v>828159</v>
      </c>
      <c r="H506">
        <f>'Operations'!I6</f>
        <v>8453</v>
      </c>
      <c r="I506">
        <f>G506+H506</f>
        <v>836612</v>
      </c>
      <c r="J506">
        <f>IF(AND(D506&lt;&gt;"dram",D506&lt;&gt;"control"),H506,0)</f>
        <v>8453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159</v>
      </c>
      <c r="C507" t="s">
        <v>88</v>
      </c>
      <c r="D507" t="s">
        <v>89</v>
      </c>
      <c r="E507" t="s">
        <v>140</v>
      </c>
      <c r="F507">
        <v>0</v>
      </c>
      <c r="G507">
        <f>MAX(I502,I501)</f>
        <v>819706</v>
      </c>
      <c r="H507">
        <f>0</f>
        <v>8453</v>
      </c>
      <c r="I507">
        <f>G507+H507</f>
        <v>828159</v>
      </c>
      <c r="J507">
        <f>IF(AND(D507&lt;&gt;"dram",D507&lt;&gt;"control"),H507,0)</f>
        <v>0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160</v>
      </c>
      <c r="C508" t="s">
        <v>92</v>
      </c>
      <c r="D508" t="s">
        <v>83</v>
      </c>
      <c r="E508" t="s">
        <v>140</v>
      </c>
      <c r="F508">
        <v>1024</v>
      </c>
      <c r="G508">
        <f>MAX(I507,I505)</f>
        <v>828159</v>
      </c>
      <c r="H508">
        <f>CEILING((dram_access_latency+F508/dram_bandwidth)*frequency,1)</f>
        <v>116</v>
      </c>
      <c r="I508">
        <f>G508+H508</f>
        <v>828275</v>
      </c>
      <c r="J508">
        <f>IF(AND(D508&lt;&gt;"dram",D508&lt;&gt;"control"),H508,0)</f>
        <v>0</v>
      </c>
      <c r="K508">
        <f>IF(D508="dram",H508,0)</f>
        <v>116</v>
      </c>
      <c r="L508">
        <v>0</v>
      </c>
      <c r="M508">
        <v>1024</v>
      </c>
    </row>
    <row r="509" spans="1:13">
      <c r="A509">
        <v>507</v>
      </c>
      <c r="B509" t="s">
        <v>161</v>
      </c>
      <c r="C509" t="s">
        <v>88</v>
      </c>
      <c r="D509" t="s">
        <v>89</v>
      </c>
      <c r="E509" t="s">
        <v>84</v>
      </c>
      <c r="F509">
        <v>0</v>
      </c>
      <c r="G509">
        <f>MAX(I507,I506)</f>
        <v>828159</v>
      </c>
      <c r="H509">
        <f>0</f>
        <v>8453</v>
      </c>
      <c r="I509">
        <f>G509+H509</f>
        <v>836612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162</v>
      </c>
      <c r="C510" t="s">
        <v>92</v>
      </c>
      <c r="D510" t="s">
        <v>83</v>
      </c>
      <c r="E510" t="s">
        <v>84</v>
      </c>
      <c r="F510">
        <v>1024</v>
      </c>
      <c r="G510">
        <f>MAX(I509,I508)</f>
        <v>836612</v>
      </c>
      <c r="H510">
        <f>CEILING((dram_access_latency+F510/dram_bandwidth)*frequency,1)</f>
        <v>116</v>
      </c>
      <c r="I510">
        <f>G510+H510</f>
        <v>836728</v>
      </c>
      <c r="J510">
        <f>IF(AND(D510&lt;&gt;"dram",D510&lt;&gt;"control"),H510,0)</f>
        <v>0</v>
      </c>
      <c r="K510">
        <f>IF(D510="dram",H510,0)</f>
        <v>116</v>
      </c>
      <c r="L510">
        <v>0</v>
      </c>
      <c r="M510">
        <v>1024</v>
      </c>
    </row>
    <row r="511" spans="1:13">
      <c r="A511">
        <v>509</v>
      </c>
      <c r="B511" t="s">
        <v>163</v>
      </c>
      <c r="C511" t="s">
        <v>88</v>
      </c>
      <c r="D511" t="s">
        <v>89</v>
      </c>
      <c r="E511" t="s">
        <v>84</v>
      </c>
      <c r="F511">
        <v>0</v>
      </c>
      <c r="G511">
        <f>MAX(I509,I508)</f>
        <v>836612</v>
      </c>
      <c r="H511">
        <f>0</f>
        <v>0</v>
      </c>
      <c r="I511">
        <f>G511+H511</f>
        <v>836612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164</v>
      </c>
      <c r="C512" t="s">
        <v>88</v>
      </c>
      <c r="D512" t="s">
        <v>89</v>
      </c>
      <c r="E512" t="s">
        <v>84</v>
      </c>
      <c r="F512">
        <v>0</v>
      </c>
      <c r="G512">
        <f>MAX(I511,I510)</f>
        <v>836612</v>
      </c>
      <c r="H512">
        <f>0</f>
        <v>116</v>
      </c>
      <c r="I512">
        <f>G512+H512</f>
        <v>836728</v>
      </c>
      <c r="J512">
        <f>IF(AND(D512&lt;&gt;"dram",D512&lt;&gt;"control"),H512,0)</f>
        <v>0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165</v>
      </c>
      <c r="C513" t="s">
        <v>82</v>
      </c>
      <c r="D513" t="s">
        <v>83</v>
      </c>
      <c r="E513" t="s">
        <v>84</v>
      </c>
      <c r="F513">
        <v>16384</v>
      </c>
      <c r="G513">
        <f>MAX(I512,I510)</f>
        <v>836728</v>
      </c>
      <c r="H513">
        <f>CEILING((dram_access_latency+F513/dram_bandwidth)*frequency,1)</f>
        <v>356</v>
      </c>
      <c r="I513">
        <f>G513+H513</f>
        <v>837084</v>
      </c>
      <c r="J513">
        <f>IF(AND(D513&lt;&gt;"dram",D513&lt;&gt;"control"),H513,0)</f>
        <v>0</v>
      </c>
      <c r="K513">
        <f>IF(D513="dram",H513,0)</f>
        <v>356</v>
      </c>
      <c r="L513">
        <v>16384</v>
      </c>
      <c r="M513">
        <v>0</v>
      </c>
    </row>
    <row r="514" spans="1:13">
      <c r="A514">
        <v>512</v>
      </c>
      <c r="B514" t="s">
        <v>165</v>
      </c>
      <c r="C514" t="s">
        <v>92</v>
      </c>
      <c r="D514" t="s">
        <v>83</v>
      </c>
      <c r="E514" t="s">
        <v>84</v>
      </c>
      <c r="F514">
        <v>16384</v>
      </c>
      <c r="G514">
        <f>MAX(I513,I513)</f>
        <v>837084</v>
      </c>
      <c r="H514">
        <f>CEILING((dram_access_latency+F514/dram_bandwidth)*frequency,1)</f>
        <v>356</v>
      </c>
      <c r="I514">
        <f>G514+H514</f>
        <v>837440</v>
      </c>
      <c r="J514">
        <f>IF(AND(D514&lt;&gt;"dram",D514&lt;&gt;"control"),H514,0)</f>
        <v>0</v>
      </c>
      <c r="K514">
        <f>IF(D514="dram",H514,0)</f>
        <v>356</v>
      </c>
      <c r="L514">
        <v>0</v>
      </c>
      <c r="M514">
        <v>16384</v>
      </c>
    </row>
    <row r="515" spans="1:13">
      <c r="A515">
        <v>513</v>
      </c>
      <c r="B515" t="s">
        <v>166</v>
      </c>
      <c r="C515" t="s">
        <v>82</v>
      </c>
      <c r="D515" t="s">
        <v>83</v>
      </c>
      <c r="E515" t="s">
        <v>84</v>
      </c>
      <c r="F515">
        <v>16384</v>
      </c>
      <c r="G515">
        <f>MAX(I514,I514)</f>
        <v>837440</v>
      </c>
      <c r="H515">
        <f>CEILING((dram_access_latency+F515/dram_bandwidth)*frequency,1)</f>
        <v>356</v>
      </c>
      <c r="I515">
        <f>G515+H515</f>
        <v>837796</v>
      </c>
      <c r="J515">
        <f>IF(AND(D515&lt;&gt;"dram",D515&lt;&gt;"control"),H515,0)</f>
        <v>0</v>
      </c>
      <c r="K515">
        <f>IF(D515="dram",H515,0)</f>
        <v>356</v>
      </c>
      <c r="L515">
        <v>16384</v>
      </c>
      <c r="M515">
        <v>0</v>
      </c>
    </row>
    <row r="516" spans="1:13">
      <c r="A516">
        <v>514</v>
      </c>
      <c r="B516" t="s">
        <v>166</v>
      </c>
      <c r="C516" t="s">
        <v>92</v>
      </c>
      <c r="D516" t="s">
        <v>83</v>
      </c>
      <c r="E516" t="s">
        <v>84</v>
      </c>
      <c r="F516">
        <v>16384</v>
      </c>
      <c r="G516">
        <f>MAX(I515,I515)</f>
        <v>837796</v>
      </c>
      <c r="H516">
        <f>CEILING((dram_access_latency+F516/dram_bandwidth)*frequency,1)</f>
        <v>356</v>
      </c>
      <c r="I516">
        <f>G516+H516</f>
        <v>838152</v>
      </c>
      <c r="J516">
        <f>IF(AND(D516&lt;&gt;"dram",D516&lt;&gt;"control"),H516,0)</f>
        <v>0</v>
      </c>
      <c r="K516">
        <f>IF(D516="dram",H516,0)</f>
        <v>356</v>
      </c>
      <c r="L516">
        <v>0</v>
      </c>
      <c r="M516">
        <v>16384</v>
      </c>
    </row>
    <row r="517" spans="1:13">
      <c r="A517">
        <v>515</v>
      </c>
      <c r="B517" t="s">
        <v>167</v>
      </c>
      <c r="C517" t="s">
        <v>82</v>
      </c>
      <c r="D517" t="s">
        <v>83</v>
      </c>
      <c r="E517" t="s">
        <v>84</v>
      </c>
      <c r="F517">
        <v>8192</v>
      </c>
      <c r="G517">
        <f>MAX(I516,I516)</f>
        <v>838152</v>
      </c>
      <c r="H517">
        <f>CEILING((dram_access_latency+F517/dram_bandwidth)*frequency,1)</f>
        <v>228</v>
      </c>
      <c r="I517">
        <f>G517+H517</f>
        <v>838380</v>
      </c>
      <c r="J517">
        <f>IF(AND(D517&lt;&gt;"dram",D517&lt;&gt;"control"),H517,0)</f>
        <v>0</v>
      </c>
      <c r="K517">
        <f>IF(D517="dram",H517,0)</f>
        <v>228</v>
      </c>
      <c r="L517">
        <v>8192</v>
      </c>
      <c r="M517">
        <v>0</v>
      </c>
    </row>
    <row r="518" spans="1:13">
      <c r="A518">
        <v>516</v>
      </c>
      <c r="B518" t="s">
        <v>168</v>
      </c>
      <c r="C518" t="s">
        <v>82</v>
      </c>
      <c r="D518" t="s">
        <v>83</v>
      </c>
      <c r="E518" t="s">
        <v>86</v>
      </c>
      <c r="F518">
        <v>8192</v>
      </c>
      <c r="G518">
        <f>MAX(I516,I517)</f>
        <v>838380</v>
      </c>
      <c r="H518">
        <f>CEILING((dram_access_latency+F518/dram_bandwidth)*frequency,1)</f>
        <v>228</v>
      </c>
      <c r="I518">
        <f>G518+H518</f>
        <v>838608</v>
      </c>
      <c r="J518">
        <f>IF(AND(D518&lt;&gt;"dram",D518&lt;&gt;"control"),H518,0)</f>
        <v>0</v>
      </c>
      <c r="K518">
        <f>IF(D518="dram",H518,0)</f>
        <v>228</v>
      </c>
      <c r="L518">
        <v>8192</v>
      </c>
      <c r="M518">
        <v>0</v>
      </c>
    </row>
    <row r="519" spans="1:13">
      <c r="A519">
        <v>517</v>
      </c>
      <c r="B519" t="s">
        <v>169</v>
      </c>
      <c r="C519" t="s">
        <v>88</v>
      </c>
      <c r="D519" t="s">
        <v>89</v>
      </c>
      <c r="E519" t="s">
        <v>86</v>
      </c>
      <c r="F519">
        <v>0</v>
      </c>
      <c r="G519">
        <f>MAX(I516,I517)</f>
        <v>838152</v>
      </c>
      <c r="H519">
        <f>0</f>
        <v>228</v>
      </c>
      <c r="I519">
        <f>G519+H519</f>
        <v>838380</v>
      </c>
      <c r="J519">
        <f>IF(AND(D519&lt;&gt;"dram",D519&lt;&gt;"control"),H519,0)</f>
        <v>0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27</v>
      </c>
      <c r="C520" t="s">
        <v>90</v>
      </c>
      <c r="D520" t="s">
        <v>17</v>
      </c>
      <c r="E520" t="s">
        <v>86</v>
      </c>
      <c r="F520">
        <v>0</v>
      </c>
      <c r="G520">
        <f>MAX(I519,I506)</f>
        <v>838380</v>
      </c>
      <c r="H520">
        <f>'Operations'!I7</f>
        <v>192</v>
      </c>
      <c r="I520">
        <f>G520+H520</f>
        <v>838572</v>
      </c>
      <c r="J520">
        <f>IF(AND(D520&lt;&gt;"dram",D520&lt;&gt;"control"),H520,0)</f>
        <v>192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170</v>
      </c>
      <c r="C521" t="s">
        <v>92</v>
      </c>
      <c r="D521" t="s">
        <v>83</v>
      </c>
      <c r="E521" t="s">
        <v>86</v>
      </c>
      <c r="F521">
        <v>8192</v>
      </c>
      <c r="G521">
        <f>MAX(I520,I518)</f>
        <v>838608</v>
      </c>
      <c r="H521">
        <f>CEILING((dram_access_latency+F521/dram_bandwidth)*frequency,1)</f>
        <v>228</v>
      </c>
      <c r="I521">
        <f>G521+H521</f>
        <v>838836</v>
      </c>
      <c r="J521">
        <f>IF(AND(D521&lt;&gt;"dram",D521&lt;&gt;"control"),H521,0)</f>
        <v>0</v>
      </c>
      <c r="K521">
        <f>IF(D521="dram",H521,0)</f>
        <v>228</v>
      </c>
      <c r="L521">
        <v>0</v>
      </c>
      <c r="M521">
        <v>8192</v>
      </c>
    </row>
    <row r="522" spans="1:13">
      <c r="A522">
        <v>520</v>
      </c>
      <c r="B522" t="s">
        <v>169</v>
      </c>
      <c r="C522" t="s">
        <v>88</v>
      </c>
      <c r="D522" t="s">
        <v>89</v>
      </c>
      <c r="E522" t="s">
        <v>93</v>
      </c>
      <c r="F522">
        <v>0</v>
      </c>
      <c r="G522">
        <f>MAX(I520,I518)</f>
        <v>838572</v>
      </c>
      <c r="H522">
        <f>0</f>
        <v>36</v>
      </c>
      <c r="I522">
        <f>G522+H522</f>
        <v>838608</v>
      </c>
      <c r="J522">
        <f>IF(AND(D522&lt;&gt;"dram",D522&lt;&gt;"control"),H522,0)</f>
        <v>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27</v>
      </c>
      <c r="C523" t="s">
        <v>90</v>
      </c>
      <c r="D523" t="s">
        <v>17</v>
      </c>
      <c r="E523" t="s">
        <v>93</v>
      </c>
      <c r="F523">
        <v>0</v>
      </c>
      <c r="G523">
        <f>MAX(I522,I520)</f>
        <v>838608</v>
      </c>
      <c r="H523">
        <f>'Operations'!I7</f>
        <v>192</v>
      </c>
      <c r="I523">
        <f>G523+H523</f>
        <v>838800</v>
      </c>
      <c r="J523">
        <f>IF(AND(D523&lt;&gt;"dram",D523&lt;&gt;"control"),H523,0)</f>
        <v>192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170</v>
      </c>
      <c r="C524" t="s">
        <v>92</v>
      </c>
      <c r="D524" t="s">
        <v>83</v>
      </c>
      <c r="E524" t="s">
        <v>93</v>
      </c>
      <c r="F524">
        <v>8192</v>
      </c>
      <c r="G524">
        <f>MAX(I523,I521)</f>
        <v>838836</v>
      </c>
      <c r="H524">
        <f>CEILING((dram_access_latency+F524/dram_bandwidth)*frequency,1)</f>
        <v>228</v>
      </c>
      <c r="I524">
        <f>G524+H524</f>
        <v>839064</v>
      </c>
      <c r="J524">
        <f>IF(AND(D524&lt;&gt;"dram",D524&lt;&gt;"control"),H524,0)</f>
        <v>0</v>
      </c>
      <c r="K524">
        <f>IF(D524="dram",H524,0)</f>
        <v>228</v>
      </c>
      <c r="L524">
        <v>0</v>
      </c>
      <c r="M524">
        <v>8192</v>
      </c>
    </row>
    <row r="525" spans="1:13">
      <c r="A525">
        <v>523</v>
      </c>
      <c r="B525" t="s">
        <v>171</v>
      </c>
      <c r="C525" t="s">
        <v>88</v>
      </c>
      <c r="D525" t="s">
        <v>89</v>
      </c>
      <c r="E525" t="s">
        <v>84</v>
      </c>
      <c r="F525">
        <v>0</v>
      </c>
      <c r="G525">
        <f>MAX(I523,I521)</f>
        <v>838800</v>
      </c>
      <c r="H525">
        <f>0</f>
        <v>36</v>
      </c>
      <c r="I525">
        <f>G525+H525</f>
        <v>838836</v>
      </c>
      <c r="J525">
        <f>IF(AND(D525&lt;&gt;"dram",D525&lt;&gt;"control"),H525,0)</f>
        <v>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172</v>
      </c>
      <c r="C526" t="s">
        <v>88</v>
      </c>
      <c r="D526" t="s">
        <v>89</v>
      </c>
      <c r="E526" t="s">
        <v>84</v>
      </c>
      <c r="F526">
        <v>0</v>
      </c>
      <c r="G526">
        <f>MAX(I525,I524)</f>
        <v>838836</v>
      </c>
      <c r="H526">
        <f>0</f>
        <v>228</v>
      </c>
      <c r="I526">
        <f>G526+H526</f>
        <v>839064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173</v>
      </c>
      <c r="C527" t="s">
        <v>82</v>
      </c>
      <c r="D527" t="s">
        <v>83</v>
      </c>
      <c r="E527" t="s">
        <v>84</v>
      </c>
      <c r="F527">
        <v>16384</v>
      </c>
      <c r="G527">
        <f>MAX(I526,I524)</f>
        <v>839064</v>
      </c>
      <c r="H527">
        <f>CEILING((dram_access_latency+F527/dram_bandwidth)*frequency,1)</f>
        <v>356</v>
      </c>
      <c r="I527">
        <f>G527+H527</f>
        <v>839420</v>
      </c>
      <c r="J527">
        <f>IF(AND(D527&lt;&gt;"dram",D527&lt;&gt;"control"),H527,0)</f>
        <v>0</v>
      </c>
      <c r="K527">
        <f>IF(D527="dram",H527,0)</f>
        <v>356</v>
      </c>
      <c r="L527">
        <v>16384</v>
      </c>
      <c r="M527">
        <v>0</v>
      </c>
    </row>
    <row r="528" spans="1:13">
      <c r="A528">
        <v>526</v>
      </c>
      <c r="B528" t="s">
        <v>173</v>
      </c>
      <c r="C528" t="s">
        <v>82</v>
      </c>
      <c r="D528" t="s">
        <v>83</v>
      </c>
      <c r="E528" t="s">
        <v>84</v>
      </c>
      <c r="F528">
        <v>16384</v>
      </c>
      <c r="G528">
        <f>MAX(I527,I527)</f>
        <v>839420</v>
      </c>
      <c r="H528">
        <f>CEILING((dram_access_latency+F528/dram_bandwidth)*frequency,1)</f>
        <v>356</v>
      </c>
      <c r="I528">
        <f>G528+H528</f>
        <v>839776</v>
      </c>
      <c r="J528">
        <f>IF(AND(D528&lt;&gt;"dram",D528&lt;&gt;"control"),H528,0)</f>
        <v>0</v>
      </c>
      <c r="K528">
        <f>IF(D528="dram",H528,0)</f>
        <v>356</v>
      </c>
      <c r="L528">
        <v>16384</v>
      </c>
      <c r="M528">
        <v>0</v>
      </c>
    </row>
    <row r="529" spans="1:13">
      <c r="A529">
        <v>527</v>
      </c>
      <c r="B529" t="s">
        <v>173</v>
      </c>
      <c r="C529" t="s">
        <v>92</v>
      </c>
      <c r="D529" t="s">
        <v>83</v>
      </c>
      <c r="E529" t="s">
        <v>84</v>
      </c>
      <c r="F529">
        <v>32768</v>
      </c>
      <c r="G529">
        <f>MAX(I528,I528)</f>
        <v>839776</v>
      </c>
      <c r="H529">
        <f>CEILING((dram_access_latency+F529/dram_bandwidth)*frequency,1)</f>
        <v>612</v>
      </c>
      <c r="I529">
        <f>G529+H529</f>
        <v>840388</v>
      </c>
      <c r="J529">
        <f>IF(AND(D529&lt;&gt;"dram",D529&lt;&gt;"control"),H529,0)</f>
        <v>0</v>
      </c>
      <c r="K529">
        <f>IF(D529="dram",H529,0)</f>
        <v>612</v>
      </c>
      <c r="L529">
        <v>0</v>
      </c>
      <c r="M529">
        <v>32768</v>
      </c>
    </row>
    <row r="530" spans="1:13">
      <c r="A530">
        <v>528</v>
      </c>
      <c r="B530" t="s">
        <v>174</v>
      </c>
      <c r="C530" t="s">
        <v>82</v>
      </c>
      <c r="D530" t="s">
        <v>83</v>
      </c>
      <c r="E530" t="s">
        <v>84</v>
      </c>
      <c r="F530">
        <v>16384</v>
      </c>
      <c r="G530">
        <f>MAX(I529,I529)</f>
        <v>840388</v>
      </c>
      <c r="H530">
        <f>CEILING((dram_access_latency+F530/dram_bandwidth)*frequency,1)</f>
        <v>356</v>
      </c>
      <c r="I530">
        <f>G530+H530</f>
        <v>840744</v>
      </c>
      <c r="J530">
        <f>IF(AND(D530&lt;&gt;"dram",D530&lt;&gt;"control"),H530,0)</f>
        <v>0</v>
      </c>
      <c r="K530">
        <f>IF(D530="dram",H530,0)</f>
        <v>356</v>
      </c>
      <c r="L530">
        <v>16384</v>
      </c>
      <c r="M530">
        <v>0</v>
      </c>
    </row>
    <row r="531" spans="1:13">
      <c r="A531">
        <v>529</v>
      </c>
      <c r="B531" t="s">
        <v>175</v>
      </c>
      <c r="C531" t="s">
        <v>82</v>
      </c>
      <c r="D531" t="s">
        <v>83</v>
      </c>
      <c r="E531" t="s">
        <v>84</v>
      </c>
      <c r="F531">
        <v>1024</v>
      </c>
      <c r="G531">
        <f>MAX(I529,I530)</f>
        <v>840744</v>
      </c>
      <c r="H531">
        <f>CEILING((dram_access_latency+F531/dram_bandwidth)*frequency,1)</f>
        <v>116</v>
      </c>
      <c r="I531">
        <f>G531+H531</f>
        <v>840860</v>
      </c>
      <c r="J531">
        <f>IF(AND(D531&lt;&gt;"dram",D531&lt;&gt;"control"),H531,0)</f>
        <v>0</v>
      </c>
      <c r="K531">
        <f>IF(D531="dram",H531,0)</f>
        <v>116</v>
      </c>
      <c r="L531">
        <v>1024</v>
      </c>
      <c r="M531">
        <v>0</v>
      </c>
    </row>
    <row r="532" spans="1:13">
      <c r="A532">
        <v>530</v>
      </c>
      <c r="B532" t="s">
        <v>176</v>
      </c>
      <c r="C532" t="s">
        <v>82</v>
      </c>
      <c r="D532" t="s">
        <v>83</v>
      </c>
      <c r="E532" t="s">
        <v>86</v>
      </c>
      <c r="F532">
        <v>16384</v>
      </c>
      <c r="G532">
        <f>MAX(I529,I531)</f>
        <v>840860</v>
      </c>
      <c r="H532">
        <f>CEILING((dram_access_latency+F532/dram_bandwidth)*frequency,1)</f>
        <v>356</v>
      </c>
      <c r="I532">
        <f>G532+H532</f>
        <v>841216</v>
      </c>
      <c r="J532">
        <f>IF(AND(D532&lt;&gt;"dram",D532&lt;&gt;"control"),H532,0)</f>
        <v>0</v>
      </c>
      <c r="K532">
        <f>IF(D532="dram",H532,0)</f>
        <v>356</v>
      </c>
      <c r="L532">
        <v>16384</v>
      </c>
      <c r="M532">
        <v>0</v>
      </c>
    </row>
    <row r="533" spans="1:13">
      <c r="A533">
        <v>531</v>
      </c>
      <c r="B533" t="s">
        <v>177</v>
      </c>
      <c r="C533" t="s">
        <v>88</v>
      </c>
      <c r="D533" t="s">
        <v>89</v>
      </c>
      <c r="E533" t="s">
        <v>86</v>
      </c>
      <c r="F533">
        <v>0</v>
      </c>
      <c r="G533">
        <f>MAX(I529,I530)</f>
        <v>840388</v>
      </c>
      <c r="H533">
        <f>0</f>
        <v>356</v>
      </c>
      <c r="I533">
        <f>G533+H533</f>
        <v>840744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178</v>
      </c>
      <c r="C534" t="s">
        <v>88</v>
      </c>
      <c r="D534" t="s">
        <v>89</v>
      </c>
      <c r="E534" t="s">
        <v>86</v>
      </c>
      <c r="F534">
        <v>0</v>
      </c>
      <c r="G534">
        <f>MAX(I533,I531)</f>
        <v>840744</v>
      </c>
      <c r="H534">
        <f>0</f>
        <v>116</v>
      </c>
      <c r="I534">
        <f>G534+H534</f>
        <v>840860</v>
      </c>
      <c r="J534">
        <f>IF(AND(D534&lt;&gt;"dram",D534&lt;&gt;"control"),H534,0)</f>
        <v>0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29</v>
      </c>
      <c r="C535" t="s">
        <v>90</v>
      </c>
      <c r="D535" t="s">
        <v>17</v>
      </c>
      <c r="E535" t="s">
        <v>86</v>
      </c>
      <c r="F535">
        <v>0</v>
      </c>
      <c r="G535">
        <f>MAX(I534,I523)</f>
        <v>840860</v>
      </c>
      <c r="H535">
        <f>'Operations'!I8</f>
        <v>320</v>
      </c>
      <c r="I535">
        <f>G535+H535</f>
        <v>841180</v>
      </c>
      <c r="J535">
        <f>IF(AND(D535&lt;&gt;"dram",D535&lt;&gt;"control"),H535,0)</f>
        <v>320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179</v>
      </c>
      <c r="C536" t="s">
        <v>92</v>
      </c>
      <c r="D536" t="s">
        <v>83</v>
      </c>
      <c r="E536" t="s">
        <v>86</v>
      </c>
      <c r="F536">
        <v>16384</v>
      </c>
      <c r="G536">
        <f>MAX(I535,I532)</f>
        <v>841216</v>
      </c>
      <c r="H536">
        <f>CEILING((dram_access_latency+F536/dram_bandwidth)*frequency,1)</f>
        <v>356</v>
      </c>
      <c r="I536">
        <f>G536+H536</f>
        <v>841572</v>
      </c>
      <c r="J536">
        <f>IF(AND(D536&lt;&gt;"dram",D536&lt;&gt;"control"),H536,0)</f>
        <v>0</v>
      </c>
      <c r="K536">
        <f>IF(D536="dram",H536,0)</f>
        <v>356</v>
      </c>
      <c r="L536">
        <v>0</v>
      </c>
      <c r="M536">
        <v>16384</v>
      </c>
    </row>
    <row r="537" spans="1:13">
      <c r="A537">
        <v>535</v>
      </c>
      <c r="B537" t="s">
        <v>177</v>
      </c>
      <c r="C537" t="s">
        <v>88</v>
      </c>
      <c r="D537" t="s">
        <v>89</v>
      </c>
      <c r="E537" t="s">
        <v>93</v>
      </c>
      <c r="F537">
        <v>0</v>
      </c>
      <c r="G537">
        <f>MAX(I535,I532)</f>
        <v>841180</v>
      </c>
      <c r="H537">
        <f>0</f>
        <v>36</v>
      </c>
      <c r="I537">
        <f>G537+H537</f>
        <v>841216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29</v>
      </c>
      <c r="C538" t="s">
        <v>90</v>
      </c>
      <c r="D538" t="s">
        <v>17</v>
      </c>
      <c r="E538" t="s">
        <v>93</v>
      </c>
      <c r="F538">
        <v>0</v>
      </c>
      <c r="G538">
        <f>MAX(I537,I535)</f>
        <v>841216</v>
      </c>
      <c r="H538">
        <f>'Operations'!I8</f>
        <v>320</v>
      </c>
      <c r="I538">
        <f>G538+H538</f>
        <v>841536</v>
      </c>
      <c r="J538">
        <f>IF(AND(D538&lt;&gt;"dram",D538&lt;&gt;"control"),H538,0)</f>
        <v>320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179</v>
      </c>
      <c r="C539" t="s">
        <v>92</v>
      </c>
      <c r="D539" t="s">
        <v>83</v>
      </c>
      <c r="E539" t="s">
        <v>93</v>
      </c>
      <c r="F539">
        <v>16384</v>
      </c>
      <c r="G539">
        <f>MAX(I538,I536)</f>
        <v>841572</v>
      </c>
      <c r="H539">
        <f>CEILING((dram_access_latency+F539/dram_bandwidth)*frequency,1)</f>
        <v>356</v>
      </c>
      <c r="I539">
        <f>G539+H539</f>
        <v>841928</v>
      </c>
      <c r="J539">
        <f>IF(AND(D539&lt;&gt;"dram",D539&lt;&gt;"control"),H539,0)</f>
        <v>0</v>
      </c>
      <c r="K539">
        <f>IF(D539="dram",H539,0)</f>
        <v>356</v>
      </c>
      <c r="L539">
        <v>0</v>
      </c>
      <c r="M539">
        <v>16384</v>
      </c>
    </row>
    <row r="540" spans="1:13">
      <c r="A540">
        <v>538</v>
      </c>
      <c r="B540" t="s">
        <v>180</v>
      </c>
      <c r="C540" t="s">
        <v>88</v>
      </c>
      <c r="D540" t="s">
        <v>89</v>
      </c>
      <c r="E540" t="s">
        <v>84</v>
      </c>
      <c r="F540">
        <v>0</v>
      </c>
      <c r="G540">
        <f>MAX(I538,I536)</f>
        <v>841536</v>
      </c>
      <c r="H540">
        <f>0</f>
        <v>36</v>
      </c>
      <c r="I540">
        <f>G540+H540</f>
        <v>841572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181</v>
      </c>
      <c r="C541" t="s">
        <v>88</v>
      </c>
      <c r="D541" t="s">
        <v>89</v>
      </c>
      <c r="E541" t="s">
        <v>84</v>
      </c>
      <c r="F541">
        <v>0</v>
      </c>
      <c r="G541">
        <f>MAX(I540,I539)</f>
        <v>841572</v>
      </c>
      <c r="H541">
        <f>0</f>
        <v>356</v>
      </c>
      <c r="I541">
        <f>G541+H541</f>
        <v>841928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182</v>
      </c>
      <c r="C542" t="s">
        <v>82</v>
      </c>
      <c r="D542" t="s">
        <v>83</v>
      </c>
      <c r="E542" t="s">
        <v>84</v>
      </c>
      <c r="F542">
        <v>16384</v>
      </c>
      <c r="G542">
        <f>MAX(I541,I539)</f>
        <v>841928</v>
      </c>
      <c r="H542">
        <f>CEILING((dram_access_latency+F542/dram_bandwidth)*frequency,1)</f>
        <v>356</v>
      </c>
      <c r="I542">
        <f>G542+H542</f>
        <v>842284</v>
      </c>
      <c r="J542">
        <f>IF(AND(D542&lt;&gt;"dram",D542&lt;&gt;"control"),H542,0)</f>
        <v>0</v>
      </c>
      <c r="K542">
        <f>IF(D542="dram",H542,0)</f>
        <v>356</v>
      </c>
      <c r="L542">
        <v>16384</v>
      </c>
      <c r="M542">
        <v>0</v>
      </c>
    </row>
    <row r="543" spans="1:13">
      <c r="A543">
        <v>541</v>
      </c>
      <c r="B543" t="s">
        <v>183</v>
      </c>
      <c r="C543" t="s">
        <v>82</v>
      </c>
      <c r="D543" t="s">
        <v>83</v>
      </c>
      <c r="E543" t="s">
        <v>84</v>
      </c>
      <c r="F543">
        <v>1024</v>
      </c>
      <c r="G543">
        <f>MAX(I541,I542)</f>
        <v>842284</v>
      </c>
      <c r="H543">
        <f>CEILING((dram_access_latency+F543/dram_bandwidth)*frequency,1)</f>
        <v>116</v>
      </c>
      <c r="I543">
        <f>G543+H543</f>
        <v>842400</v>
      </c>
      <c r="J543">
        <f>IF(AND(D543&lt;&gt;"dram",D543&lt;&gt;"control"),H543,0)</f>
        <v>0</v>
      </c>
      <c r="K543">
        <f>IF(D543="dram",H543,0)</f>
        <v>116</v>
      </c>
      <c r="L543">
        <v>1024</v>
      </c>
      <c r="M543">
        <v>0</v>
      </c>
    </row>
    <row r="544" spans="1:13">
      <c r="A544">
        <v>542</v>
      </c>
      <c r="B544" t="s">
        <v>184</v>
      </c>
      <c r="C544" t="s">
        <v>82</v>
      </c>
      <c r="D544" t="s">
        <v>83</v>
      </c>
      <c r="E544" t="s">
        <v>84</v>
      </c>
      <c r="F544">
        <v>16384</v>
      </c>
      <c r="G544">
        <f>MAX(I541,I543)</f>
        <v>842400</v>
      </c>
      <c r="H544">
        <f>CEILING((dram_access_latency+F544/dram_bandwidth)*frequency,1)</f>
        <v>356</v>
      </c>
      <c r="I544">
        <f>G544+H544</f>
        <v>842756</v>
      </c>
      <c r="J544">
        <f>IF(AND(D544&lt;&gt;"dram",D544&lt;&gt;"control"),H544,0)</f>
        <v>0</v>
      </c>
      <c r="K544">
        <f>IF(D544="dram",H544,0)</f>
        <v>356</v>
      </c>
      <c r="L544">
        <v>16384</v>
      </c>
      <c r="M544">
        <v>0</v>
      </c>
    </row>
    <row r="545" spans="1:13">
      <c r="A545">
        <v>543</v>
      </c>
      <c r="B545" t="s">
        <v>185</v>
      </c>
      <c r="C545" t="s">
        <v>82</v>
      </c>
      <c r="D545" t="s">
        <v>83</v>
      </c>
      <c r="E545" t="s">
        <v>86</v>
      </c>
      <c r="F545">
        <v>16384</v>
      </c>
      <c r="G545">
        <f>MAX(I541,I544)</f>
        <v>842756</v>
      </c>
      <c r="H545">
        <f>CEILING((dram_access_latency+F545/dram_bandwidth)*frequency,1)</f>
        <v>356</v>
      </c>
      <c r="I545">
        <f>G545+H545</f>
        <v>843112</v>
      </c>
      <c r="J545">
        <f>IF(AND(D545&lt;&gt;"dram",D545&lt;&gt;"control"),H545,0)</f>
        <v>0</v>
      </c>
      <c r="K545">
        <f>IF(D545="dram",H545,0)</f>
        <v>356</v>
      </c>
      <c r="L545">
        <v>16384</v>
      </c>
      <c r="M545">
        <v>0</v>
      </c>
    </row>
    <row r="546" spans="1:13">
      <c r="A546">
        <v>544</v>
      </c>
      <c r="B546" t="s">
        <v>186</v>
      </c>
      <c r="C546" t="s">
        <v>82</v>
      </c>
      <c r="D546" t="s">
        <v>83</v>
      </c>
      <c r="E546" t="s">
        <v>86</v>
      </c>
      <c r="F546">
        <v>16384</v>
      </c>
      <c r="G546">
        <f>MAX(I541,I545)</f>
        <v>843112</v>
      </c>
      <c r="H546">
        <f>CEILING((dram_access_latency+F546/dram_bandwidth)*frequency,1)</f>
        <v>356</v>
      </c>
      <c r="I546">
        <f>G546+H546</f>
        <v>843468</v>
      </c>
      <c r="J546">
        <f>IF(AND(D546&lt;&gt;"dram",D546&lt;&gt;"control"),H546,0)</f>
        <v>0</v>
      </c>
      <c r="K546">
        <f>IF(D546="dram",H546,0)</f>
        <v>356</v>
      </c>
      <c r="L546">
        <v>16384</v>
      </c>
      <c r="M546">
        <v>0</v>
      </c>
    </row>
    <row r="547" spans="1:13">
      <c r="A547">
        <v>545</v>
      </c>
      <c r="B547" t="s">
        <v>187</v>
      </c>
      <c r="C547" t="s">
        <v>88</v>
      </c>
      <c r="D547" t="s">
        <v>89</v>
      </c>
      <c r="E547" t="s">
        <v>86</v>
      </c>
      <c r="F547">
        <v>0</v>
      </c>
      <c r="G547">
        <f>MAX(I541,I542)</f>
        <v>841928</v>
      </c>
      <c r="H547">
        <f>0</f>
        <v>356</v>
      </c>
      <c r="I547">
        <f>G547+H547</f>
        <v>842284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188</v>
      </c>
      <c r="C548" t="s">
        <v>88</v>
      </c>
      <c r="D548" t="s">
        <v>89</v>
      </c>
      <c r="E548" t="s">
        <v>86</v>
      </c>
      <c r="F548">
        <v>0</v>
      </c>
      <c r="G548">
        <f>MAX(I547,I543)</f>
        <v>842284</v>
      </c>
      <c r="H548">
        <f>0</f>
        <v>116</v>
      </c>
      <c r="I548">
        <f>G548+H548</f>
        <v>842400</v>
      </c>
      <c r="J548">
        <f>IF(AND(D548&lt;&gt;"dram",D548&lt;&gt;"control"),H548,0)</f>
        <v>0</v>
      </c>
      <c r="K548">
        <f>IF(D548="dram",H548,0)</f>
        <v>0</v>
      </c>
      <c r="L548">
        <v>0</v>
      </c>
      <c r="M548">
        <v>0</v>
      </c>
    </row>
    <row r="549" spans="1:13">
      <c r="A549">
        <v>547</v>
      </c>
      <c r="B549" t="s">
        <v>189</v>
      </c>
      <c r="C549" t="s">
        <v>88</v>
      </c>
      <c r="D549" t="s">
        <v>89</v>
      </c>
      <c r="E549" t="s">
        <v>86</v>
      </c>
      <c r="F549">
        <v>0</v>
      </c>
      <c r="G549">
        <f>MAX(I548,I544)</f>
        <v>842400</v>
      </c>
      <c r="H549">
        <f>0</f>
        <v>356</v>
      </c>
      <c r="I549">
        <f>G549+H549</f>
        <v>842756</v>
      </c>
      <c r="J549">
        <f>IF(AND(D549&lt;&gt;"dram",D549&lt;&gt;"control"),H549,0)</f>
        <v>0</v>
      </c>
      <c r="K549">
        <f>IF(D549="dram",H549,0)</f>
        <v>0</v>
      </c>
      <c r="L549">
        <v>0</v>
      </c>
      <c r="M549">
        <v>0</v>
      </c>
    </row>
    <row r="550" spans="1:13">
      <c r="A550">
        <v>548</v>
      </c>
      <c r="B550" t="s">
        <v>31</v>
      </c>
      <c r="C550" t="s">
        <v>90</v>
      </c>
      <c r="D550" t="s">
        <v>17</v>
      </c>
      <c r="E550" t="s">
        <v>86</v>
      </c>
      <c r="F550">
        <v>0</v>
      </c>
      <c r="G550">
        <f>MAX(I549,I538)</f>
        <v>842756</v>
      </c>
      <c r="H550">
        <f>'Operations'!I9</f>
        <v>320</v>
      </c>
      <c r="I550">
        <f>G550+H550</f>
        <v>843076</v>
      </c>
      <c r="J550">
        <f>IF(AND(D550&lt;&gt;"dram",D550&lt;&gt;"control"),H550,0)</f>
        <v>320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190</v>
      </c>
      <c r="C551" t="s">
        <v>92</v>
      </c>
      <c r="D551" t="s">
        <v>83</v>
      </c>
      <c r="E551" t="s">
        <v>86</v>
      </c>
      <c r="F551">
        <v>128</v>
      </c>
      <c r="G551">
        <f>MAX(I550,I546)</f>
        <v>843468</v>
      </c>
      <c r="H551">
        <f>CEILING((dram_access_latency+F551/dram_bandwidth)*frequency,1)</f>
        <v>102</v>
      </c>
      <c r="I551">
        <f>G551+H551</f>
        <v>843570</v>
      </c>
      <c r="J551">
        <f>IF(AND(D551&lt;&gt;"dram",D551&lt;&gt;"control"),H551,0)</f>
        <v>0</v>
      </c>
      <c r="K551">
        <f>IF(D551="dram",H551,0)</f>
        <v>102</v>
      </c>
      <c r="L551">
        <v>0</v>
      </c>
      <c r="M551">
        <v>128</v>
      </c>
    </row>
    <row r="552" spans="1:13">
      <c r="A552">
        <v>550</v>
      </c>
      <c r="B552" t="s">
        <v>191</v>
      </c>
      <c r="C552" t="s">
        <v>92</v>
      </c>
      <c r="D552" t="s">
        <v>83</v>
      </c>
      <c r="E552" t="s">
        <v>86</v>
      </c>
      <c r="F552">
        <v>6144</v>
      </c>
      <c r="G552">
        <f>MAX(I550,I551)</f>
        <v>843570</v>
      </c>
      <c r="H552">
        <f>CEILING((dram_access_latency+F552/dram_bandwidth)*frequency,1)</f>
        <v>196</v>
      </c>
      <c r="I552">
        <f>G552+H552</f>
        <v>843766</v>
      </c>
      <c r="J552">
        <f>IF(AND(D552&lt;&gt;"dram",D552&lt;&gt;"control"),H552,0)</f>
        <v>0</v>
      </c>
      <c r="K552">
        <f>IF(D552="dram",H552,0)</f>
        <v>196</v>
      </c>
      <c r="L552">
        <v>0</v>
      </c>
      <c r="M552">
        <v>6144</v>
      </c>
    </row>
    <row r="553" spans="1:13">
      <c r="A553">
        <v>551</v>
      </c>
      <c r="B553" t="s">
        <v>187</v>
      </c>
      <c r="C553" t="s">
        <v>88</v>
      </c>
      <c r="D553" t="s">
        <v>89</v>
      </c>
      <c r="E553" t="s">
        <v>93</v>
      </c>
      <c r="F553">
        <v>0</v>
      </c>
      <c r="G553">
        <f>MAX(I550,I545)</f>
        <v>843076</v>
      </c>
      <c r="H553">
        <f>0</f>
        <v>36</v>
      </c>
      <c r="I553">
        <f>G553+H553</f>
        <v>843112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189</v>
      </c>
      <c r="C554" t="s">
        <v>88</v>
      </c>
      <c r="D554" t="s">
        <v>89</v>
      </c>
      <c r="E554" t="s">
        <v>93</v>
      </c>
      <c r="F554">
        <v>0</v>
      </c>
      <c r="G554">
        <f>MAX(I553,I546)</f>
        <v>843112</v>
      </c>
      <c r="H554">
        <f>0</f>
        <v>356</v>
      </c>
      <c r="I554">
        <f>G554+H554</f>
        <v>843468</v>
      </c>
      <c r="J554">
        <f>IF(AND(D554&lt;&gt;"dram",D554&lt;&gt;"control"),H554,0)</f>
        <v>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31</v>
      </c>
      <c r="C555" t="s">
        <v>90</v>
      </c>
      <c r="D555" t="s">
        <v>17</v>
      </c>
      <c r="E555" t="s">
        <v>93</v>
      </c>
      <c r="F555">
        <v>0</v>
      </c>
      <c r="G555">
        <f>MAX(I554,I550)</f>
        <v>843468</v>
      </c>
      <c r="H555">
        <f>'Operations'!I9</f>
        <v>320</v>
      </c>
      <c r="I555">
        <f>G555+H555</f>
        <v>843788</v>
      </c>
      <c r="J555">
        <f>IF(AND(D555&lt;&gt;"dram",D555&lt;&gt;"control"),H555,0)</f>
        <v>320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190</v>
      </c>
      <c r="C556" t="s">
        <v>92</v>
      </c>
      <c r="D556" t="s">
        <v>83</v>
      </c>
      <c r="E556" t="s">
        <v>93</v>
      </c>
      <c r="F556">
        <v>128</v>
      </c>
      <c r="G556">
        <f>MAX(I555,I552)</f>
        <v>843788</v>
      </c>
      <c r="H556">
        <f>CEILING((dram_access_latency+F556/dram_bandwidth)*frequency,1)</f>
        <v>102</v>
      </c>
      <c r="I556">
        <f>G556+H556</f>
        <v>843890</v>
      </c>
      <c r="J556">
        <f>IF(AND(D556&lt;&gt;"dram",D556&lt;&gt;"control"),H556,0)</f>
        <v>0</v>
      </c>
      <c r="K556">
        <f>IF(D556="dram",H556,0)</f>
        <v>102</v>
      </c>
      <c r="L556">
        <v>0</v>
      </c>
      <c r="M556">
        <v>128</v>
      </c>
    </row>
    <row r="557" spans="1:13">
      <c r="A557">
        <v>555</v>
      </c>
      <c r="B557" t="s">
        <v>191</v>
      </c>
      <c r="C557" t="s">
        <v>92</v>
      </c>
      <c r="D557" t="s">
        <v>83</v>
      </c>
      <c r="E557" t="s">
        <v>93</v>
      </c>
      <c r="F557">
        <v>6144</v>
      </c>
      <c r="G557">
        <f>MAX(I555,I556)</f>
        <v>843890</v>
      </c>
      <c r="H557">
        <f>CEILING((dram_access_latency+F557/dram_bandwidth)*frequency,1)</f>
        <v>196</v>
      </c>
      <c r="I557">
        <f>G557+H557</f>
        <v>844086</v>
      </c>
      <c r="J557">
        <f>IF(AND(D557&lt;&gt;"dram",D557&lt;&gt;"control"),H557,0)</f>
        <v>0</v>
      </c>
      <c r="K557">
        <f>IF(D557="dram",H557,0)</f>
        <v>196</v>
      </c>
      <c r="L557">
        <v>0</v>
      </c>
      <c r="M557">
        <v>6144</v>
      </c>
    </row>
    <row r="558" spans="1:13">
      <c r="A558">
        <v>556</v>
      </c>
      <c r="B558" t="s">
        <v>192</v>
      </c>
      <c r="C558" t="s">
        <v>88</v>
      </c>
      <c r="D558" t="s">
        <v>89</v>
      </c>
      <c r="E558" t="s">
        <v>84</v>
      </c>
      <c r="F558">
        <v>0</v>
      </c>
      <c r="G558">
        <f>MAX(I555,I551)</f>
        <v>843788</v>
      </c>
      <c r="H558">
        <f>0</f>
        <v>0</v>
      </c>
      <c r="I558">
        <f>G558+H558</f>
        <v>843788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193</v>
      </c>
      <c r="C559" t="s">
        <v>88</v>
      </c>
      <c r="D559" t="s">
        <v>89</v>
      </c>
      <c r="E559" t="s">
        <v>84</v>
      </c>
      <c r="F559">
        <v>0</v>
      </c>
      <c r="G559">
        <f>MAX(I558,I556)</f>
        <v>843788</v>
      </c>
      <c r="H559">
        <f>0</f>
        <v>102</v>
      </c>
      <c r="I559">
        <f>G559+H559</f>
        <v>843890</v>
      </c>
      <c r="J559">
        <f>IF(AND(D559&lt;&gt;"dram",D559&lt;&gt;"control"),H559,0)</f>
        <v>0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194</v>
      </c>
      <c r="C560" t="s">
        <v>88</v>
      </c>
      <c r="D560" t="s">
        <v>89</v>
      </c>
      <c r="E560" t="s">
        <v>84</v>
      </c>
      <c r="F560">
        <v>0</v>
      </c>
      <c r="G560">
        <f>MAX(I559,I552)</f>
        <v>843890</v>
      </c>
      <c r="H560">
        <f>0</f>
        <v>0</v>
      </c>
      <c r="I560">
        <f>G560+H560</f>
        <v>843890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195</v>
      </c>
      <c r="C561" t="s">
        <v>88</v>
      </c>
      <c r="D561" t="s">
        <v>89</v>
      </c>
      <c r="E561" t="s">
        <v>84</v>
      </c>
      <c r="F561">
        <v>0</v>
      </c>
      <c r="G561">
        <f>MAX(I560,I557)</f>
        <v>843890</v>
      </c>
      <c r="H561">
        <f>0</f>
        <v>196</v>
      </c>
      <c r="I561">
        <f>G561+H561</f>
        <v>844086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196</v>
      </c>
      <c r="C562" t="s">
        <v>82</v>
      </c>
      <c r="D562" t="s">
        <v>83</v>
      </c>
      <c r="E562" t="s">
        <v>84</v>
      </c>
      <c r="F562">
        <v>16384</v>
      </c>
      <c r="G562">
        <f>MAX(I561,I557)</f>
        <v>844086</v>
      </c>
      <c r="H562">
        <f>CEILING((dram_access_latency+F562/dram_bandwidth)*frequency,1)</f>
        <v>356</v>
      </c>
      <c r="I562">
        <f>G562+H562</f>
        <v>844442</v>
      </c>
      <c r="J562">
        <f>IF(AND(D562&lt;&gt;"dram",D562&lt;&gt;"control"),H562,0)</f>
        <v>0</v>
      </c>
      <c r="K562">
        <f>IF(D562="dram",H562,0)</f>
        <v>356</v>
      </c>
      <c r="L562">
        <v>16384</v>
      </c>
      <c r="M562">
        <v>0</v>
      </c>
    </row>
    <row r="563" spans="1:13">
      <c r="A563">
        <v>561</v>
      </c>
      <c r="B563" t="s">
        <v>196</v>
      </c>
      <c r="C563" t="s">
        <v>92</v>
      </c>
      <c r="D563" t="s">
        <v>83</v>
      </c>
      <c r="E563" t="s">
        <v>84</v>
      </c>
      <c r="F563">
        <v>16384</v>
      </c>
      <c r="G563">
        <f>MAX(I562,I562)</f>
        <v>844442</v>
      </c>
      <c r="H563">
        <f>CEILING((dram_access_latency+F563/dram_bandwidth)*frequency,1)</f>
        <v>356</v>
      </c>
      <c r="I563">
        <f>G563+H563</f>
        <v>844798</v>
      </c>
      <c r="J563">
        <f>IF(AND(D563&lt;&gt;"dram",D563&lt;&gt;"control"),H563,0)</f>
        <v>0</v>
      </c>
      <c r="K563">
        <f>IF(D563="dram",H563,0)</f>
        <v>356</v>
      </c>
      <c r="L563">
        <v>0</v>
      </c>
      <c r="M563">
        <v>16384</v>
      </c>
    </row>
    <row r="564" spans="1:13">
      <c r="A564">
        <v>562</v>
      </c>
      <c r="B564" t="s">
        <v>197</v>
      </c>
      <c r="C564" t="s">
        <v>82</v>
      </c>
      <c r="D564" t="s">
        <v>83</v>
      </c>
      <c r="E564" t="s">
        <v>84</v>
      </c>
      <c r="F564">
        <v>16384</v>
      </c>
      <c r="G564">
        <f>MAX(I563,I563)</f>
        <v>844798</v>
      </c>
      <c r="H564">
        <f>CEILING((dram_access_latency+F564/dram_bandwidth)*frequency,1)</f>
        <v>356</v>
      </c>
      <c r="I564">
        <f>G564+H564</f>
        <v>845154</v>
      </c>
      <c r="J564">
        <f>IF(AND(D564&lt;&gt;"dram",D564&lt;&gt;"control"),H564,0)</f>
        <v>0</v>
      </c>
      <c r="K564">
        <f>IF(D564="dram",H564,0)</f>
        <v>356</v>
      </c>
      <c r="L564">
        <v>16384</v>
      </c>
      <c r="M564">
        <v>0</v>
      </c>
    </row>
    <row r="565" spans="1:13">
      <c r="A565">
        <v>563</v>
      </c>
      <c r="B565" t="s">
        <v>197</v>
      </c>
      <c r="C565" t="s">
        <v>92</v>
      </c>
      <c r="D565" t="s">
        <v>83</v>
      </c>
      <c r="E565" t="s">
        <v>84</v>
      </c>
      <c r="F565">
        <v>16384</v>
      </c>
      <c r="G565">
        <f>MAX(I564,I564)</f>
        <v>845154</v>
      </c>
      <c r="H565">
        <f>CEILING((dram_access_latency+F565/dram_bandwidth)*frequency,1)</f>
        <v>356</v>
      </c>
      <c r="I565">
        <f>G565+H565</f>
        <v>845510</v>
      </c>
      <c r="J565">
        <f>IF(AND(D565&lt;&gt;"dram",D565&lt;&gt;"control"),H565,0)</f>
        <v>0</v>
      </c>
      <c r="K565">
        <f>IF(D565="dram",H565,0)</f>
        <v>356</v>
      </c>
      <c r="L565">
        <v>0</v>
      </c>
      <c r="M565">
        <v>16384</v>
      </c>
    </row>
    <row r="566" spans="1:13">
      <c r="A566">
        <v>564</v>
      </c>
      <c r="B566" t="s">
        <v>198</v>
      </c>
      <c r="C566" t="s">
        <v>82</v>
      </c>
      <c r="D566" t="s">
        <v>83</v>
      </c>
      <c r="E566" t="s">
        <v>84</v>
      </c>
      <c r="F566">
        <v>8192</v>
      </c>
      <c r="G566">
        <f>MAX(I565,I565)</f>
        <v>845510</v>
      </c>
      <c r="H566">
        <f>CEILING((dram_access_latency+F566/dram_bandwidth)*frequency,1)</f>
        <v>228</v>
      </c>
      <c r="I566">
        <f>G566+H566</f>
        <v>845738</v>
      </c>
      <c r="J566">
        <f>IF(AND(D566&lt;&gt;"dram",D566&lt;&gt;"control"),H566,0)</f>
        <v>0</v>
      </c>
      <c r="K566">
        <f>IF(D566="dram",H566,0)</f>
        <v>228</v>
      </c>
      <c r="L566">
        <v>8192</v>
      </c>
      <c r="M566">
        <v>0</v>
      </c>
    </row>
    <row r="567" spans="1:13">
      <c r="A567">
        <v>565</v>
      </c>
      <c r="B567" t="s">
        <v>199</v>
      </c>
      <c r="C567" t="s">
        <v>82</v>
      </c>
      <c r="D567" t="s">
        <v>83</v>
      </c>
      <c r="E567" t="s">
        <v>86</v>
      </c>
      <c r="F567">
        <v>8192</v>
      </c>
      <c r="G567">
        <f>MAX(I565,I566)</f>
        <v>845738</v>
      </c>
      <c r="H567">
        <f>CEILING((dram_access_latency+F567/dram_bandwidth)*frequency,1)</f>
        <v>228</v>
      </c>
      <c r="I567">
        <f>G567+H567</f>
        <v>845966</v>
      </c>
      <c r="J567">
        <f>IF(AND(D567&lt;&gt;"dram",D567&lt;&gt;"control"),H567,0)</f>
        <v>0</v>
      </c>
      <c r="K567">
        <f>IF(D567="dram",H567,0)</f>
        <v>228</v>
      </c>
      <c r="L567">
        <v>8192</v>
      </c>
      <c r="M567">
        <v>0</v>
      </c>
    </row>
    <row r="568" spans="1:13">
      <c r="A568">
        <v>566</v>
      </c>
      <c r="B568" t="s">
        <v>200</v>
      </c>
      <c r="C568" t="s">
        <v>88</v>
      </c>
      <c r="D568" t="s">
        <v>89</v>
      </c>
      <c r="E568" t="s">
        <v>86</v>
      </c>
      <c r="F568">
        <v>0</v>
      </c>
      <c r="G568">
        <f>MAX(I565,I566)</f>
        <v>845510</v>
      </c>
      <c r="H568">
        <f>0</f>
        <v>228</v>
      </c>
      <c r="I568">
        <f>G568+H568</f>
        <v>845738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32</v>
      </c>
      <c r="C569" t="s">
        <v>90</v>
      </c>
      <c r="D569" t="s">
        <v>17</v>
      </c>
      <c r="E569" t="s">
        <v>86</v>
      </c>
      <c r="F569">
        <v>0</v>
      </c>
      <c r="G569">
        <f>MAX(I568,I555)</f>
        <v>845738</v>
      </c>
      <c r="H569">
        <f>'Operations'!I10</f>
        <v>192</v>
      </c>
      <c r="I569">
        <f>G569+H569</f>
        <v>845930</v>
      </c>
      <c r="J569">
        <f>IF(AND(D569&lt;&gt;"dram",D569&lt;&gt;"control"),H569,0)</f>
        <v>192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201</v>
      </c>
      <c r="C570" t="s">
        <v>92</v>
      </c>
      <c r="D570" t="s">
        <v>83</v>
      </c>
      <c r="E570" t="s">
        <v>86</v>
      </c>
      <c r="F570">
        <v>8192</v>
      </c>
      <c r="G570">
        <f>MAX(I569,I567)</f>
        <v>845966</v>
      </c>
      <c r="H570">
        <f>CEILING((dram_access_latency+F570/dram_bandwidth)*frequency,1)</f>
        <v>228</v>
      </c>
      <c r="I570">
        <f>G570+H570</f>
        <v>846194</v>
      </c>
      <c r="J570">
        <f>IF(AND(D570&lt;&gt;"dram",D570&lt;&gt;"control"),H570,0)</f>
        <v>0</v>
      </c>
      <c r="K570">
        <f>IF(D570="dram",H570,0)</f>
        <v>228</v>
      </c>
      <c r="L570">
        <v>0</v>
      </c>
      <c r="M570">
        <v>8192</v>
      </c>
    </row>
    <row r="571" spans="1:13">
      <c r="A571">
        <v>569</v>
      </c>
      <c r="B571" t="s">
        <v>200</v>
      </c>
      <c r="C571" t="s">
        <v>88</v>
      </c>
      <c r="D571" t="s">
        <v>89</v>
      </c>
      <c r="E571" t="s">
        <v>93</v>
      </c>
      <c r="F571">
        <v>0</v>
      </c>
      <c r="G571">
        <f>MAX(I569,I567)</f>
        <v>845930</v>
      </c>
      <c r="H571">
        <f>0</f>
        <v>36</v>
      </c>
      <c r="I571">
        <f>G571+H571</f>
        <v>845966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32</v>
      </c>
      <c r="C572" t="s">
        <v>90</v>
      </c>
      <c r="D572" t="s">
        <v>17</v>
      </c>
      <c r="E572" t="s">
        <v>93</v>
      </c>
      <c r="F572">
        <v>0</v>
      </c>
      <c r="G572">
        <f>MAX(I571,I569)</f>
        <v>845966</v>
      </c>
      <c r="H572">
        <f>'Operations'!I10</f>
        <v>192</v>
      </c>
      <c r="I572">
        <f>G572+H572</f>
        <v>846158</v>
      </c>
      <c r="J572">
        <f>IF(AND(D572&lt;&gt;"dram",D572&lt;&gt;"control"),H572,0)</f>
        <v>192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201</v>
      </c>
      <c r="C573" t="s">
        <v>92</v>
      </c>
      <c r="D573" t="s">
        <v>83</v>
      </c>
      <c r="E573" t="s">
        <v>93</v>
      </c>
      <c r="F573">
        <v>8192</v>
      </c>
      <c r="G573">
        <f>MAX(I572,I570)</f>
        <v>846194</v>
      </c>
      <c r="H573">
        <f>CEILING((dram_access_latency+F573/dram_bandwidth)*frequency,1)</f>
        <v>228</v>
      </c>
      <c r="I573">
        <f>G573+H573</f>
        <v>846422</v>
      </c>
      <c r="J573">
        <f>IF(AND(D573&lt;&gt;"dram",D573&lt;&gt;"control"),H573,0)</f>
        <v>0</v>
      </c>
      <c r="K573">
        <f>IF(D573="dram",H573,0)</f>
        <v>228</v>
      </c>
      <c r="L573">
        <v>0</v>
      </c>
      <c r="M573">
        <v>8192</v>
      </c>
    </row>
    <row r="574" spans="1:13">
      <c r="A574">
        <v>572</v>
      </c>
      <c r="B574" t="s">
        <v>202</v>
      </c>
      <c r="C574" t="s">
        <v>88</v>
      </c>
      <c r="D574" t="s">
        <v>89</v>
      </c>
      <c r="E574" t="s">
        <v>84</v>
      </c>
      <c r="F574">
        <v>0</v>
      </c>
      <c r="G574">
        <f>MAX(I572,I570)</f>
        <v>846158</v>
      </c>
      <c r="H574">
        <f>0</f>
        <v>36</v>
      </c>
      <c r="I574">
        <f>G574+H574</f>
        <v>846194</v>
      </c>
      <c r="J574">
        <f>IF(AND(D574&lt;&gt;"dram",D574&lt;&gt;"control"),H574,0)</f>
        <v>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203</v>
      </c>
      <c r="C575" t="s">
        <v>88</v>
      </c>
      <c r="D575" t="s">
        <v>89</v>
      </c>
      <c r="E575" t="s">
        <v>84</v>
      </c>
      <c r="F575">
        <v>0</v>
      </c>
      <c r="G575">
        <f>MAX(I574,I573)</f>
        <v>846194</v>
      </c>
      <c r="H575">
        <f>0</f>
        <v>228</v>
      </c>
      <c r="I575">
        <f>G575+H575</f>
        <v>846422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204</v>
      </c>
      <c r="C576" t="s">
        <v>82</v>
      </c>
      <c r="D576" t="s">
        <v>83</v>
      </c>
      <c r="E576" t="s">
        <v>84</v>
      </c>
      <c r="F576">
        <v>16384</v>
      </c>
      <c r="G576">
        <f>MAX(I575,I573)</f>
        <v>846422</v>
      </c>
      <c r="H576">
        <f>CEILING((dram_access_latency+F576/dram_bandwidth)*frequency,1)</f>
        <v>356</v>
      </c>
      <c r="I576">
        <f>G576+H576</f>
        <v>846778</v>
      </c>
      <c r="J576">
        <f>IF(AND(D576&lt;&gt;"dram",D576&lt;&gt;"control"),H576,0)</f>
        <v>0</v>
      </c>
      <c r="K576">
        <f>IF(D576="dram",H576,0)</f>
        <v>356</v>
      </c>
      <c r="L576">
        <v>16384</v>
      </c>
      <c r="M576">
        <v>0</v>
      </c>
    </row>
    <row r="577" spans="1:13">
      <c r="A577">
        <v>575</v>
      </c>
      <c r="B577" t="s">
        <v>204</v>
      </c>
      <c r="C577" t="s">
        <v>82</v>
      </c>
      <c r="D577" t="s">
        <v>83</v>
      </c>
      <c r="E577" t="s">
        <v>84</v>
      </c>
      <c r="F577">
        <v>16384</v>
      </c>
      <c r="G577">
        <f>MAX(I576,I576)</f>
        <v>846778</v>
      </c>
      <c r="H577">
        <f>CEILING((dram_access_latency+F577/dram_bandwidth)*frequency,1)</f>
        <v>356</v>
      </c>
      <c r="I577">
        <f>G577+H577</f>
        <v>847134</v>
      </c>
      <c r="J577">
        <f>IF(AND(D577&lt;&gt;"dram",D577&lt;&gt;"control"),H577,0)</f>
        <v>0</v>
      </c>
      <c r="K577">
        <f>IF(D577="dram",H577,0)</f>
        <v>356</v>
      </c>
      <c r="L577">
        <v>16384</v>
      </c>
      <c r="M577">
        <v>0</v>
      </c>
    </row>
    <row r="578" spans="1:13">
      <c r="A578">
        <v>576</v>
      </c>
      <c r="B578" t="s">
        <v>204</v>
      </c>
      <c r="C578" t="s">
        <v>92</v>
      </c>
      <c r="D578" t="s">
        <v>83</v>
      </c>
      <c r="E578" t="s">
        <v>84</v>
      </c>
      <c r="F578">
        <v>32768</v>
      </c>
      <c r="G578">
        <f>MAX(I577,I577)</f>
        <v>847134</v>
      </c>
      <c r="H578">
        <f>CEILING((dram_access_latency+F578/dram_bandwidth)*frequency,1)</f>
        <v>612</v>
      </c>
      <c r="I578">
        <f>G578+H578</f>
        <v>847746</v>
      </c>
      <c r="J578">
        <f>IF(AND(D578&lt;&gt;"dram",D578&lt;&gt;"control"),H578,0)</f>
        <v>0</v>
      </c>
      <c r="K578">
        <f>IF(D578="dram",H578,0)</f>
        <v>612</v>
      </c>
      <c r="L578">
        <v>0</v>
      </c>
      <c r="M578">
        <v>32768</v>
      </c>
    </row>
    <row r="579" spans="1:13">
      <c r="A579">
        <v>577</v>
      </c>
      <c r="B579" t="s">
        <v>205</v>
      </c>
      <c r="C579" t="s">
        <v>82</v>
      </c>
      <c r="D579" t="s">
        <v>83</v>
      </c>
      <c r="E579" t="s">
        <v>84</v>
      </c>
      <c r="F579">
        <v>16384</v>
      </c>
      <c r="G579">
        <f>MAX(I578,I578)</f>
        <v>847746</v>
      </c>
      <c r="H579">
        <f>CEILING((dram_access_latency+F579/dram_bandwidth)*frequency,1)</f>
        <v>356</v>
      </c>
      <c r="I579">
        <f>G579+H579</f>
        <v>848102</v>
      </c>
      <c r="J579">
        <f>IF(AND(D579&lt;&gt;"dram",D579&lt;&gt;"control"),H579,0)</f>
        <v>0</v>
      </c>
      <c r="K579">
        <f>IF(D579="dram",H579,0)</f>
        <v>356</v>
      </c>
      <c r="L579">
        <v>16384</v>
      </c>
      <c r="M579">
        <v>0</v>
      </c>
    </row>
    <row r="580" spans="1:13">
      <c r="A580">
        <v>578</v>
      </c>
      <c r="B580" t="s">
        <v>206</v>
      </c>
      <c r="C580" t="s">
        <v>82</v>
      </c>
      <c r="D580" t="s">
        <v>83</v>
      </c>
      <c r="E580" t="s">
        <v>84</v>
      </c>
      <c r="F580">
        <v>1024</v>
      </c>
      <c r="G580">
        <f>MAX(I578,I579)</f>
        <v>848102</v>
      </c>
      <c r="H580">
        <f>CEILING((dram_access_latency+F580/dram_bandwidth)*frequency,1)</f>
        <v>116</v>
      </c>
      <c r="I580">
        <f>G580+H580</f>
        <v>848218</v>
      </c>
      <c r="J580">
        <f>IF(AND(D580&lt;&gt;"dram",D580&lt;&gt;"control"),H580,0)</f>
        <v>0</v>
      </c>
      <c r="K580">
        <f>IF(D580="dram",H580,0)</f>
        <v>116</v>
      </c>
      <c r="L580">
        <v>1024</v>
      </c>
      <c r="M580">
        <v>0</v>
      </c>
    </row>
    <row r="581" spans="1:13">
      <c r="A581">
        <v>579</v>
      </c>
      <c r="B581" t="s">
        <v>207</v>
      </c>
      <c r="C581" t="s">
        <v>82</v>
      </c>
      <c r="D581" t="s">
        <v>83</v>
      </c>
      <c r="E581" t="s">
        <v>86</v>
      </c>
      <c r="F581">
        <v>16384</v>
      </c>
      <c r="G581">
        <f>MAX(I578,I580)</f>
        <v>848218</v>
      </c>
      <c r="H581">
        <f>CEILING((dram_access_latency+F581/dram_bandwidth)*frequency,1)</f>
        <v>356</v>
      </c>
      <c r="I581">
        <f>G581+H581</f>
        <v>848574</v>
      </c>
      <c r="J581">
        <f>IF(AND(D581&lt;&gt;"dram",D581&lt;&gt;"control"),H581,0)</f>
        <v>0</v>
      </c>
      <c r="K581">
        <f>IF(D581="dram",H581,0)</f>
        <v>356</v>
      </c>
      <c r="L581">
        <v>16384</v>
      </c>
      <c r="M581">
        <v>0</v>
      </c>
    </row>
    <row r="582" spans="1:13">
      <c r="A582">
        <v>580</v>
      </c>
      <c r="B582" t="s">
        <v>208</v>
      </c>
      <c r="C582" t="s">
        <v>88</v>
      </c>
      <c r="D582" t="s">
        <v>89</v>
      </c>
      <c r="E582" t="s">
        <v>86</v>
      </c>
      <c r="F582">
        <v>0</v>
      </c>
      <c r="G582">
        <f>MAX(I578,I579)</f>
        <v>847746</v>
      </c>
      <c r="H582">
        <f>0</f>
        <v>356</v>
      </c>
      <c r="I582">
        <f>G582+H582</f>
        <v>848102</v>
      </c>
      <c r="J582">
        <f>IF(AND(D582&lt;&gt;"dram",D582&lt;&gt;"control"),H582,0)</f>
        <v>0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209</v>
      </c>
      <c r="C583" t="s">
        <v>88</v>
      </c>
      <c r="D583" t="s">
        <v>89</v>
      </c>
      <c r="E583" t="s">
        <v>86</v>
      </c>
      <c r="F583">
        <v>0</v>
      </c>
      <c r="G583">
        <f>MAX(I582,I580)</f>
        <v>848102</v>
      </c>
      <c r="H583">
        <f>0</f>
        <v>116</v>
      </c>
      <c r="I583">
        <f>G583+H583</f>
        <v>848218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33</v>
      </c>
      <c r="C584" t="s">
        <v>90</v>
      </c>
      <c r="D584" t="s">
        <v>17</v>
      </c>
      <c r="E584" t="s">
        <v>86</v>
      </c>
      <c r="F584">
        <v>0</v>
      </c>
      <c r="G584">
        <f>MAX(I583,I572)</f>
        <v>848218</v>
      </c>
      <c r="H584">
        <f>'Operations'!I11</f>
        <v>320</v>
      </c>
      <c r="I584">
        <f>G584+H584</f>
        <v>848538</v>
      </c>
      <c r="J584">
        <f>IF(AND(D584&lt;&gt;"dram",D584&lt;&gt;"control"),H584,0)</f>
        <v>320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210</v>
      </c>
      <c r="C585" t="s">
        <v>92</v>
      </c>
      <c r="D585" t="s">
        <v>83</v>
      </c>
      <c r="E585" t="s">
        <v>86</v>
      </c>
      <c r="F585">
        <v>16384</v>
      </c>
      <c r="G585">
        <f>MAX(I584,I581)</f>
        <v>848574</v>
      </c>
      <c r="H585">
        <f>CEILING((dram_access_latency+F585/dram_bandwidth)*frequency,1)</f>
        <v>356</v>
      </c>
      <c r="I585">
        <f>G585+H585</f>
        <v>848930</v>
      </c>
      <c r="J585">
        <f>IF(AND(D585&lt;&gt;"dram",D585&lt;&gt;"control"),H585,0)</f>
        <v>0</v>
      </c>
      <c r="K585">
        <f>IF(D585="dram",H585,0)</f>
        <v>356</v>
      </c>
      <c r="L585">
        <v>0</v>
      </c>
      <c r="M585">
        <v>16384</v>
      </c>
    </row>
    <row r="586" spans="1:13">
      <c r="A586">
        <v>584</v>
      </c>
      <c r="B586" t="s">
        <v>208</v>
      </c>
      <c r="C586" t="s">
        <v>88</v>
      </c>
      <c r="D586" t="s">
        <v>89</v>
      </c>
      <c r="E586" t="s">
        <v>93</v>
      </c>
      <c r="F586">
        <v>0</v>
      </c>
      <c r="G586">
        <f>MAX(I584,I581)</f>
        <v>848538</v>
      </c>
      <c r="H586">
        <f>0</f>
        <v>36</v>
      </c>
      <c r="I586">
        <f>G586+H586</f>
        <v>848574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33</v>
      </c>
      <c r="C587" t="s">
        <v>90</v>
      </c>
      <c r="D587" t="s">
        <v>17</v>
      </c>
      <c r="E587" t="s">
        <v>93</v>
      </c>
      <c r="F587">
        <v>0</v>
      </c>
      <c r="G587">
        <f>MAX(I586,I584)</f>
        <v>848574</v>
      </c>
      <c r="H587">
        <f>'Operations'!I11</f>
        <v>320</v>
      </c>
      <c r="I587">
        <f>G587+H587</f>
        <v>848894</v>
      </c>
      <c r="J587">
        <f>IF(AND(D587&lt;&gt;"dram",D587&lt;&gt;"control"),H587,0)</f>
        <v>320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210</v>
      </c>
      <c r="C588" t="s">
        <v>92</v>
      </c>
      <c r="D588" t="s">
        <v>83</v>
      </c>
      <c r="E588" t="s">
        <v>93</v>
      </c>
      <c r="F588">
        <v>16384</v>
      </c>
      <c r="G588">
        <f>MAX(I587,I585)</f>
        <v>848930</v>
      </c>
      <c r="H588">
        <f>CEILING((dram_access_latency+F588/dram_bandwidth)*frequency,1)</f>
        <v>356</v>
      </c>
      <c r="I588">
        <f>G588+H588</f>
        <v>849286</v>
      </c>
      <c r="J588">
        <f>IF(AND(D588&lt;&gt;"dram",D588&lt;&gt;"control"),H588,0)</f>
        <v>0</v>
      </c>
      <c r="K588">
        <f>IF(D588="dram",H588,0)</f>
        <v>356</v>
      </c>
      <c r="L588">
        <v>0</v>
      </c>
      <c r="M588">
        <v>16384</v>
      </c>
    </row>
    <row r="589" spans="1:13">
      <c r="A589">
        <v>587</v>
      </c>
      <c r="B589" t="s">
        <v>211</v>
      </c>
      <c r="C589" t="s">
        <v>88</v>
      </c>
      <c r="D589" t="s">
        <v>89</v>
      </c>
      <c r="E589" t="s">
        <v>84</v>
      </c>
      <c r="F589">
        <v>0</v>
      </c>
      <c r="G589">
        <f>MAX(I587,I585)</f>
        <v>848894</v>
      </c>
      <c r="H589">
        <f>0</f>
        <v>36</v>
      </c>
      <c r="I589">
        <f>G589+H589</f>
        <v>848930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212</v>
      </c>
      <c r="C590" t="s">
        <v>88</v>
      </c>
      <c r="D590" t="s">
        <v>89</v>
      </c>
      <c r="E590" t="s">
        <v>84</v>
      </c>
      <c r="F590">
        <v>0</v>
      </c>
      <c r="G590">
        <f>MAX(I589,I588)</f>
        <v>848930</v>
      </c>
      <c r="H590">
        <f>0</f>
        <v>356</v>
      </c>
      <c r="I590">
        <f>G590+H590</f>
        <v>849286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213</v>
      </c>
      <c r="C591" t="s">
        <v>82</v>
      </c>
      <c r="D591" t="s">
        <v>83</v>
      </c>
      <c r="E591" t="s">
        <v>84</v>
      </c>
      <c r="F591">
        <v>16384</v>
      </c>
      <c r="G591">
        <f>MAX(I590,I588)</f>
        <v>849286</v>
      </c>
      <c r="H591">
        <f>CEILING((dram_access_latency+F591/dram_bandwidth)*frequency,1)</f>
        <v>356</v>
      </c>
      <c r="I591">
        <f>G591+H591</f>
        <v>849642</v>
      </c>
      <c r="J591">
        <f>IF(AND(D591&lt;&gt;"dram",D591&lt;&gt;"control"),H591,0)</f>
        <v>0</v>
      </c>
      <c r="K591">
        <f>IF(D591="dram",H591,0)</f>
        <v>356</v>
      </c>
      <c r="L591">
        <v>16384</v>
      </c>
      <c r="M591">
        <v>0</v>
      </c>
    </row>
    <row r="592" spans="1:13">
      <c r="A592">
        <v>590</v>
      </c>
      <c r="B592" t="s">
        <v>214</v>
      </c>
      <c r="C592" t="s">
        <v>82</v>
      </c>
      <c r="D592" t="s">
        <v>83</v>
      </c>
      <c r="E592" t="s">
        <v>84</v>
      </c>
      <c r="F592">
        <v>1024</v>
      </c>
      <c r="G592">
        <f>MAX(I590,I591)</f>
        <v>849642</v>
      </c>
      <c r="H592">
        <f>CEILING((dram_access_latency+F592/dram_bandwidth)*frequency,1)</f>
        <v>116</v>
      </c>
      <c r="I592">
        <f>G592+H592</f>
        <v>849758</v>
      </c>
      <c r="J592">
        <f>IF(AND(D592&lt;&gt;"dram",D592&lt;&gt;"control"),H592,0)</f>
        <v>0</v>
      </c>
      <c r="K592">
        <f>IF(D592="dram",H592,0)</f>
        <v>116</v>
      </c>
      <c r="L592">
        <v>1024</v>
      </c>
      <c r="M592">
        <v>0</v>
      </c>
    </row>
    <row r="593" spans="1:13">
      <c r="A593">
        <v>591</v>
      </c>
      <c r="B593" t="s">
        <v>215</v>
      </c>
      <c r="C593" t="s">
        <v>82</v>
      </c>
      <c r="D593" t="s">
        <v>83</v>
      </c>
      <c r="E593" t="s">
        <v>84</v>
      </c>
      <c r="F593">
        <v>16384</v>
      </c>
      <c r="G593">
        <f>MAX(I590,I592)</f>
        <v>849758</v>
      </c>
      <c r="H593">
        <f>CEILING((dram_access_latency+F593/dram_bandwidth)*frequency,1)</f>
        <v>356</v>
      </c>
      <c r="I593">
        <f>G593+H593</f>
        <v>850114</v>
      </c>
      <c r="J593">
        <f>IF(AND(D593&lt;&gt;"dram",D593&lt;&gt;"control"),H593,0)</f>
        <v>0</v>
      </c>
      <c r="K593">
        <f>IF(D593="dram",H593,0)</f>
        <v>356</v>
      </c>
      <c r="L593">
        <v>16384</v>
      </c>
      <c r="M593">
        <v>0</v>
      </c>
    </row>
    <row r="594" spans="1:13">
      <c r="A594">
        <v>592</v>
      </c>
      <c r="B594" t="s">
        <v>216</v>
      </c>
      <c r="C594" t="s">
        <v>82</v>
      </c>
      <c r="D594" t="s">
        <v>83</v>
      </c>
      <c r="E594" t="s">
        <v>86</v>
      </c>
      <c r="F594">
        <v>16384</v>
      </c>
      <c r="G594">
        <f>MAX(I590,I593)</f>
        <v>850114</v>
      </c>
      <c r="H594">
        <f>CEILING((dram_access_latency+F594/dram_bandwidth)*frequency,1)</f>
        <v>356</v>
      </c>
      <c r="I594">
        <f>G594+H594</f>
        <v>850470</v>
      </c>
      <c r="J594">
        <f>IF(AND(D594&lt;&gt;"dram",D594&lt;&gt;"control"),H594,0)</f>
        <v>0</v>
      </c>
      <c r="K594">
        <f>IF(D594="dram",H594,0)</f>
        <v>356</v>
      </c>
      <c r="L594">
        <v>16384</v>
      </c>
      <c r="M594">
        <v>0</v>
      </c>
    </row>
    <row r="595" spans="1:13">
      <c r="A595">
        <v>593</v>
      </c>
      <c r="B595" t="s">
        <v>217</v>
      </c>
      <c r="C595" t="s">
        <v>82</v>
      </c>
      <c r="D595" t="s">
        <v>83</v>
      </c>
      <c r="E595" t="s">
        <v>86</v>
      </c>
      <c r="F595">
        <v>16384</v>
      </c>
      <c r="G595">
        <f>MAX(I590,I594)</f>
        <v>850470</v>
      </c>
      <c r="H595">
        <f>CEILING((dram_access_latency+F595/dram_bandwidth)*frequency,1)</f>
        <v>356</v>
      </c>
      <c r="I595">
        <f>G595+H595</f>
        <v>850826</v>
      </c>
      <c r="J595">
        <f>IF(AND(D595&lt;&gt;"dram",D595&lt;&gt;"control"),H595,0)</f>
        <v>0</v>
      </c>
      <c r="K595">
        <f>IF(D595="dram",H595,0)</f>
        <v>356</v>
      </c>
      <c r="L595">
        <v>16384</v>
      </c>
      <c r="M595">
        <v>0</v>
      </c>
    </row>
    <row r="596" spans="1:13">
      <c r="A596">
        <v>594</v>
      </c>
      <c r="B596" t="s">
        <v>218</v>
      </c>
      <c r="C596" t="s">
        <v>88</v>
      </c>
      <c r="D596" t="s">
        <v>89</v>
      </c>
      <c r="E596" t="s">
        <v>86</v>
      </c>
      <c r="F596">
        <v>0</v>
      </c>
      <c r="G596">
        <f>MAX(I590,I591)</f>
        <v>849286</v>
      </c>
      <c r="H596">
        <f>0</f>
        <v>356</v>
      </c>
      <c r="I596">
        <f>G596+H596</f>
        <v>849642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219</v>
      </c>
      <c r="C597" t="s">
        <v>88</v>
      </c>
      <c r="D597" t="s">
        <v>89</v>
      </c>
      <c r="E597" t="s">
        <v>86</v>
      </c>
      <c r="F597">
        <v>0</v>
      </c>
      <c r="G597">
        <f>MAX(I596,I592)</f>
        <v>849642</v>
      </c>
      <c r="H597">
        <f>0</f>
        <v>116</v>
      </c>
      <c r="I597">
        <f>G597+H597</f>
        <v>849758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220</v>
      </c>
      <c r="C598" t="s">
        <v>88</v>
      </c>
      <c r="D598" t="s">
        <v>89</v>
      </c>
      <c r="E598" t="s">
        <v>86</v>
      </c>
      <c r="F598">
        <v>0</v>
      </c>
      <c r="G598">
        <f>MAX(I597,I593)</f>
        <v>849758</v>
      </c>
      <c r="H598">
        <f>0</f>
        <v>356</v>
      </c>
      <c r="I598">
        <f>G598+H598</f>
        <v>850114</v>
      </c>
      <c r="J598">
        <f>IF(AND(D598&lt;&gt;"dram",D598&lt;&gt;"control"),H598,0)</f>
        <v>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34</v>
      </c>
      <c r="C599" t="s">
        <v>90</v>
      </c>
      <c r="D599" t="s">
        <v>17</v>
      </c>
      <c r="E599" t="s">
        <v>86</v>
      </c>
      <c r="F599">
        <v>0</v>
      </c>
      <c r="G599">
        <f>MAX(I598,I587)</f>
        <v>850114</v>
      </c>
      <c r="H599">
        <f>'Operations'!I12</f>
        <v>320</v>
      </c>
      <c r="I599">
        <f>G599+H599</f>
        <v>850434</v>
      </c>
      <c r="J599">
        <f>IF(AND(D599&lt;&gt;"dram",D599&lt;&gt;"control"),H599,0)</f>
        <v>320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221</v>
      </c>
      <c r="C600" t="s">
        <v>92</v>
      </c>
      <c r="D600" t="s">
        <v>83</v>
      </c>
      <c r="E600" t="s">
        <v>86</v>
      </c>
      <c r="F600">
        <v>16384</v>
      </c>
      <c r="G600">
        <f>MAX(I599,I595)</f>
        <v>850826</v>
      </c>
      <c r="H600">
        <f>CEILING((dram_access_latency+F600/dram_bandwidth)*frequency,1)</f>
        <v>356</v>
      </c>
      <c r="I600">
        <f>G600+H600</f>
        <v>851182</v>
      </c>
      <c r="J600">
        <f>IF(AND(D600&lt;&gt;"dram",D600&lt;&gt;"control"),H600,0)</f>
        <v>0</v>
      </c>
      <c r="K600">
        <f>IF(D600="dram",H600,0)</f>
        <v>356</v>
      </c>
      <c r="L600">
        <v>0</v>
      </c>
      <c r="M600">
        <v>16384</v>
      </c>
    </row>
    <row r="601" spans="1:13">
      <c r="A601">
        <v>599</v>
      </c>
      <c r="B601" t="s">
        <v>218</v>
      </c>
      <c r="C601" t="s">
        <v>88</v>
      </c>
      <c r="D601" t="s">
        <v>89</v>
      </c>
      <c r="E601" t="s">
        <v>93</v>
      </c>
      <c r="F601">
        <v>0</v>
      </c>
      <c r="G601">
        <f>MAX(I599,I594)</f>
        <v>850434</v>
      </c>
      <c r="H601">
        <f>0</f>
        <v>36</v>
      </c>
      <c r="I601">
        <f>G601+H601</f>
        <v>850470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220</v>
      </c>
      <c r="C602" t="s">
        <v>88</v>
      </c>
      <c r="D602" t="s">
        <v>89</v>
      </c>
      <c r="E602" t="s">
        <v>93</v>
      </c>
      <c r="F602">
        <v>0</v>
      </c>
      <c r="G602">
        <f>MAX(I601,I595)</f>
        <v>850470</v>
      </c>
      <c r="H602">
        <f>0</f>
        <v>356</v>
      </c>
      <c r="I602">
        <f>G602+H602</f>
        <v>850826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34</v>
      </c>
      <c r="C603" t="s">
        <v>90</v>
      </c>
      <c r="D603" t="s">
        <v>17</v>
      </c>
      <c r="E603" t="s">
        <v>93</v>
      </c>
      <c r="F603">
        <v>0</v>
      </c>
      <c r="G603">
        <f>MAX(I602,I599)</f>
        <v>850826</v>
      </c>
      <c r="H603">
        <f>'Operations'!I12</f>
        <v>320</v>
      </c>
      <c r="I603">
        <f>G603+H603</f>
        <v>851146</v>
      </c>
      <c r="J603">
        <f>IF(AND(D603&lt;&gt;"dram",D603&lt;&gt;"control"),H603,0)</f>
        <v>320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221</v>
      </c>
      <c r="C604" t="s">
        <v>92</v>
      </c>
      <c r="D604" t="s">
        <v>83</v>
      </c>
      <c r="E604" t="s">
        <v>93</v>
      </c>
      <c r="F604">
        <v>16384</v>
      </c>
      <c r="G604">
        <f>MAX(I603,I600)</f>
        <v>851182</v>
      </c>
      <c r="H604">
        <f>CEILING((dram_access_latency+F604/dram_bandwidth)*frequency,1)</f>
        <v>356</v>
      </c>
      <c r="I604">
        <f>G604+H604</f>
        <v>851538</v>
      </c>
      <c r="J604">
        <f>IF(AND(D604&lt;&gt;"dram",D604&lt;&gt;"control"),H604,0)</f>
        <v>0</v>
      </c>
      <c r="K604">
        <f>IF(D604="dram",H604,0)</f>
        <v>356</v>
      </c>
      <c r="L604">
        <v>0</v>
      </c>
      <c r="M604">
        <v>16384</v>
      </c>
    </row>
    <row r="605" spans="1:13">
      <c r="A605">
        <v>603</v>
      </c>
      <c r="B605" t="s">
        <v>222</v>
      </c>
      <c r="C605" t="s">
        <v>88</v>
      </c>
      <c r="D605" t="s">
        <v>89</v>
      </c>
      <c r="E605" t="s">
        <v>84</v>
      </c>
      <c r="F605">
        <v>0</v>
      </c>
      <c r="G605">
        <f>MAX(I603,I600)</f>
        <v>851146</v>
      </c>
      <c r="H605">
        <f>0</f>
        <v>36</v>
      </c>
      <c r="I605">
        <f>G605+H605</f>
        <v>851182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223</v>
      </c>
      <c r="C606" t="s">
        <v>88</v>
      </c>
      <c r="D606" t="s">
        <v>89</v>
      </c>
      <c r="E606" t="s">
        <v>84</v>
      </c>
      <c r="F606">
        <v>0</v>
      </c>
      <c r="G606">
        <f>MAX(I605,I604)</f>
        <v>851182</v>
      </c>
      <c r="H606">
        <f>0</f>
        <v>356</v>
      </c>
      <c r="I606">
        <f>G606+H606</f>
        <v>851538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224</v>
      </c>
      <c r="C607" t="s">
        <v>82</v>
      </c>
      <c r="D607" t="s">
        <v>83</v>
      </c>
      <c r="E607" t="s">
        <v>84</v>
      </c>
      <c r="F607">
        <v>32</v>
      </c>
      <c r="G607">
        <f>MAX(I606,I604)</f>
        <v>851538</v>
      </c>
      <c r="H607">
        <f>CEILING((dram_access_latency+F607/dram_bandwidth)*frequency,1)</f>
        <v>101</v>
      </c>
      <c r="I607">
        <f>G607+H607</f>
        <v>851639</v>
      </c>
      <c r="J607">
        <f>IF(AND(D607&lt;&gt;"dram",D607&lt;&gt;"control"),H607,0)</f>
        <v>0</v>
      </c>
      <c r="K607">
        <f>IF(D607="dram",H607,0)</f>
        <v>101</v>
      </c>
      <c r="L607">
        <v>32</v>
      </c>
      <c r="M607">
        <v>0</v>
      </c>
    </row>
    <row r="608" spans="1:13">
      <c r="A608">
        <v>606</v>
      </c>
      <c r="B608" t="s">
        <v>224</v>
      </c>
      <c r="C608" t="s">
        <v>82</v>
      </c>
      <c r="D608" t="s">
        <v>83</v>
      </c>
      <c r="E608" t="s">
        <v>84</v>
      </c>
      <c r="F608">
        <v>32768</v>
      </c>
      <c r="G608">
        <f>MAX(I607,I607)</f>
        <v>851639</v>
      </c>
      <c r="H608">
        <f>CEILING((dram_access_latency+F608/dram_bandwidth)*frequency,1)</f>
        <v>612</v>
      </c>
      <c r="I608">
        <f>G608+H608</f>
        <v>852251</v>
      </c>
      <c r="J608">
        <f>IF(AND(D608&lt;&gt;"dram",D608&lt;&gt;"control"),H608,0)</f>
        <v>0</v>
      </c>
      <c r="K608">
        <f>IF(D608="dram",H608,0)</f>
        <v>612</v>
      </c>
      <c r="L608">
        <v>32768</v>
      </c>
      <c r="M608">
        <v>0</v>
      </c>
    </row>
    <row r="609" spans="1:13">
      <c r="A609">
        <v>607</v>
      </c>
      <c r="B609" t="s">
        <v>224</v>
      </c>
      <c r="C609" t="s">
        <v>92</v>
      </c>
      <c r="D609" t="s">
        <v>83</v>
      </c>
      <c r="E609" t="s">
        <v>84</v>
      </c>
      <c r="F609">
        <v>32768</v>
      </c>
      <c r="G609">
        <f>MAX(I608,I608)</f>
        <v>852251</v>
      </c>
      <c r="H609">
        <f>CEILING((dram_access_latency+F609/dram_bandwidth)*frequency,1)</f>
        <v>612</v>
      </c>
      <c r="I609">
        <f>G609+H609</f>
        <v>852863</v>
      </c>
      <c r="J609">
        <f>IF(AND(D609&lt;&gt;"dram",D609&lt;&gt;"control"),H609,0)</f>
        <v>0</v>
      </c>
      <c r="K609">
        <f>IF(D609="dram",H609,0)</f>
        <v>612</v>
      </c>
      <c r="L609">
        <v>0</v>
      </c>
      <c r="M609">
        <v>32768</v>
      </c>
    </row>
    <row r="610" spans="1:13">
      <c r="A610">
        <v>608</v>
      </c>
      <c r="B610" t="s">
        <v>225</v>
      </c>
      <c r="C610" t="s">
        <v>82</v>
      </c>
      <c r="D610" t="s">
        <v>83</v>
      </c>
      <c r="E610" t="s">
        <v>84</v>
      </c>
      <c r="F610">
        <v>5242880</v>
      </c>
      <c r="G610">
        <f>MAX(I609,I609)</f>
        <v>852863</v>
      </c>
      <c r="H610">
        <f>CEILING((dram_access_latency+F610/dram_bandwidth)*frequency,1)</f>
        <v>82020</v>
      </c>
      <c r="I610">
        <f>G610+H610</f>
        <v>934883</v>
      </c>
      <c r="J610">
        <f>IF(AND(D610&lt;&gt;"dram",D610&lt;&gt;"control"),H610,0)</f>
        <v>0</v>
      </c>
      <c r="K610">
        <f>IF(D610="dram",H610,0)</f>
        <v>82020</v>
      </c>
      <c r="L610">
        <v>5242880</v>
      </c>
      <c r="M610">
        <v>0</v>
      </c>
    </row>
    <row r="611" spans="1:13">
      <c r="A611">
        <v>609</v>
      </c>
      <c r="B611" t="s">
        <v>225</v>
      </c>
      <c r="C611" t="s">
        <v>92</v>
      </c>
      <c r="D611" t="s">
        <v>83</v>
      </c>
      <c r="E611" t="s">
        <v>84</v>
      </c>
      <c r="F611">
        <v>5242880</v>
      </c>
      <c r="G611">
        <f>MAX(I610,I610)</f>
        <v>934883</v>
      </c>
      <c r="H611">
        <f>CEILING((dram_access_latency+F611/dram_bandwidth)*frequency,1)</f>
        <v>82020</v>
      </c>
      <c r="I611">
        <f>G611+H611</f>
        <v>1016903</v>
      </c>
      <c r="J611">
        <f>IF(AND(D611&lt;&gt;"dram",D611&lt;&gt;"control"),H611,0)</f>
        <v>0</v>
      </c>
      <c r="K611">
        <f>IF(D611="dram",H611,0)</f>
        <v>82020</v>
      </c>
      <c r="L611">
        <v>0</v>
      </c>
      <c r="M611">
        <v>5242880</v>
      </c>
    </row>
    <row r="612" spans="1:13">
      <c r="A612">
        <v>610</v>
      </c>
      <c r="B612" t="s">
        <v>226</v>
      </c>
      <c r="C612" t="s">
        <v>82</v>
      </c>
      <c r="D612" t="s">
        <v>83</v>
      </c>
      <c r="E612" t="s">
        <v>84</v>
      </c>
      <c r="F612">
        <v>327680</v>
      </c>
      <c r="G612">
        <f>MAX(I611,I611)</f>
        <v>1016903</v>
      </c>
      <c r="H612">
        <f>CEILING((dram_access_latency+F612/dram_bandwidth)*frequency,1)</f>
        <v>5220</v>
      </c>
      <c r="I612">
        <f>G612+H612</f>
        <v>1022123</v>
      </c>
      <c r="J612">
        <f>IF(AND(D612&lt;&gt;"dram",D612&lt;&gt;"control"),H612,0)</f>
        <v>0</v>
      </c>
      <c r="K612">
        <f>IF(D612="dram",H612,0)</f>
        <v>5220</v>
      </c>
      <c r="L612">
        <v>327680</v>
      </c>
      <c r="M612">
        <v>0</v>
      </c>
    </row>
    <row r="613" spans="1:13">
      <c r="A613">
        <v>611</v>
      </c>
      <c r="B613" t="s">
        <v>227</v>
      </c>
      <c r="C613" t="s">
        <v>82</v>
      </c>
      <c r="D613" t="s">
        <v>83</v>
      </c>
      <c r="E613" t="s">
        <v>86</v>
      </c>
      <c r="F613">
        <v>327680</v>
      </c>
      <c r="G613">
        <f>MAX(I611,I612)</f>
        <v>1022123</v>
      </c>
      <c r="H613">
        <f>CEILING((dram_access_latency+F613/dram_bandwidth)*frequency,1)</f>
        <v>5220</v>
      </c>
      <c r="I613">
        <f>G613+H613</f>
        <v>1027343</v>
      </c>
      <c r="J613">
        <f>IF(AND(D613&lt;&gt;"dram",D613&lt;&gt;"control"),H613,0)</f>
        <v>0</v>
      </c>
      <c r="K613">
        <f>IF(D613="dram",H613,0)</f>
        <v>5220</v>
      </c>
      <c r="L613">
        <v>327680</v>
      </c>
      <c r="M613">
        <v>0</v>
      </c>
    </row>
    <row r="614" spans="1:13">
      <c r="A614">
        <v>612</v>
      </c>
      <c r="B614" t="s">
        <v>228</v>
      </c>
      <c r="C614" t="s">
        <v>88</v>
      </c>
      <c r="D614" t="s">
        <v>89</v>
      </c>
      <c r="E614" t="s">
        <v>86</v>
      </c>
      <c r="F614">
        <v>0</v>
      </c>
      <c r="G614">
        <f>MAX(I611,I612)</f>
        <v>1016903</v>
      </c>
      <c r="H614">
        <f>0</f>
        <v>5220</v>
      </c>
      <c r="I614">
        <f>G614+H614</f>
        <v>1022123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35</v>
      </c>
      <c r="C615" t="s">
        <v>90</v>
      </c>
      <c r="D615" t="s">
        <v>17</v>
      </c>
      <c r="E615" t="s">
        <v>86</v>
      </c>
      <c r="F615">
        <v>0</v>
      </c>
      <c r="G615">
        <f>MAX(I614,I603)</f>
        <v>1022123</v>
      </c>
      <c r="H615">
        <f>'Operations'!I13</f>
        <v>5184</v>
      </c>
      <c r="I615">
        <f>G615+H615</f>
        <v>1027307</v>
      </c>
      <c r="J615">
        <f>IF(AND(D615&lt;&gt;"dram",D615&lt;&gt;"control"),H615,0)</f>
        <v>5184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229</v>
      </c>
      <c r="C616" t="s">
        <v>92</v>
      </c>
      <c r="D616" t="s">
        <v>83</v>
      </c>
      <c r="E616" t="s">
        <v>86</v>
      </c>
      <c r="F616">
        <v>2560</v>
      </c>
      <c r="G616">
        <f>MAX(I615,I613)</f>
        <v>1027343</v>
      </c>
      <c r="H616">
        <f>CEILING((dram_access_latency+F616/dram_bandwidth)*frequency,1)</f>
        <v>140</v>
      </c>
      <c r="I616">
        <f>G616+H616</f>
        <v>1027483</v>
      </c>
      <c r="J616">
        <f>IF(AND(D616&lt;&gt;"dram",D616&lt;&gt;"control"),H616,0)</f>
        <v>0</v>
      </c>
      <c r="K616">
        <f>IF(D616="dram",H616,0)</f>
        <v>140</v>
      </c>
      <c r="L616">
        <v>0</v>
      </c>
      <c r="M616">
        <v>2560</v>
      </c>
    </row>
    <row r="617" spans="1:13">
      <c r="A617">
        <v>615</v>
      </c>
      <c r="B617" t="s">
        <v>230</v>
      </c>
      <c r="C617" t="s">
        <v>92</v>
      </c>
      <c r="D617" t="s">
        <v>83</v>
      </c>
      <c r="E617" t="s">
        <v>86</v>
      </c>
      <c r="F617">
        <v>122880</v>
      </c>
      <c r="G617">
        <f>MAX(I615,I616)</f>
        <v>1027483</v>
      </c>
      <c r="H617">
        <f>CEILING((dram_access_latency+F617/dram_bandwidth)*frequency,1)</f>
        <v>2020</v>
      </c>
      <c r="I617">
        <f>G617+H617</f>
        <v>1029503</v>
      </c>
      <c r="J617">
        <f>IF(AND(D617&lt;&gt;"dram",D617&lt;&gt;"control"),H617,0)</f>
        <v>0</v>
      </c>
      <c r="K617">
        <f>IF(D617="dram",H617,0)</f>
        <v>2020</v>
      </c>
      <c r="L617">
        <v>0</v>
      </c>
      <c r="M617">
        <v>122880</v>
      </c>
    </row>
    <row r="618" spans="1:13">
      <c r="A618">
        <v>616</v>
      </c>
      <c r="B618" t="s">
        <v>227</v>
      </c>
      <c r="C618" t="s">
        <v>82</v>
      </c>
      <c r="D618" t="s">
        <v>83</v>
      </c>
      <c r="E618" t="s">
        <v>93</v>
      </c>
      <c r="F618">
        <v>327680</v>
      </c>
      <c r="G618">
        <f>MAX(I615,I617)</f>
        <v>1029503</v>
      </c>
      <c r="H618">
        <f>CEILING((dram_access_latency+F618/dram_bandwidth)*frequency,1)</f>
        <v>5220</v>
      </c>
      <c r="I618">
        <f>G618+H618</f>
        <v>1034723</v>
      </c>
      <c r="J618">
        <f>IF(AND(D618&lt;&gt;"dram",D618&lt;&gt;"control"),H618,0)</f>
        <v>0</v>
      </c>
      <c r="K618">
        <f>IF(D618="dram",H618,0)</f>
        <v>5220</v>
      </c>
      <c r="L618">
        <v>327680</v>
      </c>
      <c r="M618">
        <v>0</v>
      </c>
    </row>
    <row r="619" spans="1:13">
      <c r="A619">
        <v>617</v>
      </c>
      <c r="B619" t="s">
        <v>228</v>
      </c>
      <c r="C619" t="s">
        <v>88</v>
      </c>
      <c r="D619" t="s">
        <v>89</v>
      </c>
      <c r="E619" t="s">
        <v>93</v>
      </c>
      <c r="F619">
        <v>0</v>
      </c>
      <c r="G619">
        <f>MAX(I615,I613)</f>
        <v>1027307</v>
      </c>
      <c r="H619">
        <f>0</f>
        <v>36</v>
      </c>
      <c r="I619">
        <f>G619+H619</f>
        <v>1027343</v>
      </c>
      <c r="J619">
        <f>IF(AND(D619&lt;&gt;"dram",D619&lt;&gt;"control"),H619,0)</f>
        <v>0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35</v>
      </c>
      <c r="C620" t="s">
        <v>90</v>
      </c>
      <c r="D620" t="s">
        <v>17</v>
      </c>
      <c r="E620" t="s">
        <v>93</v>
      </c>
      <c r="F620">
        <v>0</v>
      </c>
      <c r="G620">
        <f>MAX(I619,I615)</f>
        <v>1027343</v>
      </c>
      <c r="H620">
        <f>'Operations'!I13</f>
        <v>5184</v>
      </c>
      <c r="I620">
        <f>G620+H620</f>
        <v>1032527</v>
      </c>
      <c r="J620">
        <f>IF(AND(D620&lt;&gt;"dram",D620&lt;&gt;"control"),H620,0)</f>
        <v>5184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229</v>
      </c>
      <c r="C621" t="s">
        <v>92</v>
      </c>
      <c r="D621" t="s">
        <v>83</v>
      </c>
      <c r="E621" t="s">
        <v>93</v>
      </c>
      <c r="F621">
        <v>2560</v>
      </c>
      <c r="G621">
        <f>MAX(I620,I618)</f>
        <v>1034723</v>
      </c>
      <c r="H621">
        <f>CEILING((dram_access_latency+F621/dram_bandwidth)*frequency,1)</f>
        <v>140</v>
      </c>
      <c r="I621">
        <f>G621+H621</f>
        <v>1034863</v>
      </c>
      <c r="J621">
        <f>IF(AND(D621&lt;&gt;"dram",D621&lt;&gt;"control"),H621,0)</f>
        <v>0</v>
      </c>
      <c r="K621">
        <f>IF(D621="dram",H621,0)</f>
        <v>140</v>
      </c>
      <c r="L621">
        <v>0</v>
      </c>
      <c r="M621">
        <v>2560</v>
      </c>
    </row>
    <row r="622" spans="1:13">
      <c r="A622">
        <v>620</v>
      </c>
      <c r="B622" t="s">
        <v>230</v>
      </c>
      <c r="C622" t="s">
        <v>92</v>
      </c>
      <c r="D622" t="s">
        <v>83</v>
      </c>
      <c r="E622" t="s">
        <v>93</v>
      </c>
      <c r="F622">
        <v>122880</v>
      </c>
      <c r="G622">
        <f>MAX(I620,I621)</f>
        <v>1034863</v>
      </c>
      <c r="H622">
        <f>CEILING((dram_access_latency+F622/dram_bandwidth)*frequency,1)</f>
        <v>2020</v>
      </c>
      <c r="I622">
        <f>G622+H622</f>
        <v>1036883</v>
      </c>
      <c r="J622">
        <f>IF(AND(D622&lt;&gt;"dram",D622&lt;&gt;"control"),H622,0)</f>
        <v>0</v>
      </c>
      <c r="K622">
        <f>IF(D622="dram",H622,0)</f>
        <v>2020</v>
      </c>
      <c r="L622">
        <v>0</v>
      </c>
      <c r="M622">
        <v>122880</v>
      </c>
    </row>
    <row r="623" spans="1:13">
      <c r="A623">
        <v>621</v>
      </c>
      <c r="B623" t="s">
        <v>227</v>
      </c>
      <c r="C623" t="s">
        <v>82</v>
      </c>
      <c r="D623" t="s">
        <v>83</v>
      </c>
      <c r="E623" t="s">
        <v>111</v>
      </c>
      <c r="F623">
        <v>327680</v>
      </c>
      <c r="G623">
        <f>MAX(I620,I622)</f>
        <v>1036883</v>
      </c>
      <c r="H623">
        <f>CEILING((dram_access_latency+F623/dram_bandwidth)*frequency,1)</f>
        <v>5220</v>
      </c>
      <c r="I623">
        <f>G623+H623</f>
        <v>1042103</v>
      </c>
      <c r="J623">
        <f>IF(AND(D623&lt;&gt;"dram",D623&lt;&gt;"control"),H623,0)</f>
        <v>0</v>
      </c>
      <c r="K623">
        <f>IF(D623="dram",H623,0)</f>
        <v>5220</v>
      </c>
      <c r="L623">
        <v>327680</v>
      </c>
      <c r="M623">
        <v>0</v>
      </c>
    </row>
    <row r="624" spans="1:13">
      <c r="A624">
        <v>622</v>
      </c>
      <c r="B624" t="s">
        <v>228</v>
      </c>
      <c r="C624" t="s">
        <v>88</v>
      </c>
      <c r="D624" t="s">
        <v>89</v>
      </c>
      <c r="E624" t="s">
        <v>111</v>
      </c>
      <c r="F624">
        <v>0</v>
      </c>
      <c r="G624">
        <f>MAX(I620,I618)</f>
        <v>1032527</v>
      </c>
      <c r="H624">
        <f>0</f>
        <v>2196</v>
      </c>
      <c r="I624">
        <f>G624+H624</f>
        <v>1034723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231</v>
      </c>
      <c r="C625" t="s">
        <v>88</v>
      </c>
      <c r="D625" t="s">
        <v>89</v>
      </c>
      <c r="E625" t="s">
        <v>111</v>
      </c>
      <c r="F625">
        <v>0</v>
      </c>
      <c r="G625">
        <f>MAX(I624,I616)</f>
        <v>1034723</v>
      </c>
      <c r="H625">
        <f>0</f>
        <v>0</v>
      </c>
      <c r="I625">
        <f>G625+H625</f>
        <v>1034723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232</v>
      </c>
      <c r="C626" t="s">
        <v>88</v>
      </c>
      <c r="D626" t="s">
        <v>89</v>
      </c>
      <c r="E626" t="s">
        <v>111</v>
      </c>
      <c r="F626">
        <v>0</v>
      </c>
      <c r="G626">
        <f>MAX(I625,I617)</f>
        <v>1034723</v>
      </c>
      <c r="H626">
        <f>0</f>
        <v>0</v>
      </c>
      <c r="I626">
        <f>G626+H626</f>
        <v>1034723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35</v>
      </c>
      <c r="C627" t="s">
        <v>90</v>
      </c>
      <c r="D627" t="s">
        <v>17</v>
      </c>
      <c r="E627" t="s">
        <v>111</v>
      </c>
      <c r="F627">
        <v>0</v>
      </c>
      <c r="G627">
        <f>MAX(I626,I620)</f>
        <v>1034723</v>
      </c>
      <c r="H627">
        <f>'Operations'!I13</f>
        <v>5184</v>
      </c>
      <c r="I627">
        <f>G627+H627</f>
        <v>1039907</v>
      </c>
      <c r="J627">
        <f>IF(AND(D627&lt;&gt;"dram",D627&lt;&gt;"control"),H627,0)</f>
        <v>5184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229</v>
      </c>
      <c r="C628" t="s">
        <v>92</v>
      </c>
      <c r="D628" t="s">
        <v>83</v>
      </c>
      <c r="E628" t="s">
        <v>111</v>
      </c>
      <c r="F628">
        <v>2560</v>
      </c>
      <c r="G628">
        <f>MAX(I627,I623)</f>
        <v>1042103</v>
      </c>
      <c r="H628">
        <f>CEILING((dram_access_latency+F628/dram_bandwidth)*frequency,1)</f>
        <v>140</v>
      </c>
      <c r="I628">
        <f>G628+H628</f>
        <v>1042243</v>
      </c>
      <c r="J628">
        <f>IF(AND(D628&lt;&gt;"dram",D628&lt;&gt;"control"),H628,0)</f>
        <v>0</v>
      </c>
      <c r="K628">
        <f>IF(D628="dram",H628,0)</f>
        <v>140</v>
      </c>
      <c r="L628">
        <v>0</v>
      </c>
      <c r="M628">
        <v>2560</v>
      </c>
    </row>
    <row r="629" spans="1:13">
      <c r="A629">
        <v>627</v>
      </c>
      <c r="B629" t="s">
        <v>230</v>
      </c>
      <c r="C629" t="s">
        <v>92</v>
      </c>
      <c r="D629" t="s">
        <v>83</v>
      </c>
      <c r="E629" t="s">
        <v>111</v>
      </c>
      <c r="F629">
        <v>122880</v>
      </c>
      <c r="G629">
        <f>MAX(I627,I628)</f>
        <v>1042243</v>
      </c>
      <c r="H629">
        <f>CEILING((dram_access_latency+F629/dram_bandwidth)*frequency,1)</f>
        <v>2020</v>
      </c>
      <c r="I629">
        <f>G629+H629</f>
        <v>1044263</v>
      </c>
      <c r="J629">
        <f>IF(AND(D629&lt;&gt;"dram",D629&lt;&gt;"control"),H629,0)</f>
        <v>0</v>
      </c>
      <c r="K629">
        <f>IF(D629="dram",H629,0)</f>
        <v>2020</v>
      </c>
      <c r="L629">
        <v>0</v>
      </c>
      <c r="M629">
        <v>122880</v>
      </c>
    </row>
    <row r="630" spans="1:13">
      <c r="A630">
        <v>628</v>
      </c>
      <c r="B630" t="s">
        <v>227</v>
      </c>
      <c r="C630" t="s">
        <v>82</v>
      </c>
      <c r="D630" t="s">
        <v>83</v>
      </c>
      <c r="E630" t="s">
        <v>112</v>
      </c>
      <c r="F630">
        <v>327680</v>
      </c>
      <c r="G630">
        <f>MAX(I627,I629)</f>
        <v>1044263</v>
      </c>
      <c r="H630">
        <f>CEILING((dram_access_latency+F630/dram_bandwidth)*frequency,1)</f>
        <v>5220</v>
      </c>
      <c r="I630">
        <f>G630+H630</f>
        <v>1049483</v>
      </c>
      <c r="J630">
        <f>IF(AND(D630&lt;&gt;"dram",D630&lt;&gt;"control"),H630,0)</f>
        <v>0</v>
      </c>
      <c r="K630">
        <f>IF(D630="dram",H630,0)</f>
        <v>5220</v>
      </c>
      <c r="L630">
        <v>327680</v>
      </c>
      <c r="M630">
        <v>0</v>
      </c>
    </row>
    <row r="631" spans="1:13">
      <c r="A631">
        <v>629</v>
      </c>
      <c r="B631" t="s">
        <v>228</v>
      </c>
      <c r="C631" t="s">
        <v>88</v>
      </c>
      <c r="D631" t="s">
        <v>89</v>
      </c>
      <c r="E631" t="s">
        <v>112</v>
      </c>
      <c r="F631">
        <v>0</v>
      </c>
      <c r="G631">
        <f>MAX(I627,I623)</f>
        <v>1039907</v>
      </c>
      <c r="H631">
        <f>0</f>
        <v>2196</v>
      </c>
      <c r="I631">
        <f>G631+H631</f>
        <v>1042103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231</v>
      </c>
      <c r="C632" t="s">
        <v>88</v>
      </c>
      <c r="D632" t="s">
        <v>89</v>
      </c>
      <c r="E632" t="s">
        <v>112</v>
      </c>
      <c r="F632">
        <v>0</v>
      </c>
      <c r="G632">
        <f>MAX(I631,I621)</f>
        <v>1042103</v>
      </c>
      <c r="H632">
        <f>0</f>
        <v>0</v>
      </c>
      <c r="I632">
        <f>G632+H632</f>
        <v>1042103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232</v>
      </c>
      <c r="C633" t="s">
        <v>88</v>
      </c>
      <c r="D633" t="s">
        <v>89</v>
      </c>
      <c r="E633" t="s">
        <v>112</v>
      </c>
      <c r="F633">
        <v>0</v>
      </c>
      <c r="G633">
        <f>MAX(I632,I622)</f>
        <v>1042103</v>
      </c>
      <c r="H633">
        <f>0</f>
        <v>0</v>
      </c>
      <c r="I633">
        <f>G633+H633</f>
        <v>1042103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35</v>
      </c>
      <c r="C634" t="s">
        <v>90</v>
      </c>
      <c r="D634" t="s">
        <v>17</v>
      </c>
      <c r="E634" t="s">
        <v>112</v>
      </c>
      <c r="F634">
        <v>0</v>
      </c>
      <c r="G634">
        <f>MAX(I633,I627)</f>
        <v>1042103</v>
      </c>
      <c r="H634">
        <f>'Operations'!I13</f>
        <v>5184</v>
      </c>
      <c r="I634">
        <f>G634+H634</f>
        <v>1047287</v>
      </c>
      <c r="J634">
        <f>IF(AND(D634&lt;&gt;"dram",D634&lt;&gt;"control"),H634,0)</f>
        <v>5184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229</v>
      </c>
      <c r="C635" t="s">
        <v>92</v>
      </c>
      <c r="D635" t="s">
        <v>83</v>
      </c>
      <c r="E635" t="s">
        <v>112</v>
      </c>
      <c r="F635">
        <v>2560</v>
      </c>
      <c r="G635">
        <f>MAX(I634,I630)</f>
        <v>1049483</v>
      </c>
      <c r="H635">
        <f>CEILING((dram_access_latency+F635/dram_bandwidth)*frequency,1)</f>
        <v>140</v>
      </c>
      <c r="I635">
        <f>G635+H635</f>
        <v>1049623</v>
      </c>
      <c r="J635">
        <f>IF(AND(D635&lt;&gt;"dram",D635&lt;&gt;"control"),H635,0)</f>
        <v>0</v>
      </c>
      <c r="K635">
        <f>IF(D635="dram",H635,0)</f>
        <v>140</v>
      </c>
      <c r="L635">
        <v>0</v>
      </c>
      <c r="M635">
        <v>2560</v>
      </c>
    </row>
    <row r="636" spans="1:13">
      <c r="A636">
        <v>634</v>
      </c>
      <c r="B636" t="s">
        <v>230</v>
      </c>
      <c r="C636" t="s">
        <v>92</v>
      </c>
      <c r="D636" t="s">
        <v>83</v>
      </c>
      <c r="E636" t="s">
        <v>112</v>
      </c>
      <c r="F636">
        <v>122880</v>
      </c>
      <c r="G636">
        <f>MAX(I634,I635)</f>
        <v>1049623</v>
      </c>
      <c r="H636">
        <f>CEILING((dram_access_latency+F636/dram_bandwidth)*frequency,1)</f>
        <v>2020</v>
      </c>
      <c r="I636">
        <f>G636+H636</f>
        <v>1051643</v>
      </c>
      <c r="J636">
        <f>IF(AND(D636&lt;&gt;"dram",D636&lt;&gt;"control"),H636,0)</f>
        <v>0</v>
      </c>
      <c r="K636">
        <f>IF(D636="dram",H636,0)</f>
        <v>2020</v>
      </c>
      <c r="L636">
        <v>0</v>
      </c>
      <c r="M636">
        <v>122880</v>
      </c>
    </row>
    <row r="637" spans="1:13">
      <c r="A637">
        <v>635</v>
      </c>
      <c r="B637" t="s">
        <v>227</v>
      </c>
      <c r="C637" t="s">
        <v>82</v>
      </c>
      <c r="D637" t="s">
        <v>83</v>
      </c>
      <c r="E637" t="s">
        <v>113</v>
      </c>
      <c r="F637">
        <v>327680</v>
      </c>
      <c r="G637">
        <f>MAX(I634,I636)</f>
        <v>1051643</v>
      </c>
      <c r="H637">
        <f>CEILING((dram_access_latency+F637/dram_bandwidth)*frequency,1)</f>
        <v>5220</v>
      </c>
      <c r="I637">
        <f>G637+H637</f>
        <v>1056863</v>
      </c>
      <c r="J637">
        <f>IF(AND(D637&lt;&gt;"dram",D637&lt;&gt;"control"),H637,0)</f>
        <v>0</v>
      </c>
      <c r="K637">
        <f>IF(D637="dram",H637,0)</f>
        <v>5220</v>
      </c>
      <c r="L637">
        <v>327680</v>
      </c>
      <c r="M637">
        <v>0</v>
      </c>
    </row>
    <row r="638" spans="1:13">
      <c r="A638">
        <v>636</v>
      </c>
      <c r="B638" t="s">
        <v>228</v>
      </c>
      <c r="C638" t="s">
        <v>88</v>
      </c>
      <c r="D638" t="s">
        <v>89</v>
      </c>
      <c r="E638" t="s">
        <v>113</v>
      </c>
      <c r="F638">
        <v>0</v>
      </c>
      <c r="G638">
        <f>MAX(I634,I630)</f>
        <v>1047287</v>
      </c>
      <c r="H638">
        <f>0</f>
        <v>2196</v>
      </c>
      <c r="I638">
        <f>G638+H638</f>
        <v>1049483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231</v>
      </c>
      <c r="C639" t="s">
        <v>88</v>
      </c>
      <c r="D639" t="s">
        <v>89</v>
      </c>
      <c r="E639" t="s">
        <v>113</v>
      </c>
      <c r="F639">
        <v>0</v>
      </c>
      <c r="G639">
        <f>MAX(I638,I628)</f>
        <v>1049483</v>
      </c>
      <c r="H639">
        <f>0</f>
        <v>0</v>
      </c>
      <c r="I639">
        <f>G639+H639</f>
        <v>1049483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232</v>
      </c>
      <c r="C640" t="s">
        <v>88</v>
      </c>
      <c r="D640" t="s">
        <v>89</v>
      </c>
      <c r="E640" t="s">
        <v>113</v>
      </c>
      <c r="F640">
        <v>0</v>
      </c>
      <c r="G640">
        <f>MAX(I639,I629)</f>
        <v>1049483</v>
      </c>
      <c r="H640">
        <f>0</f>
        <v>0</v>
      </c>
      <c r="I640">
        <f>G640+H640</f>
        <v>1049483</v>
      </c>
      <c r="J640">
        <f>IF(AND(D640&lt;&gt;"dram",D640&lt;&gt;"control"),H640,0)</f>
        <v>0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35</v>
      </c>
      <c r="C641" t="s">
        <v>90</v>
      </c>
      <c r="D641" t="s">
        <v>17</v>
      </c>
      <c r="E641" t="s">
        <v>113</v>
      </c>
      <c r="F641">
        <v>0</v>
      </c>
      <c r="G641">
        <f>MAX(I640,I634)</f>
        <v>1049483</v>
      </c>
      <c r="H641">
        <f>'Operations'!I13</f>
        <v>5184</v>
      </c>
      <c r="I641">
        <f>G641+H641</f>
        <v>1054667</v>
      </c>
      <c r="J641">
        <f>IF(AND(D641&lt;&gt;"dram",D641&lt;&gt;"control"),H641,0)</f>
        <v>5184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229</v>
      </c>
      <c r="C642" t="s">
        <v>92</v>
      </c>
      <c r="D642" t="s">
        <v>83</v>
      </c>
      <c r="E642" t="s">
        <v>113</v>
      </c>
      <c r="F642">
        <v>2560</v>
      </c>
      <c r="G642">
        <f>MAX(I641,I637)</f>
        <v>1056863</v>
      </c>
      <c r="H642">
        <f>CEILING((dram_access_latency+F642/dram_bandwidth)*frequency,1)</f>
        <v>140</v>
      </c>
      <c r="I642">
        <f>G642+H642</f>
        <v>1057003</v>
      </c>
      <c r="J642">
        <f>IF(AND(D642&lt;&gt;"dram",D642&lt;&gt;"control"),H642,0)</f>
        <v>0</v>
      </c>
      <c r="K642">
        <f>IF(D642="dram",H642,0)</f>
        <v>140</v>
      </c>
      <c r="L642">
        <v>0</v>
      </c>
      <c r="M642">
        <v>2560</v>
      </c>
    </row>
    <row r="643" spans="1:13">
      <c r="A643">
        <v>641</v>
      </c>
      <c r="B643" t="s">
        <v>230</v>
      </c>
      <c r="C643" t="s">
        <v>92</v>
      </c>
      <c r="D643" t="s">
        <v>83</v>
      </c>
      <c r="E643" t="s">
        <v>113</v>
      </c>
      <c r="F643">
        <v>122880</v>
      </c>
      <c r="G643">
        <f>MAX(I641,I642)</f>
        <v>1057003</v>
      </c>
      <c r="H643">
        <f>CEILING((dram_access_latency+F643/dram_bandwidth)*frequency,1)</f>
        <v>2020</v>
      </c>
      <c r="I643">
        <f>G643+H643</f>
        <v>1059023</v>
      </c>
      <c r="J643">
        <f>IF(AND(D643&lt;&gt;"dram",D643&lt;&gt;"control"),H643,0)</f>
        <v>0</v>
      </c>
      <c r="K643">
        <f>IF(D643="dram",H643,0)</f>
        <v>2020</v>
      </c>
      <c r="L643">
        <v>0</v>
      </c>
      <c r="M643">
        <v>122880</v>
      </c>
    </row>
    <row r="644" spans="1:13">
      <c r="A644">
        <v>642</v>
      </c>
      <c r="B644" t="s">
        <v>227</v>
      </c>
      <c r="C644" t="s">
        <v>82</v>
      </c>
      <c r="D644" t="s">
        <v>83</v>
      </c>
      <c r="E644" t="s">
        <v>114</v>
      </c>
      <c r="F644">
        <v>327680</v>
      </c>
      <c r="G644">
        <f>MAX(I641,I643)</f>
        <v>1059023</v>
      </c>
      <c r="H644">
        <f>CEILING((dram_access_latency+F644/dram_bandwidth)*frequency,1)</f>
        <v>5220</v>
      </c>
      <c r="I644">
        <f>G644+H644</f>
        <v>1064243</v>
      </c>
      <c r="J644">
        <f>IF(AND(D644&lt;&gt;"dram",D644&lt;&gt;"control"),H644,0)</f>
        <v>0</v>
      </c>
      <c r="K644">
        <f>IF(D644="dram",H644,0)</f>
        <v>5220</v>
      </c>
      <c r="L644">
        <v>327680</v>
      </c>
      <c r="M644">
        <v>0</v>
      </c>
    </row>
    <row r="645" spans="1:13">
      <c r="A645">
        <v>643</v>
      </c>
      <c r="B645" t="s">
        <v>228</v>
      </c>
      <c r="C645" t="s">
        <v>88</v>
      </c>
      <c r="D645" t="s">
        <v>89</v>
      </c>
      <c r="E645" t="s">
        <v>114</v>
      </c>
      <c r="F645">
        <v>0</v>
      </c>
      <c r="G645">
        <f>MAX(I641,I637)</f>
        <v>1054667</v>
      </c>
      <c r="H645">
        <f>0</f>
        <v>2196</v>
      </c>
      <c r="I645">
        <f>G645+H645</f>
        <v>1056863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231</v>
      </c>
      <c r="C646" t="s">
        <v>88</v>
      </c>
      <c r="D646" t="s">
        <v>89</v>
      </c>
      <c r="E646" t="s">
        <v>114</v>
      </c>
      <c r="F646">
        <v>0</v>
      </c>
      <c r="G646">
        <f>MAX(I645,I635)</f>
        <v>1056863</v>
      </c>
      <c r="H646">
        <f>0</f>
        <v>0</v>
      </c>
      <c r="I646">
        <f>G646+H646</f>
        <v>1056863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232</v>
      </c>
      <c r="C647" t="s">
        <v>88</v>
      </c>
      <c r="D647" t="s">
        <v>89</v>
      </c>
      <c r="E647" t="s">
        <v>114</v>
      </c>
      <c r="F647">
        <v>0</v>
      </c>
      <c r="G647">
        <f>MAX(I646,I636)</f>
        <v>1056863</v>
      </c>
      <c r="H647">
        <f>0</f>
        <v>0</v>
      </c>
      <c r="I647">
        <f>G647+H647</f>
        <v>1056863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35</v>
      </c>
      <c r="C648" t="s">
        <v>90</v>
      </c>
      <c r="D648" t="s">
        <v>17</v>
      </c>
      <c r="E648" t="s">
        <v>114</v>
      </c>
      <c r="F648">
        <v>0</v>
      </c>
      <c r="G648">
        <f>MAX(I647,I641)</f>
        <v>1056863</v>
      </c>
      <c r="H648">
        <f>'Operations'!I13</f>
        <v>5184</v>
      </c>
      <c r="I648">
        <f>G648+H648</f>
        <v>1062047</v>
      </c>
      <c r="J648">
        <f>IF(AND(D648&lt;&gt;"dram",D648&lt;&gt;"control"),H648,0)</f>
        <v>5184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229</v>
      </c>
      <c r="C649" t="s">
        <v>92</v>
      </c>
      <c r="D649" t="s">
        <v>83</v>
      </c>
      <c r="E649" t="s">
        <v>114</v>
      </c>
      <c r="F649">
        <v>2560</v>
      </c>
      <c r="G649">
        <f>MAX(I648,I644)</f>
        <v>1064243</v>
      </c>
      <c r="H649">
        <f>CEILING((dram_access_latency+F649/dram_bandwidth)*frequency,1)</f>
        <v>140</v>
      </c>
      <c r="I649">
        <f>G649+H649</f>
        <v>1064383</v>
      </c>
      <c r="J649">
        <f>IF(AND(D649&lt;&gt;"dram",D649&lt;&gt;"control"),H649,0)</f>
        <v>0</v>
      </c>
      <c r="K649">
        <f>IF(D649="dram",H649,0)</f>
        <v>140</v>
      </c>
      <c r="L649">
        <v>0</v>
      </c>
      <c r="M649">
        <v>2560</v>
      </c>
    </row>
    <row r="650" spans="1:13">
      <c r="A650">
        <v>648</v>
      </c>
      <c r="B650" t="s">
        <v>230</v>
      </c>
      <c r="C650" t="s">
        <v>92</v>
      </c>
      <c r="D650" t="s">
        <v>83</v>
      </c>
      <c r="E650" t="s">
        <v>114</v>
      </c>
      <c r="F650">
        <v>122880</v>
      </c>
      <c r="G650">
        <f>MAX(I648,I649)</f>
        <v>1064383</v>
      </c>
      <c r="H650">
        <f>CEILING((dram_access_latency+F650/dram_bandwidth)*frequency,1)</f>
        <v>2020</v>
      </c>
      <c r="I650">
        <f>G650+H650</f>
        <v>1066403</v>
      </c>
      <c r="J650">
        <f>IF(AND(D650&lt;&gt;"dram",D650&lt;&gt;"control"),H650,0)</f>
        <v>0</v>
      </c>
      <c r="K650">
        <f>IF(D650="dram",H650,0)</f>
        <v>2020</v>
      </c>
      <c r="L650">
        <v>0</v>
      </c>
      <c r="M650">
        <v>122880</v>
      </c>
    </row>
    <row r="651" spans="1:13">
      <c r="A651">
        <v>649</v>
      </c>
      <c r="B651" t="s">
        <v>227</v>
      </c>
      <c r="C651" t="s">
        <v>82</v>
      </c>
      <c r="D651" t="s">
        <v>83</v>
      </c>
      <c r="E651" t="s">
        <v>115</v>
      </c>
      <c r="F651">
        <v>327680</v>
      </c>
      <c r="G651">
        <f>MAX(I648,I650)</f>
        <v>1066403</v>
      </c>
      <c r="H651">
        <f>CEILING((dram_access_latency+F651/dram_bandwidth)*frequency,1)</f>
        <v>5220</v>
      </c>
      <c r="I651">
        <f>G651+H651</f>
        <v>1071623</v>
      </c>
      <c r="J651">
        <f>IF(AND(D651&lt;&gt;"dram",D651&lt;&gt;"control"),H651,0)</f>
        <v>0</v>
      </c>
      <c r="K651">
        <f>IF(D651="dram",H651,0)</f>
        <v>5220</v>
      </c>
      <c r="L651">
        <v>327680</v>
      </c>
      <c r="M651">
        <v>0</v>
      </c>
    </row>
    <row r="652" spans="1:13">
      <c r="A652">
        <v>650</v>
      </c>
      <c r="B652" t="s">
        <v>228</v>
      </c>
      <c r="C652" t="s">
        <v>88</v>
      </c>
      <c r="D652" t="s">
        <v>89</v>
      </c>
      <c r="E652" t="s">
        <v>115</v>
      </c>
      <c r="F652">
        <v>0</v>
      </c>
      <c r="G652">
        <f>MAX(I648,I644)</f>
        <v>1062047</v>
      </c>
      <c r="H652">
        <f>0</f>
        <v>2196</v>
      </c>
      <c r="I652">
        <f>G652+H652</f>
        <v>1064243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231</v>
      </c>
      <c r="C653" t="s">
        <v>88</v>
      </c>
      <c r="D653" t="s">
        <v>89</v>
      </c>
      <c r="E653" t="s">
        <v>115</v>
      </c>
      <c r="F653">
        <v>0</v>
      </c>
      <c r="G653">
        <f>MAX(I652,I642)</f>
        <v>1064243</v>
      </c>
      <c r="H653">
        <f>0</f>
        <v>0</v>
      </c>
      <c r="I653">
        <f>G653+H653</f>
        <v>1064243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232</v>
      </c>
      <c r="C654" t="s">
        <v>88</v>
      </c>
      <c r="D654" t="s">
        <v>89</v>
      </c>
      <c r="E654" t="s">
        <v>115</v>
      </c>
      <c r="F654">
        <v>0</v>
      </c>
      <c r="G654">
        <f>MAX(I653,I643)</f>
        <v>1064243</v>
      </c>
      <c r="H654">
        <f>0</f>
        <v>0</v>
      </c>
      <c r="I654">
        <f>G654+H654</f>
        <v>1064243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35</v>
      </c>
      <c r="C655" t="s">
        <v>90</v>
      </c>
      <c r="D655" t="s">
        <v>17</v>
      </c>
      <c r="E655" t="s">
        <v>115</v>
      </c>
      <c r="F655">
        <v>0</v>
      </c>
      <c r="G655">
        <f>MAX(I654,I648)</f>
        <v>1064243</v>
      </c>
      <c r="H655">
        <f>'Operations'!I13</f>
        <v>5184</v>
      </c>
      <c r="I655">
        <f>G655+H655</f>
        <v>1069427</v>
      </c>
      <c r="J655">
        <f>IF(AND(D655&lt;&gt;"dram",D655&lt;&gt;"control"),H655,0)</f>
        <v>5184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229</v>
      </c>
      <c r="C656" t="s">
        <v>92</v>
      </c>
      <c r="D656" t="s">
        <v>83</v>
      </c>
      <c r="E656" t="s">
        <v>115</v>
      </c>
      <c r="F656">
        <v>2560</v>
      </c>
      <c r="G656">
        <f>MAX(I655,I651)</f>
        <v>1071623</v>
      </c>
      <c r="H656">
        <f>CEILING((dram_access_latency+F656/dram_bandwidth)*frequency,1)</f>
        <v>140</v>
      </c>
      <c r="I656">
        <f>G656+H656</f>
        <v>1071763</v>
      </c>
      <c r="J656">
        <f>IF(AND(D656&lt;&gt;"dram",D656&lt;&gt;"control"),H656,0)</f>
        <v>0</v>
      </c>
      <c r="K656">
        <f>IF(D656="dram",H656,0)</f>
        <v>140</v>
      </c>
      <c r="L656">
        <v>0</v>
      </c>
      <c r="M656">
        <v>2560</v>
      </c>
    </row>
    <row r="657" spans="1:13">
      <c r="A657">
        <v>655</v>
      </c>
      <c r="B657" t="s">
        <v>230</v>
      </c>
      <c r="C657" t="s">
        <v>92</v>
      </c>
      <c r="D657" t="s">
        <v>83</v>
      </c>
      <c r="E657" t="s">
        <v>115</v>
      </c>
      <c r="F657">
        <v>122880</v>
      </c>
      <c r="G657">
        <f>MAX(I655,I656)</f>
        <v>1071763</v>
      </c>
      <c r="H657">
        <f>CEILING((dram_access_latency+F657/dram_bandwidth)*frequency,1)</f>
        <v>2020</v>
      </c>
      <c r="I657">
        <f>G657+H657</f>
        <v>1073783</v>
      </c>
      <c r="J657">
        <f>IF(AND(D657&lt;&gt;"dram",D657&lt;&gt;"control"),H657,0)</f>
        <v>0</v>
      </c>
      <c r="K657">
        <f>IF(D657="dram",H657,0)</f>
        <v>2020</v>
      </c>
      <c r="L657">
        <v>0</v>
      </c>
      <c r="M657">
        <v>122880</v>
      </c>
    </row>
    <row r="658" spans="1:13">
      <c r="A658">
        <v>656</v>
      </c>
      <c r="B658" t="s">
        <v>227</v>
      </c>
      <c r="C658" t="s">
        <v>82</v>
      </c>
      <c r="D658" t="s">
        <v>83</v>
      </c>
      <c r="E658" t="s">
        <v>116</v>
      </c>
      <c r="F658">
        <v>327680</v>
      </c>
      <c r="G658">
        <f>MAX(I655,I657)</f>
        <v>1073783</v>
      </c>
      <c r="H658">
        <f>CEILING((dram_access_latency+F658/dram_bandwidth)*frequency,1)</f>
        <v>5220</v>
      </c>
      <c r="I658">
        <f>G658+H658</f>
        <v>1079003</v>
      </c>
      <c r="J658">
        <f>IF(AND(D658&lt;&gt;"dram",D658&lt;&gt;"control"),H658,0)</f>
        <v>0</v>
      </c>
      <c r="K658">
        <f>IF(D658="dram",H658,0)</f>
        <v>5220</v>
      </c>
      <c r="L658">
        <v>327680</v>
      </c>
      <c r="M658">
        <v>0</v>
      </c>
    </row>
    <row r="659" spans="1:13">
      <c r="A659">
        <v>657</v>
      </c>
      <c r="B659" t="s">
        <v>228</v>
      </c>
      <c r="C659" t="s">
        <v>88</v>
      </c>
      <c r="D659" t="s">
        <v>89</v>
      </c>
      <c r="E659" t="s">
        <v>116</v>
      </c>
      <c r="F659">
        <v>0</v>
      </c>
      <c r="G659">
        <f>MAX(I655,I651)</f>
        <v>1069427</v>
      </c>
      <c r="H659">
        <f>0</f>
        <v>2196</v>
      </c>
      <c r="I659">
        <f>G659+H659</f>
        <v>1071623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231</v>
      </c>
      <c r="C660" t="s">
        <v>88</v>
      </c>
      <c r="D660" t="s">
        <v>89</v>
      </c>
      <c r="E660" t="s">
        <v>116</v>
      </c>
      <c r="F660">
        <v>0</v>
      </c>
      <c r="G660">
        <f>MAX(I659,I649)</f>
        <v>1071623</v>
      </c>
      <c r="H660">
        <f>0</f>
        <v>0</v>
      </c>
      <c r="I660">
        <f>G660+H660</f>
        <v>1071623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232</v>
      </c>
      <c r="C661" t="s">
        <v>88</v>
      </c>
      <c r="D661" t="s">
        <v>89</v>
      </c>
      <c r="E661" t="s">
        <v>116</v>
      </c>
      <c r="F661">
        <v>0</v>
      </c>
      <c r="G661">
        <f>MAX(I660,I650)</f>
        <v>1071623</v>
      </c>
      <c r="H661">
        <f>0</f>
        <v>0</v>
      </c>
      <c r="I661">
        <f>G661+H661</f>
        <v>1071623</v>
      </c>
      <c r="J661">
        <f>IF(AND(D661&lt;&gt;"dram",D661&lt;&gt;"control"),H661,0)</f>
        <v>0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35</v>
      </c>
      <c r="C662" t="s">
        <v>90</v>
      </c>
      <c r="D662" t="s">
        <v>17</v>
      </c>
      <c r="E662" t="s">
        <v>116</v>
      </c>
      <c r="F662">
        <v>0</v>
      </c>
      <c r="G662">
        <f>MAX(I661,I655)</f>
        <v>1071623</v>
      </c>
      <c r="H662">
        <f>'Operations'!I13</f>
        <v>5184</v>
      </c>
      <c r="I662">
        <f>G662+H662</f>
        <v>1076807</v>
      </c>
      <c r="J662">
        <f>IF(AND(D662&lt;&gt;"dram",D662&lt;&gt;"control"),H662,0)</f>
        <v>5184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229</v>
      </c>
      <c r="C663" t="s">
        <v>92</v>
      </c>
      <c r="D663" t="s">
        <v>83</v>
      </c>
      <c r="E663" t="s">
        <v>116</v>
      </c>
      <c r="F663">
        <v>2560</v>
      </c>
      <c r="G663">
        <f>MAX(I662,I658)</f>
        <v>1079003</v>
      </c>
      <c r="H663">
        <f>CEILING((dram_access_latency+F663/dram_bandwidth)*frequency,1)</f>
        <v>140</v>
      </c>
      <c r="I663">
        <f>G663+H663</f>
        <v>1079143</v>
      </c>
      <c r="J663">
        <f>IF(AND(D663&lt;&gt;"dram",D663&lt;&gt;"control"),H663,0)</f>
        <v>0</v>
      </c>
      <c r="K663">
        <f>IF(D663="dram",H663,0)</f>
        <v>140</v>
      </c>
      <c r="L663">
        <v>0</v>
      </c>
      <c r="M663">
        <v>2560</v>
      </c>
    </row>
    <row r="664" spans="1:13">
      <c r="A664">
        <v>662</v>
      </c>
      <c r="B664" t="s">
        <v>230</v>
      </c>
      <c r="C664" t="s">
        <v>92</v>
      </c>
      <c r="D664" t="s">
        <v>83</v>
      </c>
      <c r="E664" t="s">
        <v>116</v>
      </c>
      <c r="F664">
        <v>122880</v>
      </c>
      <c r="G664">
        <f>MAX(I662,I663)</f>
        <v>1079143</v>
      </c>
      <c r="H664">
        <f>CEILING((dram_access_latency+F664/dram_bandwidth)*frequency,1)</f>
        <v>2020</v>
      </c>
      <c r="I664">
        <f>G664+H664</f>
        <v>1081163</v>
      </c>
      <c r="J664">
        <f>IF(AND(D664&lt;&gt;"dram",D664&lt;&gt;"control"),H664,0)</f>
        <v>0</v>
      </c>
      <c r="K664">
        <f>IF(D664="dram",H664,0)</f>
        <v>2020</v>
      </c>
      <c r="L664">
        <v>0</v>
      </c>
      <c r="M664">
        <v>122880</v>
      </c>
    </row>
    <row r="665" spans="1:13">
      <c r="A665">
        <v>663</v>
      </c>
      <c r="B665" t="s">
        <v>227</v>
      </c>
      <c r="C665" t="s">
        <v>82</v>
      </c>
      <c r="D665" t="s">
        <v>83</v>
      </c>
      <c r="E665" t="s">
        <v>117</v>
      </c>
      <c r="F665">
        <v>327680</v>
      </c>
      <c r="G665">
        <f>MAX(I662,I664)</f>
        <v>1081163</v>
      </c>
      <c r="H665">
        <f>CEILING((dram_access_latency+F665/dram_bandwidth)*frequency,1)</f>
        <v>5220</v>
      </c>
      <c r="I665">
        <f>G665+H665</f>
        <v>1086383</v>
      </c>
      <c r="J665">
        <f>IF(AND(D665&lt;&gt;"dram",D665&lt;&gt;"control"),H665,0)</f>
        <v>0</v>
      </c>
      <c r="K665">
        <f>IF(D665="dram",H665,0)</f>
        <v>5220</v>
      </c>
      <c r="L665">
        <v>327680</v>
      </c>
      <c r="M665">
        <v>0</v>
      </c>
    </row>
    <row r="666" spans="1:13">
      <c r="A666">
        <v>664</v>
      </c>
      <c r="B666" t="s">
        <v>228</v>
      </c>
      <c r="C666" t="s">
        <v>88</v>
      </c>
      <c r="D666" t="s">
        <v>89</v>
      </c>
      <c r="E666" t="s">
        <v>117</v>
      </c>
      <c r="F666">
        <v>0</v>
      </c>
      <c r="G666">
        <f>MAX(I662,I658)</f>
        <v>1076807</v>
      </c>
      <c r="H666">
        <f>0</f>
        <v>2196</v>
      </c>
      <c r="I666">
        <f>G666+H666</f>
        <v>1079003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231</v>
      </c>
      <c r="C667" t="s">
        <v>88</v>
      </c>
      <c r="D667" t="s">
        <v>89</v>
      </c>
      <c r="E667" t="s">
        <v>117</v>
      </c>
      <c r="F667">
        <v>0</v>
      </c>
      <c r="G667">
        <f>MAX(I666,I656)</f>
        <v>1079003</v>
      </c>
      <c r="H667">
        <f>0</f>
        <v>0</v>
      </c>
      <c r="I667">
        <f>G667+H667</f>
        <v>1079003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232</v>
      </c>
      <c r="C668" t="s">
        <v>88</v>
      </c>
      <c r="D668" t="s">
        <v>89</v>
      </c>
      <c r="E668" t="s">
        <v>117</v>
      </c>
      <c r="F668">
        <v>0</v>
      </c>
      <c r="G668">
        <f>MAX(I667,I657)</f>
        <v>1079003</v>
      </c>
      <c r="H668">
        <f>0</f>
        <v>0</v>
      </c>
      <c r="I668">
        <f>G668+H668</f>
        <v>1079003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35</v>
      </c>
      <c r="C669" t="s">
        <v>90</v>
      </c>
      <c r="D669" t="s">
        <v>17</v>
      </c>
      <c r="E669" t="s">
        <v>117</v>
      </c>
      <c r="F669">
        <v>0</v>
      </c>
      <c r="G669">
        <f>MAX(I668,I662)</f>
        <v>1079003</v>
      </c>
      <c r="H669">
        <f>'Operations'!I13</f>
        <v>5184</v>
      </c>
      <c r="I669">
        <f>G669+H669</f>
        <v>1084187</v>
      </c>
      <c r="J669">
        <f>IF(AND(D669&lt;&gt;"dram",D669&lt;&gt;"control"),H669,0)</f>
        <v>5184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229</v>
      </c>
      <c r="C670" t="s">
        <v>92</v>
      </c>
      <c r="D670" t="s">
        <v>83</v>
      </c>
      <c r="E670" t="s">
        <v>117</v>
      </c>
      <c r="F670">
        <v>2560</v>
      </c>
      <c r="G670">
        <f>MAX(I669,I665)</f>
        <v>1086383</v>
      </c>
      <c r="H670">
        <f>CEILING((dram_access_latency+F670/dram_bandwidth)*frequency,1)</f>
        <v>140</v>
      </c>
      <c r="I670">
        <f>G670+H670</f>
        <v>1086523</v>
      </c>
      <c r="J670">
        <f>IF(AND(D670&lt;&gt;"dram",D670&lt;&gt;"control"),H670,0)</f>
        <v>0</v>
      </c>
      <c r="K670">
        <f>IF(D670="dram",H670,0)</f>
        <v>140</v>
      </c>
      <c r="L670">
        <v>0</v>
      </c>
      <c r="M670">
        <v>2560</v>
      </c>
    </row>
    <row r="671" spans="1:13">
      <c r="A671">
        <v>669</v>
      </c>
      <c r="B671" t="s">
        <v>230</v>
      </c>
      <c r="C671" t="s">
        <v>92</v>
      </c>
      <c r="D671" t="s">
        <v>83</v>
      </c>
      <c r="E671" t="s">
        <v>117</v>
      </c>
      <c r="F671">
        <v>122880</v>
      </c>
      <c r="G671">
        <f>MAX(I669,I670)</f>
        <v>1086523</v>
      </c>
      <c r="H671">
        <f>CEILING((dram_access_latency+F671/dram_bandwidth)*frequency,1)</f>
        <v>2020</v>
      </c>
      <c r="I671">
        <f>G671+H671</f>
        <v>1088543</v>
      </c>
      <c r="J671">
        <f>IF(AND(D671&lt;&gt;"dram",D671&lt;&gt;"control"),H671,0)</f>
        <v>0</v>
      </c>
      <c r="K671">
        <f>IF(D671="dram",H671,0)</f>
        <v>2020</v>
      </c>
      <c r="L671">
        <v>0</v>
      </c>
      <c r="M671">
        <v>122880</v>
      </c>
    </row>
    <row r="672" spans="1:13">
      <c r="A672">
        <v>670</v>
      </c>
      <c r="B672" t="s">
        <v>227</v>
      </c>
      <c r="C672" t="s">
        <v>82</v>
      </c>
      <c r="D672" t="s">
        <v>83</v>
      </c>
      <c r="E672" t="s">
        <v>118</v>
      </c>
      <c r="F672">
        <v>327680</v>
      </c>
      <c r="G672">
        <f>MAX(I669,I671)</f>
        <v>1088543</v>
      </c>
      <c r="H672">
        <f>CEILING((dram_access_latency+F672/dram_bandwidth)*frequency,1)</f>
        <v>5220</v>
      </c>
      <c r="I672">
        <f>G672+H672</f>
        <v>1093763</v>
      </c>
      <c r="J672">
        <f>IF(AND(D672&lt;&gt;"dram",D672&lt;&gt;"control"),H672,0)</f>
        <v>0</v>
      </c>
      <c r="K672">
        <f>IF(D672="dram",H672,0)</f>
        <v>5220</v>
      </c>
      <c r="L672">
        <v>327680</v>
      </c>
      <c r="M672">
        <v>0</v>
      </c>
    </row>
    <row r="673" spans="1:13">
      <c r="A673">
        <v>671</v>
      </c>
      <c r="B673" t="s">
        <v>228</v>
      </c>
      <c r="C673" t="s">
        <v>88</v>
      </c>
      <c r="D673" t="s">
        <v>89</v>
      </c>
      <c r="E673" t="s">
        <v>118</v>
      </c>
      <c r="F673">
        <v>0</v>
      </c>
      <c r="G673">
        <f>MAX(I669,I665)</f>
        <v>1084187</v>
      </c>
      <c r="H673">
        <f>0</f>
        <v>2196</v>
      </c>
      <c r="I673">
        <f>G673+H673</f>
        <v>1086383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231</v>
      </c>
      <c r="C674" t="s">
        <v>88</v>
      </c>
      <c r="D674" t="s">
        <v>89</v>
      </c>
      <c r="E674" t="s">
        <v>118</v>
      </c>
      <c r="F674">
        <v>0</v>
      </c>
      <c r="G674">
        <f>MAX(I673,I663)</f>
        <v>1086383</v>
      </c>
      <c r="H674">
        <f>0</f>
        <v>0</v>
      </c>
      <c r="I674">
        <f>G674+H674</f>
        <v>1086383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232</v>
      </c>
      <c r="C675" t="s">
        <v>88</v>
      </c>
      <c r="D675" t="s">
        <v>89</v>
      </c>
      <c r="E675" t="s">
        <v>118</v>
      </c>
      <c r="F675">
        <v>0</v>
      </c>
      <c r="G675">
        <f>MAX(I674,I664)</f>
        <v>1086383</v>
      </c>
      <c r="H675">
        <f>0</f>
        <v>0</v>
      </c>
      <c r="I675">
        <f>G675+H675</f>
        <v>1086383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35</v>
      </c>
      <c r="C676" t="s">
        <v>90</v>
      </c>
      <c r="D676" t="s">
        <v>17</v>
      </c>
      <c r="E676" t="s">
        <v>118</v>
      </c>
      <c r="F676">
        <v>0</v>
      </c>
      <c r="G676">
        <f>MAX(I675,I669)</f>
        <v>1086383</v>
      </c>
      <c r="H676">
        <f>'Operations'!I13</f>
        <v>5184</v>
      </c>
      <c r="I676">
        <f>G676+H676</f>
        <v>1091567</v>
      </c>
      <c r="J676">
        <f>IF(AND(D676&lt;&gt;"dram",D676&lt;&gt;"control"),H676,0)</f>
        <v>5184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229</v>
      </c>
      <c r="C677" t="s">
        <v>92</v>
      </c>
      <c r="D677" t="s">
        <v>83</v>
      </c>
      <c r="E677" t="s">
        <v>118</v>
      </c>
      <c r="F677">
        <v>2560</v>
      </c>
      <c r="G677">
        <f>MAX(I676,I672)</f>
        <v>1093763</v>
      </c>
      <c r="H677">
        <f>CEILING((dram_access_latency+F677/dram_bandwidth)*frequency,1)</f>
        <v>140</v>
      </c>
      <c r="I677">
        <f>G677+H677</f>
        <v>1093903</v>
      </c>
      <c r="J677">
        <f>IF(AND(D677&lt;&gt;"dram",D677&lt;&gt;"control"),H677,0)</f>
        <v>0</v>
      </c>
      <c r="K677">
        <f>IF(D677="dram",H677,0)</f>
        <v>140</v>
      </c>
      <c r="L677">
        <v>0</v>
      </c>
      <c r="M677">
        <v>2560</v>
      </c>
    </row>
    <row r="678" spans="1:13">
      <c r="A678">
        <v>676</v>
      </c>
      <c r="B678" t="s">
        <v>230</v>
      </c>
      <c r="C678" t="s">
        <v>92</v>
      </c>
      <c r="D678" t="s">
        <v>83</v>
      </c>
      <c r="E678" t="s">
        <v>118</v>
      </c>
      <c r="F678">
        <v>122880</v>
      </c>
      <c r="G678">
        <f>MAX(I676,I677)</f>
        <v>1093903</v>
      </c>
      <c r="H678">
        <f>CEILING((dram_access_latency+F678/dram_bandwidth)*frequency,1)</f>
        <v>2020</v>
      </c>
      <c r="I678">
        <f>G678+H678</f>
        <v>1095923</v>
      </c>
      <c r="J678">
        <f>IF(AND(D678&lt;&gt;"dram",D678&lt;&gt;"control"),H678,0)</f>
        <v>0</v>
      </c>
      <c r="K678">
        <f>IF(D678="dram",H678,0)</f>
        <v>2020</v>
      </c>
      <c r="L678">
        <v>0</v>
      </c>
      <c r="M678">
        <v>122880</v>
      </c>
    </row>
    <row r="679" spans="1:13">
      <c r="A679">
        <v>677</v>
      </c>
      <c r="B679" t="s">
        <v>227</v>
      </c>
      <c r="C679" t="s">
        <v>82</v>
      </c>
      <c r="D679" t="s">
        <v>83</v>
      </c>
      <c r="E679" t="s">
        <v>119</v>
      </c>
      <c r="F679">
        <v>327680</v>
      </c>
      <c r="G679">
        <f>MAX(I676,I678)</f>
        <v>1095923</v>
      </c>
      <c r="H679">
        <f>CEILING((dram_access_latency+F679/dram_bandwidth)*frequency,1)</f>
        <v>5220</v>
      </c>
      <c r="I679">
        <f>G679+H679</f>
        <v>1101143</v>
      </c>
      <c r="J679">
        <f>IF(AND(D679&lt;&gt;"dram",D679&lt;&gt;"control"),H679,0)</f>
        <v>0</v>
      </c>
      <c r="K679">
        <f>IF(D679="dram",H679,0)</f>
        <v>5220</v>
      </c>
      <c r="L679">
        <v>327680</v>
      </c>
      <c r="M679">
        <v>0</v>
      </c>
    </row>
    <row r="680" spans="1:13">
      <c r="A680">
        <v>678</v>
      </c>
      <c r="B680" t="s">
        <v>228</v>
      </c>
      <c r="C680" t="s">
        <v>88</v>
      </c>
      <c r="D680" t="s">
        <v>89</v>
      </c>
      <c r="E680" t="s">
        <v>119</v>
      </c>
      <c r="F680">
        <v>0</v>
      </c>
      <c r="G680">
        <f>MAX(I676,I672)</f>
        <v>1091567</v>
      </c>
      <c r="H680">
        <f>0</f>
        <v>2196</v>
      </c>
      <c r="I680">
        <f>G680+H680</f>
        <v>1093763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231</v>
      </c>
      <c r="C681" t="s">
        <v>88</v>
      </c>
      <c r="D681" t="s">
        <v>89</v>
      </c>
      <c r="E681" t="s">
        <v>119</v>
      </c>
      <c r="F681">
        <v>0</v>
      </c>
      <c r="G681">
        <f>MAX(I680,I670)</f>
        <v>1093763</v>
      </c>
      <c r="H681">
        <f>0</f>
        <v>0</v>
      </c>
      <c r="I681">
        <f>G681+H681</f>
        <v>1093763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232</v>
      </c>
      <c r="C682" t="s">
        <v>88</v>
      </c>
      <c r="D682" t="s">
        <v>89</v>
      </c>
      <c r="E682" t="s">
        <v>119</v>
      </c>
      <c r="F682">
        <v>0</v>
      </c>
      <c r="G682">
        <f>MAX(I681,I671)</f>
        <v>1093763</v>
      </c>
      <c r="H682">
        <f>0</f>
        <v>0</v>
      </c>
      <c r="I682">
        <f>G682+H682</f>
        <v>1093763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35</v>
      </c>
      <c r="C683" t="s">
        <v>90</v>
      </c>
      <c r="D683" t="s">
        <v>17</v>
      </c>
      <c r="E683" t="s">
        <v>119</v>
      </c>
      <c r="F683">
        <v>0</v>
      </c>
      <c r="G683">
        <f>MAX(I682,I676)</f>
        <v>1093763</v>
      </c>
      <c r="H683">
        <f>'Operations'!I13</f>
        <v>5184</v>
      </c>
      <c r="I683">
        <f>G683+H683</f>
        <v>1098947</v>
      </c>
      <c r="J683">
        <f>IF(AND(D683&lt;&gt;"dram",D683&lt;&gt;"control"),H683,0)</f>
        <v>5184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229</v>
      </c>
      <c r="C684" t="s">
        <v>92</v>
      </c>
      <c r="D684" t="s">
        <v>83</v>
      </c>
      <c r="E684" t="s">
        <v>119</v>
      </c>
      <c r="F684">
        <v>2560</v>
      </c>
      <c r="G684">
        <f>MAX(I683,I679)</f>
        <v>1101143</v>
      </c>
      <c r="H684">
        <f>CEILING((dram_access_latency+F684/dram_bandwidth)*frequency,1)</f>
        <v>140</v>
      </c>
      <c r="I684">
        <f>G684+H684</f>
        <v>1101283</v>
      </c>
      <c r="J684">
        <f>IF(AND(D684&lt;&gt;"dram",D684&lt;&gt;"control"),H684,0)</f>
        <v>0</v>
      </c>
      <c r="K684">
        <f>IF(D684="dram",H684,0)</f>
        <v>140</v>
      </c>
      <c r="L684">
        <v>0</v>
      </c>
      <c r="M684">
        <v>2560</v>
      </c>
    </row>
    <row r="685" spans="1:13">
      <c r="A685">
        <v>683</v>
      </c>
      <c r="B685" t="s">
        <v>230</v>
      </c>
      <c r="C685" t="s">
        <v>92</v>
      </c>
      <c r="D685" t="s">
        <v>83</v>
      </c>
      <c r="E685" t="s">
        <v>119</v>
      </c>
      <c r="F685">
        <v>122880</v>
      </c>
      <c r="G685">
        <f>MAX(I683,I684)</f>
        <v>1101283</v>
      </c>
      <c r="H685">
        <f>CEILING((dram_access_latency+F685/dram_bandwidth)*frequency,1)</f>
        <v>2020</v>
      </c>
      <c r="I685">
        <f>G685+H685</f>
        <v>1103303</v>
      </c>
      <c r="J685">
        <f>IF(AND(D685&lt;&gt;"dram",D685&lt;&gt;"control"),H685,0)</f>
        <v>0</v>
      </c>
      <c r="K685">
        <f>IF(D685="dram",H685,0)</f>
        <v>2020</v>
      </c>
      <c r="L685">
        <v>0</v>
      </c>
      <c r="M685">
        <v>122880</v>
      </c>
    </row>
    <row r="686" spans="1:13">
      <c r="A686">
        <v>684</v>
      </c>
      <c r="B686" t="s">
        <v>227</v>
      </c>
      <c r="C686" t="s">
        <v>82</v>
      </c>
      <c r="D686" t="s">
        <v>83</v>
      </c>
      <c r="E686" t="s">
        <v>120</v>
      </c>
      <c r="F686">
        <v>327680</v>
      </c>
      <c r="G686">
        <f>MAX(I683,I685)</f>
        <v>1103303</v>
      </c>
      <c r="H686">
        <f>CEILING((dram_access_latency+F686/dram_bandwidth)*frequency,1)</f>
        <v>5220</v>
      </c>
      <c r="I686">
        <f>G686+H686</f>
        <v>1108523</v>
      </c>
      <c r="J686">
        <f>IF(AND(D686&lt;&gt;"dram",D686&lt;&gt;"control"),H686,0)</f>
        <v>0</v>
      </c>
      <c r="K686">
        <f>IF(D686="dram",H686,0)</f>
        <v>5220</v>
      </c>
      <c r="L686">
        <v>327680</v>
      </c>
      <c r="M686">
        <v>0</v>
      </c>
    </row>
    <row r="687" spans="1:13">
      <c r="A687">
        <v>685</v>
      </c>
      <c r="B687" t="s">
        <v>228</v>
      </c>
      <c r="C687" t="s">
        <v>88</v>
      </c>
      <c r="D687" t="s">
        <v>89</v>
      </c>
      <c r="E687" t="s">
        <v>120</v>
      </c>
      <c r="F687">
        <v>0</v>
      </c>
      <c r="G687">
        <f>MAX(I683,I679)</f>
        <v>1098947</v>
      </c>
      <c r="H687">
        <f>0</f>
        <v>2196</v>
      </c>
      <c r="I687">
        <f>G687+H687</f>
        <v>1101143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231</v>
      </c>
      <c r="C688" t="s">
        <v>88</v>
      </c>
      <c r="D688" t="s">
        <v>89</v>
      </c>
      <c r="E688" t="s">
        <v>120</v>
      </c>
      <c r="F688">
        <v>0</v>
      </c>
      <c r="G688">
        <f>MAX(I687,I677)</f>
        <v>1101143</v>
      </c>
      <c r="H688">
        <f>0</f>
        <v>0</v>
      </c>
      <c r="I688">
        <f>G688+H688</f>
        <v>1101143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232</v>
      </c>
      <c r="C689" t="s">
        <v>88</v>
      </c>
      <c r="D689" t="s">
        <v>89</v>
      </c>
      <c r="E689" t="s">
        <v>120</v>
      </c>
      <c r="F689">
        <v>0</v>
      </c>
      <c r="G689">
        <f>MAX(I688,I678)</f>
        <v>1101143</v>
      </c>
      <c r="H689">
        <f>0</f>
        <v>0</v>
      </c>
      <c r="I689">
        <f>G689+H689</f>
        <v>1101143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35</v>
      </c>
      <c r="C690" t="s">
        <v>90</v>
      </c>
      <c r="D690" t="s">
        <v>17</v>
      </c>
      <c r="E690" t="s">
        <v>120</v>
      </c>
      <c r="F690">
        <v>0</v>
      </c>
      <c r="G690">
        <f>MAX(I689,I683)</f>
        <v>1101143</v>
      </c>
      <c r="H690">
        <f>'Operations'!I13</f>
        <v>5184</v>
      </c>
      <c r="I690">
        <f>G690+H690</f>
        <v>1106327</v>
      </c>
      <c r="J690">
        <f>IF(AND(D690&lt;&gt;"dram",D690&lt;&gt;"control"),H690,0)</f>
        <v>5184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229</v>
      </c>
      <c r="C691" t="s">
        <v>92</v>
      </c>
      <c r="D691" t="s">
        <v>83</v>
      </c>
      <c r="E691" t="s">
        <v>120</v>
      </c>
      <c r="F691">
        <v>2560</v>
      </c>
      <c r="G691">
        <f>MAX(I690,I686)</f>
        <v>1108523</v>
      </c>
      <c r="H691">
        <f>CEILING((dram_access_latency+F691/dram_bandwidth)*frequency,1)</f>
        <v>140</v>
      </c>
      <c r="I691">
        <f>G691+H691</f>
        <v>1108663</v>
      </c>
      <c r="J691">
        <f>IF(AND(D691&lt;&gt;"dram",D691&lt;&gt;"control"),H691,0)</f>
        <v>0</v>
      </c>
      <c r="K691">
        <f>IF(D691="dram",H691,0)</f>
        <v>140</v>
      </c>
      <c r="L691">
        <v>0</v>
      </c>
      <c r="M691">
        <v>2560</v>
      </c>
    </row>
    <row r="692" spans="1:13">
      <c r="A692">
        <v>690</v>
      </c>
      <c r="B692" t="s">
        <v>230</v>
      </c>
      <c r="C692" t="s">
        <v>92</v>
      </c>
      <c r="D692" t="s">
        <v>83</v>
      </c>
      <c r="E692" t="s">
        <v>120</v>
      </c>
      <c r="F692">
        <v>122880</v>
      </c>
      <c r="G692">
        <f>MAX(I690,I691)</f>
        <v>1108663</v>
      </c>
      <c r="H692">
        <f>CEILING((dram_access_latency+F692/dram_bandwidth)*frequency,1)</f>
        <v>2020</v>
      </c>
      <c r="I692">
        <f>G692+H692</f>
        <v>1110683</v>
      </c>
      <c r="J692">
        <f>IF(AND(D692&lt;&gt;"dram",D692&lt;&gt;"control"),H692,0)</f>
        <v>0</v>
      </c>
      <c r="K692">
        <f>IF(D692="dram",H692,0)</f>
        <v>2020</v>
      </c>
      <c r="L692">
        <v>0</v>
      </c>
      <c r="M692">
        <v>122880</v>
      </c>
    </row>
    <row r="693" spans="1:13">
      <c r="A693">
        <v>691</v>
      </c>
      <c r="B693" t="s">
        <v>227</v>
      </c>
      <c r="C693" t="s">
        <v>82</v>
      </c>
      <c r="D693" t="s">
        <v>83</v>
      </c>
      <c r="E693" t="s">
        <v>121</v>
      </c>
      <c r="F693">
        <v>327680</v>
      </c>
      <c r="G693">
        <f>MAX(I690,I692)</f>
        <v>1110683</v>
      </c>
      <c r="H693">
        <f>CEILING((dram_access_latency+F693/dram_bandwidth)*frequency,1)</f>
        <v>5220</v>
      </c>
      <c r="I693">
        <f>G693+H693</f>
        <v>1115903</v>
      </c>
      <c r="J693">
        <f>IF(AND(D693&lt;&gt;"dram",D693&lt;&gt;"control"),H693,0)</f>
        <v>0</v>
      </c>
      <c r="K693">
        <f>IF(D693="dram",H693,0)</f>
        <v>5220</v>
      </c>
      <c r="L693">
        <v>327680</v>
      </c>
      <c r="M693">
        <v>0</v>
      </c>
    </row>
    <row r="694" spans="1:13">
      <c r="A694">
        <v>692</v>
      </c>
      <c r="B694" t="s">
        <v>228</v>
      </c>
      <c r="C694" t="s">
        <v>88</v>
      </c>
      <c r="D694" t="s">
        <v>89</v>
      </c>
      <c r="E694" t="s">
        <v>121</v>
      </c>
      <c r="F694">
        <v>0</v>
      </c>
      <c r="G694">
        <f>MAX(I690,I686)</f>
        <v>1106327</v>
      </c>
      <c r="H694">
        <f>0</f>
        <v>2196</v>
      </c>
      <c r="I694">
        <f>G694+H694</f>
        <v>1108523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231</v>
      </c>
      <c r="C695" t="s">
        <v>88</v>
      </c>
      <c r="D695" t="s">
        <v>89</v>
      </c>
      <c r="E695" t="s">
        <v>121</v>
      </c>
      <c r="F695">
        <v>0</v>
      </c>
      <c r="G695">
        <f>MAX(I694,I684)</f>
        <v>1108523</v>
      </c>
      <c r="H695">
        <f>0</f>
        <v>0</v>
      </c>
      <c r="I695">
        <f>G695+H695</f>
        <v>1108523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232</v>
      </c>
      <c r="C696" t="s">
        <v>88</v>
      </c>
      <c r="D696" t="s">
        <v>89</v>
      </c>
      <c r="E696" t="s">
        <v>121</v>
      </c>
      <c r="F696">
        <v>0</v>
      </c>
      <c r="G696">
        <f>MAX(I695,I685)</f>
        <v>1108523</v>
      </c>
      <c r="H696">
        <f>0</f>
        <v>0</v>
      </c>
      <c r="I696">
        <f>G696+H696</f>
        <v>1108523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35</v>
      </c>
      <c r="C697" t="s">
        <v>90</v>
      </c>
      <c r="D697" t="s">
        <v>17</v>
      </c>
      <c r="E697" t="s">
        <v>121</v>
      </c>
      <c r="F697">
        <v>0</v>
      </c>
      <c r="G697">
        <f>MAX(I696,I690)</f>
        <v>1108523</v>
      </c>
      <c r="H697">
        <f>'Operations'!I13</f>
        <v>5184</v>
      </c>
      <c r="I697">
        <f>G697+H697</f>
        <v>1113707</v>
      </c>
      <c r="J697">
        <f>IF(AND(D697&lt;&gt;"dram",D697&lt;&gt;"control"),H697,0)</f>
        <v>5184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229</v>
      </c>
      <c r="C698" t="s">
        <v>92</v>
      </c>
      <c r="D698" t="s">
        <v>83</v>
      </c>
      <c r="E698" t="s">
        <v>121</v>
      </c>
      <c r="F698">
        <v>2560</v>
      </c>
      <c r="G698">
        <f>MAX(I697,I693)</f>
        <v>1115903</v>
      </c>
      <c r="H698">
        <f>CEILING((dram_access_latency+F698/dram_bandwidth)*frequency,1)</f>
        <v>140</v>
      </c>
      <c r="I698">
        <f>G698+H698</f>
        <v>1116043</v>
      </c>
      <c r="J698">
        <f>IF(AND(D698&lt;&gt;"dram",D698&lt;&gt;"control"),H698,0)</f>
        <v>0</v>
      </c>
      <c r="K698">
        <f>IF(D698="dram",H698,0)</f>
        <v>140</v>
      </c>
      <c r="L698">
        <v>0</v>
      </c>
      <c r="M698">
        <v>2560</v>
      </c>
    </row>
    <row r="699" spans="1:13">
      <c r="A699">
        <v>697</v>
      </c>
      <c r="B699" t="s">
        <v>230</v>
      </c>
      <c r="C699" t="s">
        <v>92</v>
      </c>
      <c r="D699" t="s">
        <v>83</v>
      </c>
      <c r="E699" t="s">
        <v>121</v>
      </c>
      <c r="F699">
        <v>122880</v>
      </c>
      <c r="G699">
        <f>MAX(I697,I698)</f>
        <v>1116043</v>
      </c>
      <c r="H699">
        <f>CEILING((dram_access_latency+F699/dram_bandwidth)*frequency,1)</f>
        <v>2020</v>
      </c>
      <c r="I699">
        <f>G699+H699</f>
        <v>1118063</v>
      </c>
      <c r="J699">
        <f>IF(AND(D699&lt;&gt;"dram",D699&lt;&gt;"control"),H699,0)</f>
        <v>0</v>
      </c>
      <c r="K699">
        <f>IF(D699="dram",H699,0)</f>
        <v>2020</v>
      </c>
      <c r="L699">
        <v>0</v>
      </c>
      <c r="M699">
        <v>122880</v>
      </c>
    </row>
    <row r="700" spans="1:13">
      <c r="A700">
        <v>698</v>
      </c>
      <c r="B700" t="s">
        <v>227</v>
      </c>
      <c r="C700" t="s">
        <v>82</v>
      </c>
      <c r="D700" t="s">
        <v>83</v>
      </c>
      <c r="E700" t="s">
        <v>122</v>
      </c>
      <c r="F700">
        <v>327680</v>
      </c>
      <c r="G700">
        <f>MAX(I697,I699)</f>
        <v>1118063</v>
      </c>
      <c r="H700">
        <f>CEILING((dram_access_latency+F700/dram_bandwidth)*frequency,1)</f>
        <v>5220</v>
      </c>
      <c r="I700">
        <f>G700+H700</f>
        <v>1123283</v>
      </c>
      <c r="J700">
        <f>IF(AND(D700&lt;&gt;"dram",D700&lt;&gt;"control"),H700,0)</f>
        <v>0</v>
      </c>
      <c r="K700">
        <f>IF(D700="dram",H700,0)</f>
        <v>5220</v>
      </c>
      <c r="L700">
        <v>327680</v>
      </c>
      <c r="M700">
        <v>0</v>
      </c>
    </row>
    <row r="701" spans="1:13">
      <c r="A701">
        <v>699</v>
      </c>
      <c r="B701" t="s">
        <v>228</v>
      </c>
      <c r="C701" t="s">
        <v>88</v>
      </c>
      <c r="D701" t="s">
        <v>89</v>
      </c>
      <c r="E701" t="s">
        <v>122</v>
      </c>
      <c r="F701">
        <v>0</v>
      </c>
      <c r="G701">
        <f>MAX(I697,I693)</f>
        <v>1113707</v>
      </c>
      <c r="H701">
        <f>0</f>
        <v>2196</v>
      </c>
      <c r="I701">
        <f>G701+H701</f>
        <v>1115903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231</v>
      </c>
      <c r="C702" t="s">
        <v>88</v>
      </c>
      <c r="D702" t="s">
        <v>89</v>
      </c>
      <c r="E702" t="s">
        <v>122</v>
      </c>
      <c r="F702">
        <v>0</v>
      </c>
      <c r="G702">
        <f>MAX(I701,I691)</f>
        <v>1115903</v>
      </c>
      <c r="H702">
        <f>0</f>
        <v>0</v>
      </c>
      <c r="I702">
        <f>G702+H702</f>
        <v>1115903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232</v>
      </c>
      <c r="C703" t="s">
        <v>88</v>
      </c>
      <c r="D703" t="s">
        <v>89</v>
      </c>
      <c r="E703" t="s">
        <v>122</v>
      </c>
      <c r="F703">
        <v>0</v>
      </c>
      <c r="G703">
        <f>MAX(I702,I692)</f>
        <v>1115903</v>
      </c>
      <c r="H703">
        <f>0</f>
        <v>0</v>
      </c>
      <c r="I703">
        <f>G703+H703</f>
        <v>1115903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35</v>
      </c>
      <c r="C704" t="s">
        <v>90</v>
      </c>
      <c r="D704" t="s">
        <v>17</v>
      </c>
      <c r="E704" t="s">
        <v>122</v>
      </c>
      <c r="F704">
        <v>0</v>
      </c>
      <c r="G704">
        <f>MAX(I703,I697)</f>
        <v>1115903</v>
      </c>
      <c r="H704">
        <f>'Operations'!I13</f>
        <v>5184</v>
      </c>
      <c r="I704">
        <f>G704+H704</f>
        <v>1121087</v>
      </c>
      <c r="J704">
        <f>IF(AND(D704&lt;&gt;"dram",D704&lt;&gt;"control"),H704,0)</f>
        <v>5184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229</v>
      </c>
      <c r="C705" t="s">
        <v>92</v>
      </c>
      <c r="D705" t="s">
        <v>83</v>
      </c>
      <c r="E705" t="s">
        <v>122</v>
      </c>
      <c r="F705">
        <v>2560</v>
      </c>
      <c r="G705">
        <f>MAX(I704,I700)</f>
        <v>1123283</v>
      </c>
      <c r="H705">
        <f>CEILING((dram_access_latency+F705/dram_bandwidth)*frequency,1)</f>
        <v>140</v>
      </c>
      <c r="I705">
        <f>G705+H705</f>
        <v>1123423</v>
      </c>
      <c r="J705">
        <f>IF(AND(D705&lt;&gt;"dram",D705&lt;&gt;"control"),H705,0)</f>
        <v>0</v>
      </c>
      <c r="K705">
        <f>IF(D705="dram",H705,0)</f>
        <v>140</v>
      </c>
      <c r="L705">
        <v>0</v>
      </c>
      <c r="M705">
        <v>2560</v>
      </c>
    </row>
    <row r="706" spans="1:13">
      <c r="A706">
        <v>704</v>
      </c>
      <c r="B706" t="s">
        <v>230</v>
      </c>
      <c r="C706" t="s">
        <v>92</v>
      </c>
      <c r="D706" t="s">
        <v>83</v>
      </c>
      <c r="E706" t="s">
        <v>122</v>
      </c>
      <c r="F706">
        <v>122880</v>
      </c>
      <c r="G706">
        <f>MAX(I704,I705)</f>
        <v>1123423</v>
      </c>
      <c r="H706">
        <f>CEILING((dram_access_latency+F706/dram_bandwidth)*frequency,1)</f>
        <v>2020</v>
      </c>
      <c r="I706">
        <f>G706+H706</f>
        <v>1125443</v>
      </c>
      <c r="J706">
        <f>IF(AND(D706&lt;&gt;"dram",D706&lt;&gt;"control"),H706,0)</f>
        <v>0</v>
      </c>
      <c r="K706">
        <f>IF(D706="dram",H706,0)</f>
        <v>2020</v>
      </c>
      <c r="L706">
        <v>0</v>
      </c>
      <c r="M706">
        <v>122880</v>
      </c>
    </row>
    <row r="707" spans="1:13">
      <c r="A707">
        <v>705</v>
      </c>
      <c r="B707" t="s">
        <v>227</v>
      </c>
      <c r="C707" t="s">
        <v>82</v>
      </c>
      <c r="D707" t="s">
        <v>83</v>
      </c>
      <c r="E707" t="s">
        <v>123</v>
      </c>
      <c r="F707">
        <v>327680</v>
      </c>
      <c r="G707">
        <f>MAX(I704,I706)</f>
        <v>1125443</v>
      </c>
      <c r="H707">
        <f>CEILING((dram_access_latency+F707/dram_bandwidth)*frequency,1)</f>
        <v>5220</v>
      </c>
      <c r="I707">
        <f>G707+H707</f>
        <v>1130663</v>
      </c>
      <c r="J707">
        <f>IF(AND(D707&lt;&gt;"dram",D707&lt;&gt;"control"),H707,0)</f>
        <v>0</v>
      </c>
      <c r="K707">
        <f>IF(D707="dram",H707,0)</f>
        <v>5220</v>
      </c>
      <c r="L707">
        <v>327680</v>
      </c>
      <c r="M707">
        <v>0</v>
      </c>
    </row>
    <row r="708" spans="1:13">
      <c r="A708">
        <v>706</v>
      </c>
      <c r="B708" t="s">
        <v>228</v>
      </c>
      <c r="C708" t="s">
        <v>88</v>
      </c>
      <c r="D708" t="s">
        <v>89</v>
      </c>
      <c r="E708" t="s">
        <v>123</v>
      </c>
      <c r="F708">
        <v>0</v>
      </c>
      <c r="G708">
        <f>MAX(I704,I700)</f>
        <v>1121087</v>
      </c>
      <c r="H708">
        <f>0</f>
        <v>2196</v>
      </c>
      <c r="I708">
        <f>G708+H708</f>
        <v>1123283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231</v>
      </c>
      <c r="C709" t="s">
        <v>88</v>
      </c>
      <c r="D709" t="s">
        <v>89</v>
      </c>
      <c r="E709" t="s">
        <v>123</v>
      </c>
      <c r="F709">
        <v>0</v>
      </c>
      <c r="G709">
        <f>MAX(I708,I698)</f>
        <v>1123283</v>
      </c>
      <c r="H709">
        <f>0</f>
        <v>0</v>
      </c>
      <c r="I709">
        <f>G709+H709</f>
        <v>1123283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232</v>
      </c>
      <c r="C710" t="s">
        <v>88</v>
      </c>
      <c r="D710" t="s">
        <v>89</v>
      </c>
      <c r="E710" t="s">
        <v>123</v>
      </c>
      <c r="F710">
        <v>0</v>
      </c>
      <c r="G710">
        <f>MAX(I709,I699)</f>
        <v>1123283</v>
      </c>
      <c r="H710">
        <f>0</f>
        <v>0</v>
      </c>
      <c r="I710">
        <f>G710+H710</f>
        <v>1123283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35</v>
      </c>
      <c r="C711" t="s">
        <v>90</v>
      </c>
      <c r="D711" t="s">
        <v>17</v>
      </c>
      <c r="E711" t="s">
        <v>123</v>
      </c>
      <c r="F711">
        <v>0</v>
      </c>
      <c r="G711">
        <f>MAX(I710,I704)</f>
        <v>1123283</v>
      </c>
      <c r="H711">
        <f>'Operations'!I13</f>
        <v>5184</v>
      </c>
      <c r="I711">
        <f>G711+H711</f>
        <v>1128467</v>
      </c>
      <c r="J711">
        <f>IF(AND(D711&lt;&gt;"dram",D711&lt;&gt;"control"),H711,0)</f>
        <v>5184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229</v>
      </c>
      <c r="C712" t="s">
        <v>92</v>
      </c>
      <c r="D712" t="s">
        <v>83</v>
      </c>
      <c r="E712" t="s">
        <v>123</v>
      </c>
      <c r="F712">
        <v>2560</v>
      </c>
      <c r="G712">
        <f>MAX(I711,I707)</f>
        <v>1130663</v>
      </c>
      <c r="H712">
        <f>CEILING((dram_access_latency+F712/dram_bandwidth)*frequency,1)</f>
        <v>140</v>
      </c>
      <c r="I712">
        <f>G712+H712</f>
        <v>1130803</v>
      </c>
      <c r="J712">
        <f>IF(AND(D712&lt;&gt;"dram",D712&lt;&gt;"control"),H712,0)</f>
        <v>0</v>
      </c>
      <c r="K712">
        <f>IF(D712="dram",H712,0)</f>
        <v>140</v>
      </c>
      <c r="L712">
        <v>0</v>
      </c>
      <c r="M712">
        <v>2560</v>
      </c>
    </row>
    <row r="713" spans="1:13">
      <c r="A713">
        <v>711</v>
      </c>
      <c r="B713" t="s">
        <v>230</v>
      </c>
      <c r="C713" t="s">
        <v>92</v>
      </c>
      <c r="D713" t="s">
        <v>83</v>
      </c>
      <c r="E713" t="s">
        <v>123</v>
      </c>
      <c r="F713">
        <v>122880</v>
      </c>
      <c r="G713">
        <f>MAX(I711,I712)</f>
        <v>1130803</v>
      </c>
      <c r="H713">
        <f>CEILING((dram_access_latency+F713/dram_bandwidth)*frequency,1)</f>
        <v>2020</v>
      </c>
      <c r="I713">
        <f>G713+H713</f>
        <v>1132823</v>
      </c>
      <c r="J713">
        <f>IF(AND(D713&lt;&gt;"dram",D713&lt;&gt;"control"),H713,0)</f>
        <v>0</v>
      </c>
      <c r="K713">
        <f>IF(D713="dram",H713,0)</f>
        <v>2020</v>
      </c>
      <c r="L713">
        <v>0</v>
      </c>
      <c r="M713">
        <v>122880</v>
      </c>
    </row>
    <row r="714" spans="1:13">
      <c r="A714">
        <v>712</v>
      </c>
      <c r="B714" t="s">
        <v>228</v>
      </c>
      <c r="C714" t="s">
        <v>88</v>
      </c>
      <c r="D714" t="s">
        <v>89</v>
      </c>
      <c r="E714" t="s">
        <v>124</v>
      </c>
      <c r="F714">
        <v>0</v>
      </c>
      <c r="G714">
        <f>MAX(I711,I707)</f>
        <v>1128467</v>
      </c>
      <c r="H714">
        <f>0</f>
        <v>2196</v>
      </c>
      <c r="I714">
        <f>G714+H714</f>
        <v>1130663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231</v>
      </c>
      <c r="C715" t="s">
        <v>88</v>
      </c>
      <c r="D715" t="s">
        <v>89</v>
      </c>
      <c r="E715" t="s">
        <v>124</v>
      </c>
      <c r="F715">
        <v>0</v>
      </c>
      <c r="G715">
        <f>MAX(I714,I705)</f>
        <v>1130663</v>
      </c>
      <c r="H715">
        <f>0</f>
        <v>0</v>
      </c>
      <c r="I715">
        <f>G715+H715</f>
        <v>1130663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232</v>
      </c>
      <c r="C716" t="s">
        <v>88</v>
      </c>
      <c r="D716" t="s">
        <v>89</v>
      </c>
      <c r="E716" t="s">
        <v>124</v>
      </c>
      <c r="F716">
        <v>0</v>
      </c>
      <c r="G716">
        <f>MAX(I715,I706)</f>
        <v>1130663</v>
      </c>
      <c r="H716">
        <f>0</f>
        <v>0</v>
      </c>
      <c r="I716">
        <f>G716+H716</f>
        <v>1130663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35</v>
      </c>
      <c r="C717" t="s">
        <v>90</v>
      </c>
      <c r="D717" t="s">
        <v>17</v>
      </c>
      <c r="E717" t="s">
        <v>124</v>
      </c>
      <c r="F717">
        <v>0</v>
      </c>
      <c r="G717">
        <f>MAX(I716,I711)</f>
        <v>1130663</v>
      </c>
      <c r="H717">
        <f>'Operations'!I13</f>
        <v>5184</v>
      </c>
      <c r="I717">
        <f>G717+H717</f>
        <v>1135847</v>
      </c>
      <c r="J717">
        <f>IF(AND(D717&lt;&gt;"dram",D717&lt;&gt;"control"),H717,0)</f>
        <v>5184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229</v>
      </c>
      <c r="C718" t="s">
        <v>92</v>
      </c>
      <c r="D718" t="s">
        <v>83</v>
      </c>
      <c r="E718" t="s">
        <v>124</v>
      </c>
      <c r="F718">
        <v>2560</v>
      </c>
      <c r="G718">
        <f>MAX(I717,I713)</f>
        <v>1135847</v>
      </c>
      <c r="H718">
        <f>CEILING((dram_access_latency+F718/dram_bandwidth)*frequency,1)</f>
        <v>140</v>
      </c>
      <c r="I718">
        <f>G718+H718</f>
        <v>1135987</v>
      </c>
      <c r="J718">
        <f>IF(AND(D718&lt;&gt;"dram",D718&lt;&gt;"control"),H718,0)</f>
        <v>0</v>
      </c>
      <c r="K718">
        <f>IF(D718="dram",H718,0)</f>
        <v>140</v>
      </c>
      <c r="L718">
        <v>0</v>
      </c>
      <c r="M718">
        <v>2560</v>
      </c>
    </row>
    <row r="719" spans="1:13">
      <c r="A719">
        <v>717</v>
      </c>
      <c r="B719" t="s">
        <v>230</v>
      </c>
      <c r="C719" t="s">
        <v>92</v>
      </c>
      <c r="D719" t="s">
        <v>83</v>
      </c>
      <c r="E719" t="s">
        <v>124</v>
      </c>
      <c r="F719">
        <v>122880</v>
      </c>
      <c r="G719">
        <f>MAX(I717,I718)</f>
        <v>1135987</v>
      </c>
      <c r="H719">
        <f>CEILING((dram_access_latency+F719/dram_bandwidth)*frequency,1)</f>
        <v>2020</v>
      </c>
      <c r="I719">
        <f>G719+H719</f>
        <v>1138007</v>
      </c>
      <c r="J719">
        <f>IF(AND(D719&lt;&gt;"dram",D719&lt;&gt;"control"),H719,0)</f>
        <v>0</v>
      </c>
      <c r="K719">
        <f>IF(D719="dram",H719,0)</f>
        <v>2020</v>
      </c>
      <c r="L719">
        <v>0</v>
      </c>
      <c r="M719">
        <v>122880</v>
      </c>
    </row>
    <row r="720" spans="1:13">
      <c r="A720">
        <v>718</v>
      </c>
      <c r="B720" t="s">
        <v>233</v>
      </c>
      <c r="C720" t="s">
        <v>88</v>
      </c>
      <c r="D720" t="s">
        <v>89</v>
      </c>
      <c r="E720" t="s">
        <v>84</v>
      </c>
      <c r="F720">
        <v>0</v>
      </c>
      <c r="G720">
        <f>MAX(I717,I712)</f>
        <v>1135847</v>
      </c>
      <c r="H720">
        <f>0</f>
        <v>0</v>
      </c>
      <c r="I720">
        <f>G720+H720</f>
        <v>1135847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234</v>
      </c>
      <c r="C721" t="s">
        <v>88</v>
      </c>
      <c r="D721" t="s">
        <v>89</v>
      </c>
      <c r="E721" t="s">
        <v>84</v>
      </c>
      <c r="F721">
        <v>0</v>
      </c>
      <c r="G721">
        <f>MAX(I720,I718)</f>
        <v>1135847</v>
      </c>
      <c r="H721">
        <f>0</f>
        <v>140</v>
      </c>
      <c r="I721">
        <f>G721+H721</f>
        <v>1135987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235</v>
      </c>
      <c r="C722" t="s">
        <v>88</v>
      </c>
      <c r="D722" t="s">
        <v>89</v>
      </c>
      <c r="E722" t="s">
        <v>84</v>
      </c>
      <c r="F722">
        <v>0</v>
      </c>
      <c r="G722">
        <f>MAX(I721,I713)</f>
        <v>1135987</v>
      </c>
      <c r="H722">
        <f>0</f>
        <v>0</v>
      </c>
      <c r="I722">
        <f>G722+H722</f>
        <v>1135987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236</v>
      </c>
      <c r="C723" t="s">
        <v>88</v>
      </c>
      <c r="D723" t="s">
        <v>89</v>
      </c>
      <c r="E723" t="s">
        <v>84</v>
      </c>
      <c r="F723">
        <v>0</v>
      </c>
      <c r="G723">
        <f>MAX(I722,I719)</f>
        <v>1135987</v>
      </c>
      <c r="H723">
        <f>0</f>
        <v>2020</v>
      </c>
      <c r="I723">
        <f>G723+H723</f>
        <v>1138007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237</v>
      </c>
      <c r="C724" t="s">
        <v>82</v>
      </c>
      <c r="D724" t="s">
        <v>83</v>
      </c>
      <c r="E724" t="s">
        <v>86</v>
      </c>
      <c r="F724">
        <v>320</v>
      </c>
      <c r="G724">
        <f>MAX(I723,I719)</f>
        <v>1138007</v>
      </c>
      <c r="H724">
        <f>CEILING((dram_access_latency+F724/dram_bandwidth)*frequency,1)</f>
        <v>105</v>
      </c>
      <c r="I724">
        <f>G724+H724</f>
        <v>1138112</v>
      </c>
      <c r="J724">
        <f>IF(AND(D724&lt;&gt;"dram",D724&lt;&gt;"control"),H724,0)</f>
        <v>0</v>
      </c>
      <c r="K724">
        <f>IF(D724="dram",H724,0)</f>
        <v>105</v>
      </c>
      <c r="L724">
        <v>320</v>
      </c>
      <c r="M724">
        <v>0</v>
      </c>
    </row>
    <row r="725" spans="1:13">
      <c r="A725">
        <v>723</v>
      </c>
      <c r="B725" t="s">
        <v>238</v>
      </c>
      <c r="C725" t="s">
        <v>82</v>
      </c>
      <c r="D725" t="s">
        <v>83</v>
      </c>
      <c r="E725" t="s">
        <v>86</v>
      </c>
      <c r="F725">
        <v>61440</v>
      </c>
      <c r="G725">
        <f>MAX(I723,I724)</f>
        <v>1138112</v>
      </c>
      <c r="H725">
        <f>CEILING((dram_access_latency+F725/dram_bandwidth)*frequency,1)</f>
        <v>1060</v>
      </c>
      <c r="I725">
        <f>G725+H725</f>
        <v>1139172</v>
      </c>
      <c r="J725">
        <f>IF(AND(D725&lt;&gt;"dram",D725&lt;&gt;"control"),H725,0)</f>
        <v>0</v>
      </c>
      <c r="K725">
        <f>IF(D725="dram",H725,0)</f>
        <v>1060</v>
      </c>
      <c r="L725">
        <v>61440</v>
      </c>
      <c r="M725">
        <v>0</v>
      </c>
    </row>
    <row r="726" spans="1:13">
      <c r="A726">
        <v>724</v>
      </c>
      <c r="B726" t="s">
        <v>239</v>
      </c>
      <c r="C726" t="s">
        <v>82</v>
      </c>
      <c r="D726" t="s">
        <v>83</v>
      </c>
      <c r="E726" t="s">
        <v>86</v>
      </c>
      <c r="F726">
        <v>1280</v>
      </c>
      <c r="G726">
        <f>MAX(I723,I725)</f>
        <v>1139172</v>
      </c>
      <c r="H726">
        <f>CEILING((dram_access_latency+F726/dram_bandwidth)*frequency,1)</f>
        <v>120</v>
      </c>
      <c r="I726">
        <f>G726+H726</f>
        <v>1139292</v>
      </c>
      <c r="J726">
        <f>IF(AND(D726&lt;&gt;"dram",D726&lt;&gt;"control"),H726,0)</f>
        <v>0</v>
      </c>
      <c r="K726">
        <f>IF(D726="dram",H726,0)</f>
        <v>120</v>
      </c>
      <c r="L726">
        <v>1280</v>
      </c>
      <c r="M726">
        <v>0</v>
      </c>
    </row>
    <row r="727" spans="1:13">
      <c r="A727">
        <v>725</v>
      </c>
      <c r="B727" t="s">
        <v>240</v>
      </c>
      <c r="C727" t="s">
        <v>82</v>
      </c>
      <c r="D727" t="s">
        <v>83</v>
      </c>
      <c r="E727" t="s">
        <v>86</v>
      </c>
      <c r="F727">
        <v>384</v>
      </c>
      <c r="G727">
        <f>MAX(I723,I726)</f>
        <v>1139292</v>
      </c>
      <c r="H727">
        <f>CEILING((dram_access_latency+F727/dram_bandwidth)*frequency,1)</f>
        <v>106</v>
      </c>
      <c r="I727">
        <f>G727+H727</f>
        <v>1139398</v>
      </c>
      <c r="J727">
        <f>IF(AND(D727&lt;&gt;"dram",D727&lt;&gt;"control"),H727,0)</f>
        <v>0</v>
      </c>
      <c r="K727">
        <f>IF(D727="dram",H727,0)</f>
        <v>106</v>
      </c>
      <c r="L727">
        <v>384</v>
      </c>
      <c r="M727">
        <v>0</v>
      </c>
    </row>
    <row r="728" spans="1:13">
      <c r="A728">
        <v>726</v>
      </c>
      <c r="B728" t="s">
        <v>241</v>
      </c>
      <c r="C728" t="s">
        <v>82</v>
      </c>
      <c r="D728" t="s">
        <v>83</v>
      </c>
      <c r="E728" t="s">
        <v>86</v>
      </c>
      <c r="F728">
        <v>8</v>
      </c>
      <c r="G728">
        <f>MAX(I723,I727)</f>
        <v>1139398</v>
      </c>
      <c r="H728">
        <f>CEILING((dram_access_latency+F728/dram_bandwidth)*frequency,1)</f>
        <v>101</v>
      </c>
      <c r="I728">
        <f>G728+H728</f>
        <v>1139499</v>
      </c>
      <c r="J728">
        <f>IF(AND(D728&lt;&gt;"dram",D728&lt;&gt;"control"),H728,0)</f>
        <v>0</v>
      </c>
      <c r="K728">
        <f>IF(D728="dram",H728,0)</f>
        <v>101</v>
      </c>
      <c r="L728">
        <v>8</v>
      </c>
      <c r="M728">
        <v>0</v>
      </c>
    </row>
    <row r="729" spans="1:13">
      <c r="A729">
        <v>727</v>
      </c>
      <c r="B729" t="s">
        <v>37</v>
      </c>
      <c r="C729" t="s">
        <v>90</v>
      </c>
      <c r="D729" t="s">
        <v>108</v>
      </c>
      <c r="E729" t="s">
        <v>86</v>
      </c>
      <c r="F729">
        <v>0</v>
      </c>
      <c r="G729">
        <f>MAX(I506,I717,I724,I725,I726,I727,I728)</f>
        <v>1139499</v>
      </c>
      <c r="H729">
        <f>'Operations'!I14</f>
        <v>1452</v>
      </c>
      <c r="I729">
        <f>G729+H729</f>
        <v>1140951</v>
      </c>
      <c r="J729">
        <f>IF(AND(D729&lt;&gt;"dram",D729&lt;&gt;"control"),H729,0)</f>
        <v>1452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238</v>
      </c>
      <c r="C730" t="s">
        <v>82</v>
      </c>
      <c r="D730" t="s">
        <v>83</v>
      </c>
      <c r="E730" t="s">
        <v>93</v>
      </c>
      <c r="F730">
        <v>61440</v>
      </c>
      <c r="G730">
        <f>MAX(I723,I728)</f>
        <v>1139499</v>
      </c>
      <c r="H730">
        <f>CEILING((dram_access_latency+F730/dram_bandwidth)*frequency,1)</f>
        <v>1060</v>
      </c>
      <c r="I730">
        <f>G730+H730</f>
        <v>1140559</v>
      </c>
      <c r="J730">
        <f>IF(AND(D730&lt;&gt;"dram",D730&lt;&gt;"control"),H730,0)</f>
        <v>0</v>
      </c>
      <c r="K730">
        <f>IF(D730="dram",H730,0)</f>
        <v>1060</v>
      </c>
      <c r="L730">
        <v>61440</v>
      </c>
      <c r="M730">
        <v>0</v>
      </c>
    </row>
    <row r="731" spans="1:13">
      <c r="A731">
        <v>729</v>
      </c>
      <c r="B731" t="s">
        <v>239</v>
      </c>
      <c r="C731" t="s">
        <v>82</v>
      </c>
      <c r="D731" t="s">
        <v>83</v>
      </c>
      <c r="E731" t="s">
        <v>93</v>
      </c>
      <c r="F731">
        <v>1280</v>
      </c>
      <c r="G731">
        <f>MAX(I723,I730)</f>
        <v>1140559</v>
      </c>
      <c r="H731">
        <f>CEILING((dram_access_latency+F731/dram_bandwidth)*frequency,1)</f>
        <v>120</v>
      </c>
      <c r="I731">
        <f>G731+H731</f>
        <v>1140679</v>
      </c>
      <c r="J731">
        <f>IF(AND(D731&lt;&gt;"dram",D731&lt;&gt;"control"),H731,0)</f>
        <v>0</v>
      </c>
      <c r="K731">
        <f>IF(D731="dram",H731,0)</f>
        <v>120</v>
      </c>
      <c r="L731">
        <v>1280</v>
      </c>
      <c r="M731">
        <v>0</v>
      </c>
    </row>
    <row r="732" spans="1:13">
      <c r="A732">
        <v>730</v>
      </c>
      <c r="B732" t="s">
        <v>240</v>
      </c>
      <c r="C732" t="s">
        <v>82</v>
      </c>
      <c r="D732" t="s">
        <v>83</v>
      </c>
      <c r="E732" t="s">
        <v>93</v>
      </c>
      <c r="F732">
        <v>384</v>
      </c>
      <c r="G732">
        <f>MAX(I723,I731)</f>
        <v>1140679</v>
      </c>
      <c r="H732">
        <f>CEILING((dram_access_latency+F732/dram_bandwidth)*frequency,1)</f>
        <v>106</v>
      </c>
      <c r="I732">
        <f>G732+H732</f>
        <v>1140785</v>
      </c>
      <c r="J732">
        <f>IF(AND(D732&lt;&gt;"dram",D732&lt;&gt;"control"),H732,0)</f>
        <v>0</v>
      </c>
      <c r="K732">
        <f>IF(D732="dram",H732,0)</f>
        <v>106</v>
      </c>
      <c r="L732">
        <v>384</v>
      </c>
      <c r="M732">
        <v>0</v>
      </c>
    </row>
    <row r="733" spans="1:13">
      <c r="A733">
        <v>731</v>
      </c>
      <c r="B733" t="s">
        <v>241</v>
      </c>
      <c r="C733" t="s">
        <v>82</v>
      </c>
      <c r="D733" t="s">
        <v>83</v>
      </c>
      <c r="E733" t="s">
        <v>93</v>
      </c>
      <c r="F733">
        <v>8</v>
      </c>
      <c r="G733">
        <f>MAX(I723,I732)</f>
        <v>1140785</v>
      </c>
      <c r="H733">
        <f>CEILING((dram_access_latency+F733/dram_bandwidth)*frequency,1)</f>
        <v>101</v>
      </c>
      <c r="I733">
        <f>G733+H733</f>
        <v>1140886</v>
      </c>
      <c r="J733">
        <f>IF(AND(D733&lt;&gt;"dram",D733&lt;&gt;"control"),H733,0)</f>
        <v>0</v>
      </c>
      <c r="K733">
        <f>IF(D733="dram",H733,0)</f>
        <v>101</v>
      </c>
      <c r="L733">
        <v>8</v>
      </c>
      <c r="M733">
        <v>0</v>
      </c>
    </row>
    <row r="734" spans="1:13">
      <c r="A734">
        <v>732</v>
      </c>
      <c r="B734" t="s">
        <v>37</v>
      </c>
      <c r="C734" t="s">
        <v>90</v>
      </c>
      <c r="D734" t="s">
        <v>108</v>
      </c>
      <c r="E734" t="s">
        <v>93</v>
      </c>
      <c r="F734">
        <v>0</v>
      </c>
      <c r="G734">
        <f>MAX(I729,I729,I724,I730,I731,I732,I733)</f>
        <v>1140951</v>
      </c>
      <c r="H734">
        <f>'Operations'!I14</f>
        <v>1452</v>
      </c>
      <c r="I734">
        <f>G734+H734</f>
        <v>1142403</v>
      </c>
      <c r="J734">
        <f>IF(AND(D734&lt;&gt;"dram",D734&lt;&gt;"control"),H734,0)</f>
        <v>1452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242</v>
      </c>
      <c r="C735" t="s">
        <v>88</v>
      </c>
      <c r="D735" t="s">
        <v>89</v>
      </c>
      <c r="E735" t="s">
        <v>93</v>
      </c>
      <c r="F735">
        <v>0</v>
      </c>
      <c r="G735">
        <f>MAX(I723,I729)</f>
        <v>1138007</v>
      </c>
      <c r="H735">
        <f>0</f>
        <v>2944</v>
      </c>
      <c r="I735">
        <f>G735+H735</f>
        <v>1140951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243</v>
      </c>
      <c r="C736" t="s">
        <v>92</v>
      </c>
      <c r="D736" t="s">
        <v>83</v>
      </c>
      <c r="E736" t="s">
        <v>93</v>
      </c>
      <c r="F736">
        <v>2560</v>
      </c>
      <c r="G736">
        <f>MAX(I735,I733)</f>
        <v>1140951</v>
      </c>
      <c r="H736">
        <f>CEILING((dram_access_latency+F736/dram_bandwidth)*frequency,1)</f>
        <v>140</v>
      </c>
      <c r="I736">
        <f>G736+H736</f>
        <v>1141091</v>
      </c>
      <c r="J736">
        <f>IF(AND(D736&lt;&gt;"dram",D736&lt;&gt;"control"),H736,0)</f>
        <v>0</v>
      </c>
      <c r="K736">
        <f>IF(D736="dram",H736,0)</f>
        <v>140</v>
      </c>
      <c r="L736">
        <v>0</v>
      </c>
      <c r="M736">
        <v>2560</v>
      </c>
    </row>
    <row r="737" spans="1:13">
      <c r="A737">
        <v>735</v>
      </c>
      <c r="B737" t="s">
        <v>238</v>
      </c>
      <c r="C737" t="s">
        <v>82</v>
      </c>
      <c r="D737" t="s">
        <v>83</v>
      </c>
      <c r="E737" t="s">
        <v>111</v>
      </c>
      <c r="F737">
        <v>61440</v>
      </c>
      <c r="G737">
        <f>MAX(I735,I736)</f>
        <v>1141091</v>
      </c>
      <c r="H737">
        <f>CEILING((dram_access_latency+F737/dram_bandwidth)*frequency,1)</f>
        <v>1060</v>
      </c>
      <c r="I737">
        <f>G737+H737</f>
        <v>1142151</v>
      </c>
      <c r="J737">
        <f>IF(AND(D737&lt;&gt;"dram",D737&lt;&gt;"control"),H737,0)</f>
        <v>0</v>
      </c>
      <c r="K737">
        <f>IF(D737="dram",H737,0)</f>
        <v>1060</v>
      </c>
      <c r="L737">
        <v>61440</v>
      </c>
      <c r="M737">
        <v>0</v>
      </c>
    </row>
    <row r="738" spans="1:13">
      <c r="A738">
        <v>736</v>
      </c>
      <c r="B738" t="s">
        <v>239</v>
      </c>
      <c r="C738" t="s">
        <v>82</v>
      </c>
      <c r="D738" t="s">
        <v>83</v>
      </c>
      <c r="E738" t="s">
        <v>111</v>
      </c>
      <c r="F738">
        <v>1280</v>
      </c>
      <c r="G738">
        <f>MAX(I735,I737)</f>
        <v>1142151</v>
      </c>
      <c r="H738">
        <f>CEILING((dram_access_latency+F738/dram_bandwidth)*frequency,1)</f>
        <v>120</v>
      </c>
      <c r="I738">
        <f>G738+H738</f>
        <v>1142271</v>
      </c>
      <c r="J738">
        <f>IF(AND(D738&lt;&gt;"dram",D738&lt;&gt;"control"),H738,0)</f>
        <v>0</v>
      </c>
      <c r="K738">
        <f>IF(D738="dram",H738,0)</f>
        <v>120</v>
      </c>
      <c r="L738">
        <v>1280</v>
      </c>
      <c r="M738">
        <v>0</v>
      </c>
    </row>
    <row r="739" spans="1:13">
      <c r="A739">
        <v>737</v>
      </c>
      <c r="B739" t="s">
        <v>240</v>
      </c>
      <c r="C739" t="s">
        <v>82</v>
      </c>
      <c r="D739" t="s">
        <v>83</v>
      </c>
      <c r="E739" t="s">
        <v>111</v>
      </c>
      <c r="F739">
        <v>384</v>
      </c>
      <c r="G739">
        <f>MAX(I735,I738)</f>
        <v>1142271</v>
      </c>
      <c r="H739">
        <f>CEILING((dram_access_latency+F739/dram_bandwidth)*frequency,1)</f>
        <v>106</v>
      </c>
      <c r="I739">
        <f>G739+H739</f>
        <v>1142377</v>
      </c>
      <c r="J739">
        <f>IF(AND(D739&lt;&gt;"dram",D739&lt;&gt;"control"),H739,0)</f>
        <v>0</v>
      </c>
      <c r="K739">
        <f>IF(D739="dram",H739,0)</f>
        <v>106</v>
      </c>
      <c r="L739">
        <v>384</v>
      </c>
      <c r="M739">
        <v>0</v>
      </c>
    </row>
    <row r="740" spans="1:13">
      <c r="A740">
        <v>738</v>
      </c>
      <c r="B740" t="s">
        <v>241</v>
      </c>
      <c r="C740" t="s">
        <v>82</v>
      </c>
      <c r="D740" t="s">
        <v>83</v>
      </c>
      <c r="E740" t="s">
        <v>111</v>
      </c>
      <c r="F740">
        <v>8</v>
      </c>
      <c r="G740">
        <f>MAX(I735,I739)</f>
        <v>1142377</v>
      </c>
      <c r="H740">
        <f>CEILING((dram_access_latency+F740/dram_bandwidth)*frequency,1)</f>
        <v>101</v>
      </c>
      <c r="I740">
        <f>G740+H740</f>
        <v>1142478</v>
      </c>
      <c r="J740">
        <f>IF(AND(D740&lt;&gt;"dram",D740&lt;&gt;"control"),H740,0)</f>
        <v>0</v>
      </c>
      <c r="K740">
        <f>IF(D740="dram",H740,0)</f>
        <v>101</v>
      </c>
      <c r="L740">
        <v>8</v>
      </c>
      <c r="M740">
        <v>0</v>
      </c>
    </row>
    <row r="741" spans="1:13">
      <c r="A741">
        <v>739</v>
      </c>
      <c r="B741" t="s">
        <v>37</v>
      </c>
      <c r="C741" t="s">
        <v>90</v>
      </c>
      <c r="D741" t="s">
        <v>108</v>
      </c>
      <c r="E741" t="s">
        <v>111</v>
      </c>
      <c r="F741">
        <v>0</v>
      </c>
      <c r="G741">
        <f>MAX(I734,I734,I724,I737,I738,I739,I740,I736)</f>
        <v>1142478</v>
      </c>
      <c r="H741">
        <f>'Operations'!I14</f>
        <v>1452</v>
      </c>
      <c r="I741">
        <f>G741+H741</f>
        <v>1143930</v>
      </c>
      <c r="J741">
        <f>IF(AND(D741&lt;&gt;"dram",D741&lt;&gt;"control"),H741,0)</f>
        <v>1452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242</v>
      </c>
      <c r="C742" t="s">
        <v>88</v>
      </c>
      <c r="D742" t="s">
        <v>89</v>
      </c>
      <c r="E742" t="s">
        <v>111</v>
      </c>
      <c r="F742">
        <v>0</v>
      </c>
      <c r="G742">
        <f>MAX(I735,I734)</f>
        <v>1140951</v>
      </c>
      <c r="H742">
        <f>0</f>
        <v>1452</v>
      </c>
      <c r="I742">
        <f>G742+H742</f>
        <v>1142403</v>
      </c>
      <c r="J742">
        <f>IF(AND(D742&lt;&gt;"dram",D742&lt;&gt;"control"),H742,0)</f>
        <v>0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243</v>
      </c>
      <c r="C743" t="s">
        <v>92</v>
      </c>
      <c r="D743" t="s">
        <v>83</v>
      </c>
      <c r="E743" t="s">
        <v>111</v>
      </c>
      <c r="F743">
        <v>2560</v>
      </c>
      <c r="G743">
        <f>MAX(I742,I740)</f>
        <v>1142478</v>
      </c>
      <c r="H743">
        <f>CEILING((dram_access_latency+F743/dram_bandwidth)*frequency,1)</f>
        <v>140</v>
      </c>
      <c r="I743">
        <f>G743+H743</f>
        <v>1142618</v>
      </c>
      <c r="J743">
        <f>IF(AND(D743&lt;&gt;"dram",D743&lt;&gt;"control"),H743,0)</f>
        <v>0</v>
      </c>
      <c r="K743">
        <f>IF(D743="dram",H743,0)</f>
        <v>140</v>
      </c>
      <c r="L743">
        <v>0</v>
      </c>
      <c r="M743">
        <v>2560</v>
      </c>
    </row>
    <row r="744" spans="1:13">
      <c r="A744">
        <v>742</v>
      </c>
      <c r="B744" t="s">
        <v>238</v>
      </c>
      <c r="C744" t="s">
        <v>82</v>
      </c>
      <c r="D744" t="s">
        <v>83</v>
      </c>
      <c r="E744" t="s">
        <v>112</v>
      </c>
      <c r="F744">
        <v>61440</v>
      </c>
      <c r="G744">
        <f>MAX(I742,I743)</f>
        <v>1142618</v>
      </c>
      <c r="H744">
        <f>CEILING((dram_access_latency+F744/dram_bandwidth)*frequency,1)</f>
        <v>1060</v>
      </c>
      <c r="I744">
        <f>G744+H744</f>
        <v>1143678</v>
      </c>
      <c r="J744">
        <f>IF(AND(D744&lt;&gt;"dram",D744&lt;&gt;"control"),H744,0)</f>
        <v>0</v>
      </c>
      <c r="K744">
        <f>IF(D744="dram",H744,0)</f>
        <v>1060</v>
      </c>
      <c r="L744">
        <v>61440</v>
      </c>
      <c r="M744">
        <v>0</v>
      </c>
    </row>
    <row r="745" spans="1:13">
      <c r="A745">
        <v>743</v>
      </c>
      <c r="B745" t="s">
        <v>239</v>
      </c>
      <c r="C745" t="s">
        <v>82</v>
      </c>
      <c r="D745" t="s">
        <v>83</v>
      </c>
      <c r="E745" t="s">
        <v>112</v>
      </c>
      <c r="F745">
        <v>1280</v>
      </c>
      <c r="G745">
        <f>MAX(I742,I744)</f>
        <v>1143678</v>
      </c>
      <c r="H745">
        <f>CEILING((dram_access_latency+F745/dram_bandwidth)*frequency,1)</f>
        <v>120</v>
      </c>
      <c r="I745">
        <f>G745+H745</f>
        <v>1143798</v>
      </c>
      <c r="J745">
        <f>IF(AND(D745&lt;&gt;"dram",D745&lt;&gt;"control"),H745,0)</f>
        <v>0</v>
      </c>
      <c r="K745">
        <f>IF(D745="dram",H745,0)</f>
        <v>120</v>
      </c>
      <c r="L745">
        <v>1280</v>
      </c>
      <c r="M745">
        <v>0</v>
      </c>
    </row>
    <row r="746" spans="1:13">
      <c r="A746">
        <v>744</v>
      </c>
      <c r="B746" t="s">
        <v>240</v>
      </c>
      <c r="C746" t="s">
        <v>82</v>
      </c>
      <c r="D746" t="s">
        <v>83</v>
      </c>
      <c r="E746" t="s">
        <v>112</v>
      </c>
      <c r="F746">
        <v>384</v>
      </c>
      <c r="G746">
        <f>MAX(I742,I745)</f>
        <v>1143798</v>
      </c>
      <c r="H746">
        <f>CEILING((dram_access_latency+F746/dram_bandwidth)*frequency,1)</f>
        <v>106</v>
      </c>
      <c r="I746">
        <f>G746+H746</f>
        <v>1143904</v>
      </c>
      <c r="J746">
        <f>IF(AND(D746&lt;&gt;"dram",D746&lt;&gt;"control"),H746,0)</f>
        <v>0</v>
      </c>
      <c r="K746">
        <f>IF(D746="dram",H746,0)</f>
        <v>106</v>
      </c>
      <c r="L746">
        <v>384</v>
      </c>
      <c r="M746">
        <v>0</v>
      </c>
    </row>
    <row r="747" spans="1:13">
      <c r="A747">
        <v>745</v>
      </c>
      <c r="B747" t="s">
        <v>241</v>
      </c>
      <c r="C747" t="s">
        <v>82</v>
      </c>
      <c r="D747" t="s">
        <v>83</v>
      </c>
      <c r="E747" t="s">
        <v>112</v>
      </c>
      <c r="F747">
        <v>8</v>
      </c>
      <c r="G747">
        <f>MAX(I742,I746)</f>
        <v>1143904</v>
      </c>
      <c r="H747">
        <f>CEILING((dram_access_latency+F747/dram_bandwidth)*frequency,1)</f>
        <v>101</v>
      </c>
      <c r="I747">
        <f>G747+H747</f>
        <v>1144005</v>
      </c>
      <c r="J747">
        <f>IF(AND(D747&lt;&gt;"dram",D747&lt;&gt;"control"),H747,0)</f>
        <v>0</v>
      </c>
      <c r="K747">
        <f>IF(D747="dram",H747,0)</f>
        <v>101</v>
      </c>
      <c r="L747">
        <v>8</v>
      </c>
      <c r="M747">
        <v>0</v>
      </c>
    </row>
    <row r="748" spans="1:13">
      <c r="A748">
        <v>746</v>
      </c>
      <c r="B748" t="s">
        <v>37</v>
      </c>
      <c r="C748" t="s">
        <v>90</v>
      </c>
      <c r="D748" t="s">
        <v>108</v>
      </c>
      <c r="E748" t="s">
        <v>112</v>
      </c>
      <c r="F748">
        <v>0</v>
      </c>
      <c r="G748">
        <f>MAX(I741,I741,I724,I744,I745,I746,I747,I743)</f>
        <v>1144005</v>
      </c>
      <c r="H748">
        <f>'Operations'!I14</f>
        <v>1452</v>
      </c>
      <c r="I748">
        <f>G748+H748</f>
        <v>1145457</v>
      </c>
      <c r="J748">
        <f>IF(AND(D748&lt;&gt;"dram",D748&lt;&gt;"control"),H748,0)</f>
        <v>1452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242</v>
      </c>
      <c r="C749" t="s">
        <v>88</v>
      </c>
      <c r="D749" t="s">
        <v>89</v>
      </c>
      <c r="E749" t="s">
        <v>112</v>
      </c>
      <c r="F749">
        <v>0</v>
      </c>
      <c r="G749">
        <f>MAX(I742,I741)</f>
        <v>1142403</v>
      </c>
      <c r="H749">
        <f>0</f>
        <v>1527</v>
      </c>
      <c r="I749">
        <f>G749+H749</f>
        <v>1143930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243</v>
      </c>
      <c r="C750" t="s">
        <v>92</v>
      </c>
      <c r="D750" t="s">
        <v>83</v>
      </c>
      <c r="E750" t="s">
        <v>112</v>
      </c>
      <c r="F750">
        <v>2560</v>
      </c>
      <c r="G750">
        <f>MAX(I749,I747)</f>
        <v>1144005</v>
      </c>
      <c r="H750">
        <f>CEILING((dram_access_latency+F750/dram_bandwidth)*frequency,1)</f>
        <v>140</v>
      </c>
      <c r="I750">
        <f>G750+H750</f>
        <v>1144145</v>
      </c>
      <c r="J750">
        <f>IF(AND(D750&lt;&gt;"dram",D750&lt;&gt;"control"),H750,0)</f>
        <v>0</v>
      </c>
      <c r="K750">
        <f>IF(D750="dram",H750,0)</f>
        <v>140</v>
      </c>
      <c r="L750">
        <v>0</v>
      </c>
      <c r="M750">
        <v>2560</v>
      </c>
    </row>
    <row r="751" spans="1:13">
      <c r="A751">
        <v>749</v>
      </c>
      <c r="B751" t="s">
        <v>238</v>
      </c>
      <c r="C751" t="s">
        <v>82</v>
      </c>
      <c r="D751" t="s">
        <v>83</v>
      </c>
      <c r="E751" t="s">
        <v>113</v>
      </c>
      <c r="F751">
        <v>61440</v>
      </c>
      <c r="G751">
        <f>MAX(I749,I750)</f>
        <v>1144145</v>
      </c>
      <c r="H751">
        <f>CEILING((dram_access_latency+F751/dram_bandwidth)*frequency,1)</f>
        <v>1060</v>
      </c>
      <c r="I751">
        <f>G751+H751</f>
        <v>1145205</v>
      </c>
      <c r="J751">
        <f>IF(AND(D751&lt;&gt;"dram",D751&lt;&gt;"control"),H751,0)</f>
        <v>0</v>
      </c>
      <c r="K751">
        <f>IF(D751="dram",H751,0)</f>
        <v>1060</v>
      </c>
      <c r="L751">
        <v>61440</v>
      </c>
      <c r="M751">
        <v>0</v>
      </c>
    </row>
    <row r="752" spans="1:13">
      <c r="A752">
        <v>750</v>
      </c>
      <c r="B752" t="s">
        <v>239</v>
      </c>
      <c r="C752" t="s">
        <v>82</v>
      </c>
      <c r="D752" t="s">
        <v>83</v>
      </c>
      <c r="E752" t="s">
        <v>113</v>
      </c>
      <c r="F752">
        <v>1280</v>
      </c>
      <c r="G752">
        <f>MAX(I749,I751)</f>
        <v>1145205</v>
      </c>
      <c r="H752">
        <f>CEILING((dram_access_latency+F752/dram_bandwidth)*frequency,1)</f>
        <v>120</v>
      </c>
      <c r="I752">
        <f>G752+H752</f>
        <v>1145325</v>
      </c>
      <c r="J752">
        <f>IF(AND(D752&lt;&gt;"dram",D752&lt;&gt;"control"),H752,0)</f>
        <v>0</v>
      </c>
      <c r="K752">
        <f>IF(D752="dram",H752,0)</f>
        <v>120</v>
      </c>
      <c r="L752">
        <v>1280</v>
      </c>
      <c r="M752">
        <v>0</v>
      </c>
    </row>
    <row r="753" spans="1:13">
      <c r="A753">
        <v>751</v>
      </c>
      <c r="B753" t="s">
        <v>240</v>
      </c>
      <c r="C753" t="s">
        <v>82</v>
      </c>
      <c r="D753" t="s">
        <v>83</v>
      </c>
      <c r="E753" t="s">
        <v>113</v>
      </c>
      <c r="F753">
        <v>384</v>
      </c>
      <c r="G753">
        <f>MAX(I749,I752)</f>
        <v>1145325</v>
      </c>
      <c r="H753">
        <f>CEILING((dram_access_latency+F753/dram_bandwidth)*frequency,1)</f>
        <v>106</v>
      </c>
      <c r="I753">
        <f>G753+H753</f>
        <v>1145431</v>
      </c>
      <c r="J753">
        <f>IF(AND(D753&lt;&gt;"dram",D753&lt;&gt;"control"),H753,0)</f>
        <v>0</v>
      </c>
      <c r="K753">
        <f>IF(D753="dram",H753,0)</f>
        <v>106</v>
      </c>
      <c r="L753">
        <v>384</v>
      </c>
      <c r="M753">
        <v>0</v>
      </c>
    </row>
    <row r="754" spans="1:13">
      <c r="A754">
        <v>752</v>
      </c>
      <c r="B754" t="s">
        <v>241</v>
      </c>
      <c r="C754" t="s">
        <v>82</v>
      </c>
      <c r="D754" t="s">
        <v>83</v>
      </c>
      <c r="E754" t="s">
        <v>113</v>
      </c>
      <c r="F754">
        <v>8</v>
      </c>
      <c r="G754">
        <f>MAX(I749,I753)</f>
        <v>1145431</v>
      </c>
      <c r="H754">
        <f>CEILING((dram_access_latency+F754/dram_bandwidth)*frequency,1)</f>
        <v>101</v>
      </c>
      <c r="I754">
        <f>G754+H754</f>
        <v>1145532</v>
      </c>
      <c r="J754">
        <f>IF(AND(D754&lt;&gt;"dram",D754&lt;&gt;"control"),H754,0)</f>
        <v>0</v>
      </c>
      <c r="K754">
        <f>IF(D754="dram",H754,0)</f>
        <v>101</v>
      </c>
      <c r="L754">
        <v>8</v>
      </c>
      <c r="M754">
        <v>0</v>
      </c>
    </row>
    <row r="755" spans="1:13">
      <c r="A755">
        <v>753</v>
      </c>
      <c r="B755" t="s">
        <v>37</v>
      </c>
      <c r="C755" t="s">
        <v>90</v>
      </c>
      <c r="D755" t="s">
        <v>108</v>
      </c>
      <c r="E755" t="s">
        <v>113</v>
      </c>
      <c r="F755">
        <v>0</v>
      </c>
      <c r="G755">
        <f>MAX(I748,I748,I724,I751,I752,I753,I754,I750)</f>
        <v>1145532</v>
      </c>
      <c r="H755">
        <f>'Operations'!I14</f>
        <v>1452</v>
      </c>
      <c r="I755">
        <f>G755+H755</f>
        <v>1146984</v>
      </c>
      <c r="J755">
        <f>IF(AND(D755&lt;&gt;"dram",D755&lt;&gt;"control"),H755,0)</f>
        <v>1452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242</v>
      </c>
      <c r="C756" t="s">
        <v>88</v>
      </c>
      <c r="D756" t="s">
        <v>89</v>
      </c>
      <c r="E756" t="s">
        <v>113</v>
      </c>
      <c r="F756">
        <v>0</v>
      </c>
      <c r="G756">
        <f>MAX(I749,I748)</f>
        <v>1143930</v>
      </c>
      <c r="H756">
        <f>0</f>
        <v>1527</v>
      </c>
      <c r="I756">
        <f>G756+H756</f>
        <v>1145457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243</v>
      </c>
      <c r="C757" t="s">
        <v>92</v>
      </c>
      <c r="D757" t="s">
        <v>83</v>
      </c>
      <c r="E757" t="s">
        <v>113</v>
      </c>
      <c r="F757">
        <v>2560</v>
      </c>
      <c r="G757">
        <f>MAX(I756,I754)</f>
        <v>1145532</v>
      </c>
      <c r="H757">
        <f>CEILING((dram_access_latency+F757/dram_bandwidth)*frequency,1)</f>
        <v>140</v>
      </c>
      <c r="I757">
        <f>G757+H757</f>
        <v>1145672</v>
      </c>
      <c r="J757">
        <f>IF(AND(D757&lt;&gt;"dram",D757&lt;&gt;"control"),H757,0)</f>
        <v>0</v>
      </c>
      <c r="K757">
        <f>IF(D757="dram",H757,0)</f>
        <v>140</v>
      </c>
      <c r="L757">
        <v>0</v>
      </c>
      <c r="M757">
        <v>2560</v>
      </c>
    </row>
    <row r="758" spans="1:13">
      <c r="A758">
        <v>756</v>
      </c>
      <c r="B758" t="s">
        <v>238</v>
      </c>
      <c r="C758" t="s">
        <v>82</v>
      </c>
      <c r="D758" t="s">
        <v>83</v>
      </c>
      <c r="E758" t="s">
        <v>114</v>
      </c>
      <c r="F758">
        <v>61440</v>
      </c>
      <c r="G758">
        <f>MAX(I756,I757)</f>
        <v>1145672</v>
      </c>
      <c r="H758">
        <f>CEILING((dram_access_latency+F758/dram_bandwidth)*frequency,1)</f>
        <v>1060</v>
      </c>
      <c r="I758">
        <f>G758+H758</f>
        <v>1146732</v>
      </c>
      <c r="J758">
        <f>IF(AND(D758&lt;&gt;"dram",D758&lt;&gt;"control"),H758,0)</f>
        <v>0</v>
      </c>
      <c r="K758">
        <f>IF(D758="dram",H758,0)</f>
        <v>1060</v>
      </c>
      <c r="L758">
        <v>61440</v>
      </c>
      <c r="M758">
        <v>0</v>
      </c>
    </row>
    <row r="759" spans="1:13">
      <c r="A759">
        <v>757</v>
      </c>
      <c r="B759" t="s">
        <v>239</v>
      </c>
      <c r="C759" t="s">
        <v>82</v>
      </c>
      <c r="D759" t="s">
        <v>83</v>
      </c>
      <c r="E759" t="s">
        <v>114</v>
      </c>
      <c r="F759">
        <v>1280</v>
      </c>
      <c r="G759">
        <f>MAX(I756,I758)</f>
        <v>1146732</v>
      </c>
      <c r="H759">
        <f>CEILING((dram_access_latency+F759/dram_bandwidth)*frequency,1)</f>
        <v>120</v>
      </c>
      <c r="I759">
        <f>G759+H759</f>
        <v>1146852</v>
      </c>
      <c r="J759">
        <f>IF(AND(D759&lt;&gt;"dram",D759&lt;&gt;"control"),H759,0)</f>
        <v>0</v>
      </c>
      <c r="K759">
        <f>IF(D759="dram",H759,0)</f>
        <v>120</v>
      </c>
      <c r="L759">
        <v>1280</v>
      </c>
      <c r="M759">
        <v>0</v>
      </c>
    </row>
    <row r="760" spans="1:13">
      <c r="A760">
        <v>758</v>
      </c>
      <c r="B760" t="s">
        <v>240</v>
      </c>
      <c r="C760" t="s">
        <v>82</v>
      </c>
      <c r="D760" t="s">
        <v>83</v>
      </c>
      <c r="E760" t="s">
        <v>114</v>
      </c>
      <c r="F760">
        <v>384</v>
      </c>
      <c r="G760">
        <f>MAX(I756,I759)</f>
        <v>1146852</v>
      </c>
      <c r="H760">
        <f>CEILING((dram_access_latency+F760/dram_bandwidth)*frequency,1)</f>
        <v>106</v>
      </c>
      <c r="I760">
        <f>G760+H760</f>
        <v>1146958</v>
      </c>
      <c r="J760">
        <f>IF(AND(D760&lt;&gt;"dram",D760&lt;&gt;"control"),H760,0)</f>
        <v>0</v>
      </c>
      <c r="K760">
        <f>IF(D760="dram",H760,0)</f>
        <v>106</v>
      </c>
      <c r="L760">
        <v>384</v>
      </c>
      <c r="M760">
        <v>0</v>
      </c>
    </row>
    <row r="761" spans="1:13">
      <c r="A761">
        <v>759</v>
      </c>
      <c r="B761" t="s">
        <v>241</v>
      </c>
      <c r="C761" t="s">
        <v>82</v>
      </c>
      <c r="D761" t="s">
        <v>83</v>
      </c>
      <c r="E761" t="s">
        <v>114</v>
      </c>
      <c r="F761">
        <v>8</v>
      </c>
      <c r="G761">
        <f>MAX(I756,I760)</f>
        <v>1146958</v>
      </c>
      <c r="H761">
        <f>CEILING((dram_access_latency+F761/dram_bandwidth)*frequency,1)</f>
        <v>101</v>
      </c>
      <c r="I761">
        <f>G761+H761</f>
        <v>1147059</v>
      </c>
      <c r="J761">
        <f>IF(AND(D761&lt;&gt;"dram",D761&lt;&gt;"control"),H761,0)</f>
        <v>0</v>
      </c>
      <c r="K761">
        <f>IF(D761="dram",H761,0)</f>
        <v>101</v>
      </c>
      <c r="L761">
        <v>8</v>
      </c>
      <c r="M761">
        <v>0</v>
      </c>
    </row>
    <row r="762" spans="1:13">
      <c r="A762">
        <v>760</v>
      </c>
      <c r="B762" t="s">
        <v>37</v>
      </c>
      <c r="C762" t="s">
        <v>90</v>
      </c>
      <c r="D762" t="s">
        <v>108</v>
      </c>
      <c r="E762" t="s">
        <v>114</v>
      </c>
      <c r="F762">
        <v>0</v>
      </c>
      <c r="G762">
        <f>MAX(I755,I755,I724,I758,I759,I760,I761,I757)</f>
        <v>1147059</v>
      </c>
      <c r="H762">
        <f>'Operations'!I14</f>
        <v>1452</v>
      </c>
      <c r="I762">
        <f>G762+H762</f>
        <v>1148511</v>
      </c>
      <c r="J762">
        <f>IF(AND(D762&lt;&gt;"dram",D762&lt;&gt;"control"),H762,0)</f>
        <v>1452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242</v>
      </c>
      <c r="C763" t="s">
        <v>88</v>
      </c>
      <c r="D763" t="s">
        <v>89</v>
      </c>
      <c r="E763" t="s">
        <v>114</v>
      </c>
      <c r="F763">
        <v>0</v>
      </c>
      <c r="G763">
        <f>MAX(I756,I755)</f>
        <v>1145457</v>
      </c>
      <c r="H763">
        <f>0</f>
        <v>1527</v>
      </c>
      <c r="I763">
        <f>G763+H763</f>
        <v>1146984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243</v>
      </c>
      <c r="C764" t="s">
        <v>92</v>
      </c>
      <c r="D764" t="s">
        <v>83</v>
      </c>
      <c r="E764" t="s">
        <v>114</v>
      </c>
      <c r="F764">
        <v>2560</v>
      </c>
      <c r="G764">
        <f>MAX(I763,I761)</f>
        <v>1147059</v>
      </c>
      <c r="H764">
        <f>CEILING((dram_access_latency+F764/dram_bandwidth)*frequency,1)</f>
        <v>140</v>
      </c>
      <c r="I764">
        <f>G764+H764</f>
        <v>1147199</v>
      </c>
      <c r="J764">
        <f>IF(AND(D764&lt;&gt;"dram",D764&lt;&gt;"control"),H764,0)</f>
        <v>0</v>
      </c>
      <c r="K764">
        <f>IF(D764="dram",H764,0)</f>
        <v>140</v>
      </c>
      <c r="L764">
        <v>0</v>
      </c>
      <c r="M764">
        <v>2560</v>
      </c>
    </row>
    <row r="765" spans="1:13">
      <c r="A765">
        <v>763</v>
      </c>
      <c r="B765" t="s">
        <v>238</v>
      </c>
      <c r="C765" t="s">
        <v>82</v>
      </c>
      <c r="D765" t="s">
        <v>83</v>
      </c>
      <c r="E765" t="s">
        <v>115</v>
      </c>
      <c r="F765">
        <v>61440</v>
      </c>
      <c r="G765">
        <f>MAX(I763,I764)</f>
        <v>1147199</v>
      </c>
      <c r="H765">
        <f>CEILING((dram_access_latency+F765/dram_bandwidth)*frequency,1)</f>
        <v>1060</v>
      </c>
      <c r="I765">
        <f>G765+H765</f>
        <v>1148259</v>
      </c>
      <c r="J765">
        <f>IF(AND(D765&lt;&gt;"dram",D765&lt;&gt;"control"),H765,0)</f>
        <v>0</v>
      </c>
      <c r="K765">
        <f>IF(D765="dram",H765,0)</f>
        <v>1060</v>
      </c>
      <c r="L765">
        <v>61440</v>
      </c>
      <c r="M765">
        <v>0</v>
      </c>
    </row>
    <row r="766" spans="1:13">
      <c r="A766">
        <v>764</v>
      </c>
      <c r="B766" t="s">
        <v>239</v>
      </c>
      <c r="C766" t="s">
        <v>82</v>
      </c>
      <c r="D766" t="s">
        <v>83</v>
      </c>
      <c r="E766" t="s">
        <v>115</v>
      </c>
      <c r="F766">
        <v>1280</v>
      </c>
      <c r="G766">
        <f>MAX(I763,I765)</f>
        <v>1148259</v>
      </c>
      <c r="H766">
        <f>CEILING((dram_access_latency+F766/dram_bandwidth)*frequency,1)</f>
        <v>120</v>
      </c>
      <c r="I766">
        <f>G766+H766</f>
        <v>1148379</v>
      </c>
      <c r="J766">
        <f>IF(AND(D766&lt;&gt;"dram",D766&lt;&gt;"control"),H766,0)</f>
        <v>0</v>
      </c>
      <c r="K766">
        <f>IF(D766="dram",H766,0)</f>
        <v>120</v>
      </c>
      <c r="L766">
        <v>1280</v>
      </c>
      <c r="M766">
        <v>0</v>
      </c>
    </row>
    <row r="767" spans="1:13">
      <c r="A767">
        <v>765</v>
      </c>
      <c r="B767" t="s">
        <v>240</v>
      </c>
      <c r="C767" t="s">
        <v>82</v>
      </c>
      <c r="D767" t="s">
        <v>83</v>
      </c>
      <c r="E767" t="s">
        <v>115</v>
      </c>
      <c r="F767">
        <v>384</v>
      </c>
      <c r="G767">
        <f>MAX(I763,I766)</f>
        <v>1148379</v>
      </c>
      <c r="H767">
        <f>CEILING((dram_access_latency+F767/dram_bandwidth)*frequency,1)</f>
        <v>106</v>
      </c>
      <c r="I767">
        <f>G767+H767</f>
        <v>1148485</v>
      </c>
      <c r="J767">
        <f>IF(AND(D767&lt;&gt;"dram",D767&lt;&gt;"control"),H767,0)</f>
        <v>0</v>
      </c>
      <c r="K767">
        <f>IF(D767="dram",H767,0)</f>
        <v>106</v>
      </c>
      <c r="L767">
        <v>384</v>
      </c>
      <c r="M767">
        <v>0</v>
      </c>
    </row>
    <row r="768" spans="1:13">
      <c r="A768">
        <v>766</v>
      </c>
      <c r="B768" t="s">
        <v>241</v>
      </c>
      <c r="C768" t="s">
        <v>82</v>
      </c>
      <c r="D768" t="s">
        <v>83</v>
      </c>
      <c r="E768" t="s">
        <v>115</v>
      </c>
      <c r="F768">
        <v>8</v>
      </c>
      <c r="G768">
        <f>MAX(I763,I767)</f>
        <v>1148485</v>
      </c>
      <c r="H768">
        <f>CEILING((dram_access_latency+F768/dram_bandwidth)*frequency,1)</f>
        <v>101</v>
      </c>
      <c r="I768">
        <f>G768+H768</f>
        <v>1148586</v>
      </c>
      <c r="J768">
        <f>IF(AND(D768&lt;&gt;"dram",D768&lt;&gt;"control"),H768,0)</f>
        <v>0</v>
      </c>
      <c r="K768">
        <f>IF(D768="dram",H768,0)</f>
        <v>101</v>
      </c>
      <c r="L768">
        <v>8</v>
      </c>
      <c r="M768">
        <v>0</v>
      </c>
    </row>
    <row r="769" spans="1:13">
      <c r="A769">
        <v>767</v>
      </c>
      <c r="B769" t="s">
        <v>37</v>
      </c>
      <c r="C769" t="s">
        <v>90</v>
      </c>
      <c r="D769" t="s">
        <v>108</v>
      </c>
      <c r="E769" t="s">
        <v>115</v>
      </c>
      <c r="F769">
        <v>0</v>
      </c>
      <c r="G769">
        <f>MAX(I762,I762,I724,I765,I766,I767,I768,I764)</f>
        <v>1148586</v>
      </c>
      <c r="H769">
        <f>'Operations'!I14</f>
        <v>1452</v>
      </c>
      <c r="I769">
        <f>G769+H769</f>
        <v>1150038</v>
      </c>
      <c r="J769">
        <f>IF(AND(D769&lt;&gt;"dram",D769&lt;&gt;"control"),H769,0)</f>
        <v>1452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242</v>
      </c>
      <c r="C770" t="s">
        <v>88</v>
      </c>
      <c r="D770" t="s">
        <v>89</v>
      </c>
      <c r="E770" t="s">
        <v>115</v>
      </c>
      <c r="F770">
        <v>0</v>
      </c>
      <c r="G770">
        <f>MAX(I763,I762)</f>
        <v>1146984</v>
      </c>
      <c r="H770">
        <f>0</f>
        <v>1527</v>
      </c>
      <c r="I770">
        <f>G770+H770</f>
        <v>1148511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243</v>
      </c>
      <c r="C771" t="s">
        <v>92</v>
      </c>
      <c r="D771" t="s">
        <v>83</v>
      </c>
      <c r="E771" t="s">
        <v>115</v>
      </c>
      <c r="F771">
        <v>2560</v>
      </c>
      <c r="G771">
        <f>MAX(I770,I768)</f>
        <v>1148586</v>
      </c>
      <c r="H771">
        <f>CEILING((dram_access_latency+F771/dram_bandwidth)*frequency,1)</f>
        <v>140</v>
      </c>
      <c r="I771">
        <f>G771+H771</f>
        <v>1148726</v>
      </c>
      <c r="J771">
        <f>IF(AND(D771&lt;&gt;"dram",D771&lt;&gt;"control"),H771,0)</f>
        <v>0</v>
      </c>
      <c r="K771">
        <f>IF(D771="dram",H771,0)</f>
        <v>140</v>
      </c>
      <c r="L771">
        <v>0</v>
      </c>
      <c r="M771">
        <v>2560</v>
      </c>
    </row>
    <row r="772" spans="1:13">
      <c r="A772">
        <v>770</v>
      </c>
      <c r="B772" t="s">
        <v>238</v>
      </c>
      <c r="C772" t="s">
        <v>82</v>
      </c>
      <c r="D772" t="s">
        <v>83</v>
      </c>
      <c r="E772" t="s">
        <v>116</v>
      </c>
      <c r="F772">
        <v>61440</v>
      </c>
      <c r="G772">
        <f>MAX(I770,I771)</f>
        <v>1148726</v>
      </c>
      <c r="H772">
        <f>CEILING((dram_access_latency+F772/dram_bandwidth)*frequency,1)</f>
        <v>1060</v>
      </c>
      <c r="I772">
        <f>G772+H772</f>
        <v>1149786</v>
      </c>
      <c r="J772">
        <f>IF(AND(D772&lt;&gt;"dram",D772&lt;&gt;"control"),H772,0)</f>
        <v>0</v>
      </c>
      <c r="K772">
        <f>IF(D772="dram",H772,0)</f>
        <v>1060</v>
      </c>
      <c r="L772">
        <v>61440</v>
      </c>
      <c r="M772">
        <v>0</v>
      </c>
    </row>
    <row r="773" spans="1:13">
      <c r="A773">
        <v>771</v>
      </c>
      <c r="B773" t="s">
        <v>239</v>
      </c>
      <c r="C773" t="s">
        <v>82</v>
      </c>
      <c r="D773" t="s">
        <v>83</v>
      </c>
      <c r="E773" t="s">
        <v>116</v>
      </c>
      <c r="F773">
        <v>1280</v>
      </c>
      <c r="G773">
        <f>MAX(I770,I772)</f>
        <v>1149786</v>
      </c>
      <c r="H773">
        <f>CEILING((dram_access_latency+F773/dram_bandwidth)*frequency,1)</f>
        <v>120</v>
      </c>
      <c r="I773">
        <f>G773+H773</f>
        <v>1149906</v>
      </c>
      <c r="J773">
        <f>IF(AND(D773&lt;&gt;"dram",D773&lt;&gt;"control"),H773,0)</f>
        <v>0</v>
      </c>
      <c r="K773">
        <f>IF(D773="dram",H773,0)</f>
        <v>120</v>
      </c>
      <c r="L773">
        <v>1280</v>
      </c>
      <c r="M773">
        <v>0</v>
      </c>
    </row>
    <row r="774" spans="1:13">
      <c r="A774">
        <v>772</v>
      </c>
      <c r="B774" t="s">
        <v>240</v>
      </c>
      <c r="C774" t="s">
        <v>82</v>
      </c>
      <c r="D774" t="s">
        <v>83</v>
      </c>
      <c r="E774" t="s">
        <v>116</v>
      </c>
      <c r="F774">
        <v>384</v>
      </c>
      <c r="G774">
        <f>MAX(I770,I773)</f>
        <v>1149906</v>
      </c>
      <c r="H774">
        <f>CEILING((dram_access_latency+F774/dram_bandwidth)*frequency,1)</f>
        <v>106</v>
      </c>
      <c r="I774">
        <f>G774+H774</f>
        <v>1150012</v>
      </c>
      <c r="J774">
        <f>IF(AND(D774&lt;&gt;"dram",D774&lt;&gt;"control"),H774,0)</f>
        <v>0</v>
      </c>
      <c r="K774">
        <f>IF(D774="dram",H774,0)</f>
        <v>106</v>
      </c>
      <c r="L774">
        <v>384</v>
      </c>
      <c r="M774">
        <v>0</v>
      </c>
    </row>
    <row r="775" spans="1:13">
      <c r="A775">
        <v>773</v>
      </c>
      <c r="B775" t="s">
        <v>241</v>
      </c>
      <c r="C775" t="s">
        <v>82</v>
      </c>
      <c r="D775" t="s">
        <v>83</v>
      </c>
      <c r="E775" t="s">
        <v>116</v>
      </c>
      <c r="F775">
        <v>8</v>
      </c>
      <c r="G775">
        <f>MAX(I770,I774)</f>
        <v>1150012</v>
      </c>
      <c r="H775">
        <f>CEILING((dram_access_latency+F775/dram_bandwidth)*frequency,1)</f>
        <v>101</v>
      </c>
      <c r="I775">
        <f>G775+H775</f>
        <v>1150113</v>
      </c>
      <c r="J775">
        <f>IF(AND(D775&lt;&gt;"dram",D775&lt;&gt;"control"),H775,0)</f>
        <v>0</v>
      </c>
      <c r="K775">
        <f>IF(D775="dram",H775,0)</f>
        <v>101</v>
      </c>
      <c r="L775">
        <v>8</v>
      </c>
      <c r="M775">
        <v>0</v>
      </c>
    </row>
    <row r="776" spans="1:13">
      <c r="A776">
        <v>774</v>
      </c>
      <c r="B776" t="s">
        <v>37</v>
      </c>
      <c r="C776" t="s">
        <v>90</v>
      </c>
      <c r="D776" t="s">
        <v>108</v>
      </c>
      <c r="E776" t="s">
        <v>116</v>
      </c>
      <c r="F776">
        <v>0</v>
      </c>
      <c r="G776">
        <f>MAX(I769,I769,I724,I772,I773,I774,I775,I771)</f>
        <v>1150113</v>
      </c>
      <c r="H776">
        <f>'Operations'!I14</f>
        <v>1452</v>
      </c>
      <c r="I776">
        <f>G776+H776</f>
        <v>1151565</v>
      </c>
      <c r="J776">
        <f>IF(AND(D776&lt;&gt;"dram",D776&lt;&gt;"control"),H776,0)</f>
        <v>1452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242</v>
      </c>
      <c r="C777" t="s">
        <v>88</v>
      </c>
      <c r="D777" t="s">
        <v>89</v>
      </c>
      <c r="E777" t="s">
        <v>116</v>
      </c>
      <c r="F777">
        <v>0</v>
      </c>
      <c r="G777">
        <f>MAX(I770,I769)</f>
        <v>1148511</v>
      </c>
      <c r="H777">
        <f>0</f>
        <v>1527</v>
      </c>
      <c r="I777">
        <f>G777+H777</f>
        <v>1150038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243</v>
      </c>
      <c r="C778" t="s">
        <v>92</v>
      </c>
      <c r="D778" t="s">
        <v>83</v>
      </c>
      <c r="E778" t="s">
        <v>116</v>
      </c>
      <c r="F778">
        <v>2560</v>
      </c>
      <c r="G778">
        <f>MAX(I777,I775)</f>
        <v>1150113</v>
      </c>
      <c r="H778">
        <f>CEILING((dram_access_latency+F778/dram_bandwidth)*frequency,1)</f>
        <v>140</v>
      </c>
      <c r="I778">
        <f>G778+H778</f>
        <v>1150253</v>
      </c>
      <c r="J778">
        <f>IF(AND(D778&lt;&gt;"dram",D778&lt;&gt;"control"),H778,0)</f>
        <v>0</v>
      </c>
      <c r="K778">
        <f>IF(D778="dram",H778,0)</f>
        <v>140</v>
      </c>
      <c r="L778">
        <v>0</v>
      </c>
      <c r="M778">
        <v>2560</v>
      </c>
    </row>
    <row r="779" spans="1:13">
      <c r="A779">
        <v>777</v>
      </c>
      <c r="B779" t="s">
        <v>238</v>
      </c>
      <c r="C779" t="s">
        <v>82</v>
      </c>
      <c r="D779" t="s">
        <v>83</v>
      </c>
      <c r="E779" t="s">
        <v>117</v>
      </c>
      <c r="F779">
        <v>61440</v>
      </c>
      <c r="G779">
        <f>MAX(I777,I778)</f>
        <v>1150253</v>
      </c>
      <c r="H779">
        <f>CEILING((dram_access_latency+F779/dram_bandwidth)*frequency,1)</f>
        <v>1060</v>
      </c>
      <c r="I779">
        <f>G779+H779</f>
        <v>1151313</v>
      </c>
      <c r="J779">
        <f>IF(AND(D779&lt;&gt;"dram",D779&lt;&gt;"control"),H779,0)</f>
        <v>0</v>
      </c>
      <c r="K779">
        <f>IF(D779="dram",H779,0)</f>
        <v>1060</v>
      </c>
      <c r="L779">
        <v>61440</v>
      </c>
      <c r="M779">
        <v>0</v>
      </c>
    </row>
    <row r="780" spans="1:13">
      <c r="A780">
        <v>778</v>
      </c>
      <c r="B780" t="s">
        <v>239</v>
      </c>
      <c r="C780" t="s">
        <v>82</v>
      </c>
      <c r="D780" t="s">
        <v>83</v>
      </c>
      <c r="E780" t="s">
        <v>117</v>
      </c>
      <c r="F780">
        <v>1280</v>
      </c>
      <c r="G780">
        <f>MAX(I777,I779)</f>
        <v>1151313</v>
      </c>
      <c r="H780">
        <f>CEILING((dram_access_latency+F780/dram_bandwidth)*frequency,1)</f>
        <v>120</v>
      </c>
      <c r="I780">
        <f>G780+H780</f>
        <v>1151433</v>
      </c>
      <c r="J780">
        <f>IF(AND(D780&lt;&gt;"dram",D780&lt;&gt;"control"),H780,0)</f>
        <v>0</v>
      </c>
      <c r="K780">
        <f>IF(D780="dram",H780,0)</f>
        <v>120</v>
      </c>
      <c r="L780">
        <v>1280</v>
      </c>
      <c r="M780">
        <v>0</v>
      </c>
    </row>
    <row r="781" spans="1:13">
      <c r="A781">
        <v>779</v>
      </c>
      <c r="B781" t="s">
        <v>240</v>
      </c>
      <c r="C781" t="s">
        <v>82</v>
      </c>
      <c r="D781" t="s">
        <v>83</v>
      </c>
      <c r="E781" t="s">
        <v>117</v>
      </c>
      <c r="F781">
        <v>384</v>
      </c>
      <c r="G781">
        <f>MAX(I777,I780)</f>
        <v>1151433</v>
      </c>
      <c r="H781">
        <f>CEILING((dram_access_latency+F781/dram_bandwidth)*frequency,1)</f>
        <v>106</v>
      </c>
      <c r="I781">
        <f>G781+H781</f>
        <v>1151539</v>
      </c>
      <c r="J781">
        <f>IF(AND(D781&lt;&gt;"dram",D781&lt;&gt;"control"),H781,0)</f>
        <v>0</v>
      </c>
      <c r="K781">
        <f>IF(D781="dram",H781,0)</f>
        <v>106</v>
      </c>
      <c r="L781">
        <v>384</v>
      </c>
      <c r="M781">
        <v>0</v>
      </c>
    </row>
    <row r="782" spans="1:13">
      <c r="A782">
        <v>780</v>
      </c>
      <c r="B782" t="s">
        <v>241</v>
      </c>
      <c r="C782" t="s">
        <v>82</v>
      </c>
      <c r="D782" t="s">
        <v>83</v>
      </c>
      <c r="E782" t="s">
        <v>117</v>
      </c>
      <c r="F782">
        <v>8</v>
      </c>
      <c r="G782">
        <f>MAX(I777,I781)</f>
        <v>1151539</v>
      </c>
      <c r="H782">
        <f>CEILING((dram_access_latency+F782/dram_bandwidth)*frequency,1)</f>
        <v>101</v>
      </c>
      <c r="I782">
        <f>G782+H782</f>
        <v>1151640</v>
      </c>
      <c r="J782">
        <f>IF(AND(D782&lt;&gt;"dram",D782&lt;&gt;"control"),H782,0)</f>
        <v>0</v>
      </c>
      <c r="K782">
        <f>IF(D782="dram",H782,0)</f>
        <v>101</v>
      </c>
      <c r="L782">
        <v>8</v>
      </c>
      <c r="M782">
        <v>0</v>
      </c>
    </row>
    <row r="783" spans="1:13">
      <c r="A783">
        <v>781</v>
      </c>
      <c r="B783" t="s">
        <v>37</v>
      </c>
      <c r="C783" t="s">
        <v>90</v>
      </c>
      <c r="D783" t="s">
        <v>108</v>
      </c>
      <c r="E783" t="s">
        <v>117</v>
      </c>
      <c r="F783">
        <v>0</v>
      </c>
      <c r="G783">
        <f>MAX(I776,I776,I724,I779,I780,I781,I782,I778)</f>
        <v>1151640</v>
      </c>
      <c r="H783">
        <f>'Operations'!I14</f>
        <v>1452</v>
      </c>
      <c r="I783">
        <f>G783+H783</f>
        <v>1153092</v>
      </c>
      <c r="J783">
        <f>IF(AND(D783&lt;&gt;"dram",D783&lt;&gt;"control"),H783,0)</f>
        <v>1452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242</v>
      </c>
      <c r="C784" t="s">
        <v>88</v>
      </c>
      <c r="D784" t="s">
        <v>89</v>
      </c>
      <c r="E784" t="s">
        <v>117</v>
      </c>
      <c r="F784">
        <v>0</v>
      </c>
      <c r="G784">
        <f>MAX(I777,I776)</f>
        <v>1150038</v>
      </c>
      <c r="H784">
        <f>0</f>
        <v>1527</v>
      </c>
      <c r="I784">
        <f>G784+H784</f>
        <v>1151565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243</v>
      </c>
      <c r="C785" t="s">
        <v>92</v>
      </c>
      <c r="D785" t="s">
        <v>83</v>
      </c>
      <c r="E785" t="s">
        <v>117</v>
      </c>
      <c r="F785">
        <v>2560</v>
      </c>
      <c r="G785">
        <f>MAX(I784,I782)</f>
        <v>1151640</v>
      </c>
      <c r="H785">
        <f>CEILING((dram_access_latency+F785/dram_bandwidth)*frequency,1)</f>
        <v>140</v>
      </c>
      <c r="I785">
        <f>G785+H785</f>
        <v>1151780</v>
      </c>
      <c r="J785">
        <f>IF(AND(D785&lt;&gt;"dram",D785&lt;&gt;"control"),H785,0)</f>
        <v>0</v>
      </c>
      <c r="K785">
        <f>IF(D785="dram",H785,0)</f>
        <v>140</v>
      </c>
      <c r="L785">
        <v>0</v>
      </c>
      <c r="M785">
        <v>2560</v>
      </c>
    </row>
    <row r="786" spans="1:13">
      <c r="A786">
        <v>784</v>
      </c>
      <c r="B786" t="s">
        <v>238</v>
      </c>
      <c r="C786" t="s">
        <v>82</v>
      </c>
      <c r="D786" t="s">
        <v>83</v>
      </c>
      <c r="E786" t="s">
        <v>118</v>
      </c>
      <c r="F786">
        <v>61440</v>
      </c>
      <c r="G786">
        <f>MAX(I784,I785)</f>
        <v>1151780</v>
      </c>
      <c r="H786">
        <f>CEILING((dram_access_latency+F786/dram_bandwidth)*frequency,1)</f>
        <v>1060</v>
      </c>
      <c r="I786">
        <f>G786+H786</f>
        <v>1152840</v>
      </c>
      <c r="J786">
        <f>IF(AND(D786&lt;&gt;"dram",D786&lt;&gt;"control"),H786,0)</f>
        <v>0</v>
      </c>
      <c r="K786">
        <f>IF(D786="dram",H786,0)</f>
        <v>1060</v>
      </c>
      <c r="L786">
        <v>61440</v>
      </c>
      <c r="M786">
        <v>0</v>
      </c>
    </row>
    <row r="787" spans="1:13">
      <c r="A787">
        <v>785</v>
      </c>
      <c r="B787" t="s">
        <v>239</v>
      </c>
      <c r="C787" t="s">
        <v>82</v>
      </c>
      <c r="D787" t="s">
        <v>83</v>
      </c>
      <c r="E787" t="s">
        <v>118</v>
      </c>
      <c r="F787">
        <v>1280</v>
      </c>
      <c r="G787">
        <f>MAX(I784,I786)</f>
        <v>1152840</v>
      </c>
      <c r="H787">
        <f>CEILING((dram_access_latency+F787/dram_bandwidth)*frequency,1)</f>
        <v>120</v>
      </c>
      <c r="I787">
        <f>G787+H787</f>
        <v>1152960</v>
      </c>
      <c r="J787">
        <f>IF(AND(D787&lt;&gt;"dram",D787&lt;&gt;"control"),H787,0)</f>
        <v>0</v>
      </c>
      <c r="K787">
        <f>IF(D787="dram",H787,0)</f>
        <v>120</v>
      </c>
      <c r="L787">
        <v>1280</v>
      </c>
      <c r="M787">
        <v>0</v>
      </c>
    </row>
    <row r="788" spans="1:13">
      <c r="A788">
        <v>786</v>
      </c>
      <c r="B788" t="s">
        <v>240</v>
      </c>
      <c r="C788" t="s">
        <v>82</v>
      </c>
      <c r="D788" t="s">
        <v>83</v>
      </c>
      <c r="E788" t="s">
        <v>118</v>
      </c>
      <c r="F788">
        <v>384</v>
      </c>
      <c r="G788">
        <f>MAX(I784,I787)</f>
        <v>1152960</v>
      </c>
      <c r="H788">
        <f>CEILING((dram_access_latency+F788/dram_bandwidth)*frequency,1)</f>
        <v>106</v>
      </c>
      <c r="I788">
        <f>G788+H788</f>
        <v>1153066</v>
      </c>
      <c r="J788">
        <f>IF(AND(D788&lt;&gt;"dram",D788&lt;&gt;"control"),H788,0)</f>
        <v>0</v>
      </c>
      <c r="K788">
        <f>IF(D788="dram",H788,0)</f>
        <v>106</v>
      </c>
      <c r="L788">
        <v>384</v>
      </c>
      <c r="M788">
        <v>0</v>
      </c>
    </row>
    <row r="789" spans="1:13">
      <c r="A789">
        <v>787</v>
      </c>
      <c r="B789" t="s">
        <v>241</v>
      </c>
      <c r="C789" t="s">
        <v>82</v>
      </c>
      <c r="D789" t="s">
        <v>83</v>
      </c>
      <c r="E789" t="s">
        <v>118</v>
      </c>
      <c r="F789">
        <v>8</v>
      </c>
      <c r="G789">
        <f>MAX(I784,I788)</f>
        <v>1153066</v>
      </c>
      <c r="H789">
        <f>CEILING((dram_access_latency+F789/dram_bandwidth)*frequency,1)</f>
        <v>101</v>
      </c>
      <c r="I789">
        <f>G789+H789</f>
        <v>1153167</v>
      </c>
      <c r="J789">
        <f>IF(AND(D789&lt;&gt;"dram",D789&lt;&gt;"control"),H789,0)</f>
        <v>0</v>
      </c>
      <c r="K789">
        <f>IF(D789="dram",H789,0)</f>
        <v>101</v>
      </c>
      <c r="L789">
        <v>8</v>
      </c>
      <c r="M789">
        <v>0</v>
      </c>
    </row>
    <row r="790" spans="1:13">
      <c r="A790">
        <v>788</v>
      </c>
      <c r="B790" t="s">
        <v>37</v>
      </c>
      <c r="C790" t="s">
        <v>90</v>
      </c>
      <c r="D790" t="s">
        <v>108</v>
      </c>
      <c r="E790" t="s">
        <v>118</v>
      </c>
      <c r="F790">
        <v>0</v>
      </c>
      <c r="G790">
        <f>MAX(I783,I783,I724,I786,I787,I788,I789,I785)</f>
        <v>1153167</v>
      </c>
      <c r="H790">
        <f>'Operations'!I14</f>
        <v>1452</v>
      </c>
      <c r="I790">
        <f>G790+H790</f>
        <v>1154619</v>
      </c>
      <c r="J790">
        <f>IF(AND(D790&lt;&gt;"dram",D790&lt;&gt;"control"),H790,0)</f>
        <v>1452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242</v>
      </c>
      <c r="C791" t="s">
        <v>88</v>
      </c>
      <c r="D791" t="s">
        <v>89</v>
      </c>
      <c r="E791" t="s">
        <v>118</v>
      </c>
      <c r="F791">
        <v>0</v>
      </c>
      <c r="G791">
        <f>MAX(I784,I783)</f>
        <v>1151565</v>
      </c>
      <c r="H791">
        <f>0</f>
        <v>1527</v>
      </c>
      <c r="I791">
        <f>G791+H791</f>
        <v>1153092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243</v>
      </c>
      <c r="C792" t="s">
        <v>92</v>
      </c>
      <c r="D792" t="s">
        <v>83</v>
      </c>
      <c r="E792" t="s">
        <v>118</v>
      </c>
      <c r="F792">
        <v>2560</v>
      </c>
      <c r="G792">
        <f>MAX(I791,I789)</f>
        <v>1153167</v>
      </c>
      <c r="H792">
        <f>CEILING((dram_access_latency+F792/dram_bandwidth)*frequency,1)</f>
        <v>140</v>
      </c>
      <c r="I792">
        <f>G792+H792</f>
        <v>1153307</v>
      </c>
      <c r="J792">
        <f>IF(AND(D792&lt;&gt;"dram",D792&lt;&gt;"control"),H792,0)</f>
        <v>0</v>
      </c>
      <c r="K792">
        <f>IF(D792="dram",H792,0)</f>
        <v>140</v>
      </c>
      <c r="L792">
        <v>0</v>
      </c>
      <c r="M792">
        <v>2560</v>
      </c>
    </row>
    <row r="793" spans="1:13">
      <c r="A793">
        <v>791</v>
      </c>
      <c r="B793" t="s">
        <v>238</v>
      </c>
      <c r="C793" t="s">
        <v>82</v>
      </c>
      <c r="D793" t="s">
        <v>83</v>
      </c>
      <c r="E793" t="s">
        <v>119</v>
      </c>
      <c r="F793">
        <v>61440</v>
      </c>
      <c r="G793">
        <f>MAX(I791,I792)</f>
        <v>1153307</v>
      </c>
      <c r="H793">
        <f>CEILING((dram_access_latency+F793/dram_bandwidth)*frequency,1)</f>
        <v>1060</v>
      </c>
      <c r="I793">
        <f>G793+H793</f>
        <v>1154367</v>
      </c>
      <c r="J793">
        <f>IF(AND(D793&lt;&gt;"dram",D793&lt;&gt;"control"),H793,0)</f>
        <v>0</v>
      </c>
      <c r="K793">
        <f>IF(D793="dram",H793,0)</f>
        <v>1060</v>
      </c>
      <c r="L793">
        <v>61440</v>
      </c>
      <c r="M793">
        <v>0</v>
      </c>
    </row>
    <row r="794" spans="1:13">
      <c r="A794">
        <v>792</v>
      </c>
      <c r="B794" t="s">
        <v>239</v>
      </c>
      <c r="C794" t="s">
        <v>82</v>
      </c>
      <c r="D794" t="s">
        <v>83</v>
      </c>
      <c r="E794" t="s">
        <v>119</v>
      </c>
      <c r="F794">
        <v>1280</v>
      </c>
      <c r="G794">
        <f>MAX(I791,I793)</f>
        <v>1154367</v>
      </c>
      <c r="H794">
        <f>CEILING((dram_access_latency+F794/dram_bandwidth)*frequency,1)</f>
        <v>120</v>
      </c>
      <c r="I794">
        <f>G794+H794</f>
        <v>1154487</v>
      </c>
      <c r="J794">
        <f>IF(AND(D794&lt;&gt;"dram",D794&lt;&gt;"control"),H794,0)</f>
        <v>0</v>
      </c>
      <c r="K794">
        <f>IF(D794="dram",H794,0)</f>
        <v>120</v>
      </c>
      <c r="L794">
        <v>1280</v>
      </c>
      <c r="M794">
        <v>0</v>
      </c>
    </row>
    <row r="795" spans="1:13">
      <c r="A795">
        <v>793</v>
      </c>
      <c r="B795" t="s">
        <v>240</v>
      </c>
      <c r="C795" t="s">
        <v>82</v>
      </c>
      <c r="D795" t="s">
        <v>83</v>
      </c>
      <c r="E795" t="s">
        <v>119</v>
      </c>
      <c r="F795">
        <v>384</v>
      </c>
      <c r="G795">
        <f>MAX(I791,I794)</f>
        <v>1154487</v>
      </c>
      <c r="H795">
        <f>CEILING((dram_access_latency+F795/dram_bandwidth)*frequency,1)</f>
        <v>106</v>
      </c>
      <c r="I795">
        <f>G795+H795</f>
        <v>1154593</v>
      </c>
      <c r="J795">
        <f>IF(AND(D795&lt;&gt;"dram",D795&lt;&gt;"control"),H795,0)</f>
        <v>0</v>
      </c>
      <c r="K795">
        <f>IF(D795="dram",H795,0)</f>
        <v>106</v>
      </c>
      <c r="L795">
        <v>384</v>
      </c>
      <c r="M795">
        <v>0</v>
      </c>
    </row>
    <row r="796" spans="1:13">
      <c r="A796">
        <v>794</v>
      </c>
      <c r="B796" t="s">
        <v>241</v>
      </c>
      <c r="C796" t="s">
        <v>82</v>
      </c>
      <c r="D796" t="s">
        <v>83</v>
      </c>
      <c r="E796" t="s">
        <v>119</v>
      </c>
      <c r="F796">
        <v>8</v>
      </c>
      <c r="G796">
        <f>MAX(I791,I795)</f>
        <v>1154593</v>
      </c>
      <c r="H796">
        <f>CEILING((dram_access_latency+F796/dram_bandwidth)*frequency,1)</f>
        <v>101</v>
      </c>
      <c r="I796">
        <f>G796+H796</f>
        <v>1154694</v>
      </c>
      <c r="J796">
        <f>IF(AND(D796&lt;&gt;"dram",D796&lt;&gt;"control"),H796,0)</f>
        <v>0</v>
      </c>
      <c r="K796">
        <f>IF(D796="dram",H796,0)</f>
        <v>101</v>
      </c>
      <c r="L796">
        <v>8</v>
      </c>
      <c r="M796">
        <v>0</v>
      </c>
    </row>
    <row r="797" spans="1:13">
      <c r="A797">
        <v>795</v>
      </c>
      <c r="B797" t="s">
        <v>37</v>
      </c>
      <c r="C797" t="s">
        <v>90</v>
      </c>
      <c r="D797" t="s">
        <v>108</v>
      </c>
      <c r="E797" t="s">
        <v>119</v>
      </c>
      <c r="F797">
        <v>0</v>
      </c>
      <c r="G797">
        <f>MAX(I790,I790,I724,I793,I794,I795,I796,I792)</f>
        <v>1154694</v>
      </c>
      <c r="H797">
        <f>'Operations'!I14</f>
        <v>1452</v>
      </c>
      <c r="I797">
        <f>G797+H797</f>
        <v>1156146</v>
      </c>
      <c r="J797">
        <f>IF(AND(D797&lt;&gt;"dram",D797&lt;&gt;"control"),H797,0)</f>
        <v>1452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242</v>
      </c>
      <c r="C798" t="s">
        <v>88</v>
      </c>
      <c r="D798" t="s">
        <v>89</v>
      </c>
      <c r="E798" t="s">
        <v>119</v>
      </c>
      <c r="F798">
        <v>0</v>
      </c>
      <c r="G798">
        <f>MAX(I791,I790)</f>
        <v>1153092</v>
      </c>
      <c r="H798">
        <f>0</f>
        <v>1527</v>
      </c>
      <c r="I798">
        <f>G798+H798</f>
        <v>1154619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243</v>
      </c>
      <c r="C799" t="s">
        <v>92</v>
      </c>
      <c r="D799" t="s">
        <v>83</v>
      </c>
      <c r="E799" t="s">
        <v>119</v>
      </c>
      <c r="F799">
        <v>2560</v>
      </c>
      <c r="G799">
        <f>MAX(I798,I796)</f>
        <v>1154694</v>
      </c>
      <c r="H799">
        <f>CEILING((dram_access_latency+F799/dram_bandwidth)*frequency,1)</f>
        <v>140</v>
      </c>
      <c r="I799">
        <f>G799+H799</f>
        <v>1154834</v>
      </c>
      <c r="J799">
        <f>IF(AND(D799&lt;&gt;"dram",D799&lt;&gt;"control"),H799,0)</f>
        <v>0</v>
      </c>
      <c r="K799">
        <f>IF(D799="dram",H799,0)</f>
        <v>140</v>
      </c>
      <c r="L799">
        <v>0</v>
      </c>
      <c r="M799">
        <v>2560</v>
      </c>
    </row>
    <row r="800" spans="1:13">
      <c r="A800">
        <v>798</v>
      </c>
      <c r="B800" t="s">
        <v>238</v>
      </c>
      <c r="C800" t="s">
        <v>82</v>
      </c>
      <c r="D800" t="s">
        <v>83</v>
      </c>
      <c r="E800" t="s">
        <v>120</v>
      </c>
      <c r="F800">
        <v>61440</v>
      </c>
      <c r="G800">
        <f>MAX(I798,I799)</f>
        <v>1154834</v>
      </c>
      <c r="H800">
        <f>CEILING((dram_access_latency+F800/dram_bandwidth)*frequency,1)</f>
        <v>1060</v>
      </c>
      <c r="I800">
        <f>G800+H800</f>
        <v>1155894</v>
      </c>
      <c r="J800">
        <f>IF(AND(D800&lt;&gt;"dram",D800&lt;&gt;"control"),H800,0)</f>
        <v>0</v>
      </c>
      <c r="K800">
        <f>IF(D800="dram",H800,0)</f>
        <v>1060</v>
      </c>
      <c r="L800">
        <v>61440</v>
      </c>
      <c r="M800">
        <v>0</v>
      </c>
    </row>
    <row r="801" spans="1:13">
      <c r="A801">
        <v>799</v>
      </c>
      <c r="B801" t="s">
        <v>239</v>
      </c>
      <c r="C801" t="s">
        <v>82</v>
      </c>
      <c r="D801" t="s">
        <v>83</v>
      </c>
      <c r="E801" t="s">
        <v>120</v>
      </c>
      <c r="F801">
        <v>1280</v>
      </c>
      <c r="G801">
        <f>MAX(I798,I800)</f>
        <v>1155894</v>
      </c>
      <c r="H801">
        <f>CEILING((dram_access_latency+F801/dram_bandwidth)*frequency,1)</f>
        <v>120</v>
      </c>
      <c r="I801">
        <f>G801+H801</f>
        <v>1156014</v>
      </c>
      <c r="J801">
        <f>IF(AND(D801&lt;&gt;"dram",D801&lt;&gt;"control"),H801,0)</f>
        <v>0</v>
      </c>
      <c r="K801">
        <f>IF(D801="dram",H801,0)</f>
        <v>120</v>
      </c>
      <c r="L801">
        <v>1280</v>
      </c>
      <c r="M801">
        <v>0</v>
      </c>
    </row>
    <row r="802" spans="1:13">
      <c r="A802">
        <v>800</v>
      </c>
      <c r="B802" t="s">
        <v>240</v>
      </c>
      <c r="C802" t="s">
        <v>82</v>
      </c>
      <c r="D802" t="s">
        <v>83</v>
      </c>
      <c r="E802" t="s">
        <v>120</v>
      </c>
      <c r="F802">
        <v>384</v>
      </c>
      <c r="G802">
        <f>MAX(I798,I801)</f>
        <v>1156014</v>
      </c>
      <c r="H802">
        <f>CEILING((dram_access_latency+F802/dram_bandwidth)*frequency,1)</f>
        <v>106</v>
      </c>
      <c r="I802">
        <f>G802+H802</f>
        <v>1156120</v>
      </c>
      <c r="J802">
        <f>IF(AND(D802&lt;&gt;"dram",D802&lt;&gt;"control"),H802,0)</f>
        <v>0</v>
      </c>
      <c r="K802">
        <f>IF(D802="dram",H802,0)</f>
        <v>106</v>
      </c>
      <c r="L802">
        <v>384</v>
      </c>
      <c r="M802">
        <v>0</v>
      </c>
    </row>
    <row r="803" spans="1:13">
      <c r="A803">
        <v>801</v>
      </c>
      <c r="B803" t="s">
        <v>241</v>
      </c>
      <c r="C803" t="s">
        <v>82</v>
      </c>
      <c r="D803" t="s">
        <v>83</v>
      </c>
      <c r="E803" t="s">
        <v>120</v>
      </c>
      <c r="F803">
        <v>8</v>
      </c>
      <c r="G803">
        <f>MAX(I798,I802)</f>
        <v>1156120</v>
      </c>
      <c r="H803">
        <f>CEILING((dram_access_latency+F803/dram_bandwidth)*frequency,1)</f>
        <v>101</v>
      </c>
      <c r="I803">
        <f>G803+H803</f>
        <v>1156221</v>
      </c>
      <c r="J803">
        <f>IF(AND(D803&lt;&gt;"dram",D803&lt;&gt;"control"),H803,0)</f>
        <v>0</v>
      </c>
      <c r="K803">
        <f>IF(D803="dram",H803,0)</f>
        <v>101</v>
      </c>
      <c r="L803">
        <v>8</v>
      </c>
      <c r="M803">
        <v>0</v>
      </c>
    </row>
    <row r="804" spans="1:13">
      <c r="A804">
        <v>802</v>
      </c>
      <c r="B804" t="s">
        <v>37</v>
      </c>
      <c r="C804" t="s">
        <v>90</v>
      </c>
      <c r="D804" t="s">
        <v>108</v>
      </c>
      <c r="E804" t="s">
        <v>120</v>
      </c>
      <c r="F804">
        <v>0</v>
      </c>
      <c r="G804">
        <f>MAX(I797,I797,I724,I800,I801,I802,I803,I799)</f>
        <v>1156221</v>
      </c>
      <c r="H804">
        <f>'Operations'!I14</f>
        <v>1452</v>
      </c>
      <c r="I804">
        <f>G804+H804</f>
        <v>1157673</v>
      </c>
      <c r="J804">
        <f>IF(AND(D804&lt;&gt;"dram",D804&lt;&gt;"control"),H804,0)</f>
        <v>1452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242</v>
      </c>
      <c r="C805" t="s">
        <v>88</v>
      </c>
      <c r="D805" t="s">
        <v>89</v>
      </c>
      <c r="E805" t="s">
        <v>120</v>
      </c>
      <c r="F805">
        <v>0</v>
      </c>
      <c r="G805">
        <f>MAX(I798,I797)</f>
        <v>1154619</v>
      </c>
      <c r="H805">
        <f>0</f>
        <v>1527</v>
      </c>
      <c r="I805">
        <f>G805+H805</f>
        <v>1156146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243</v>
      </c>
      <c r="C806" t="s">
        <v>92</v>
      </c>
      <c r="D806" t="s">
        <v>83</v>
      </c>
      <c r="E806" t="s">
        <v>120</v>
      </c>
      <c r="F806">
        <v>2560</v>
      </c>
      <c r="G806">
        <f>MAX(I805,I803)</f>
        <v>1156221</v>
      </c>
      <c r="H806">
        <f>CEILING((dram_access_latency+F806/dram_bandwidth)*frequency,1)</f>
        <v>140</v>
      </c>
      <c r="I806">
        <f>G806+H806</f>
        <v>1156361</v>
      </c>
      <c r="J806">
        <f>IF(AND(D806&lt;&gt;"dram",D806&lt;&gt;"control"),H806,0)</f>
        <v>0</v>
      </c>
      <c r="K806">
        <f>IF(D806="dram",H806,0)</f>
        <v>140</v>
      </c>
      <c r="L806">
        <v>0</v>
      </c>
      <c r="M806">
        <v>2560</v>
      </c>
    </row>
    <row r="807" spans="1:13">
      <c r="A807">
        <v>805</v>
      </c>
      <c r="B807" t="s">
        <v>238</v>
      </c>
      <c r="C807" t="s">
        <v>82</v>
      </c>
      <c r="D807" t="s">
        <v>83</v>
      </c>
      <c r="E807" t="s">
        <v>121</v>
      </c>
      <c r="F807">
        <v>61440</v>
      </c>
      <c r="G807">
        <f>MAX(I805,I806)</f>
        <v>1156361</v>
      </c>
      <c r="H807">
        <f>CEILING((dram_access_latency+F807/dram_bandwidth)*frequency,1)</f>
        <v>1060</v>
      </c>
      <c r="I807">
        <f>G807+H807</f>
        <v>1157421</v>
      </c>
      <c r="J807">
        <f>IF(AND(D807&lt;&gt;"dram",D807&lt;&gt;"control"),H807,0)</f>
        <v>0</v>
      </c>
      <c r="K807">
        <f>IF(D807="dram",H807,0)</f>
        <v>1060</v>
      </c>
      <c r="L807">
        <v>61440</v>
      </c>
      <c r="M807">
        <v>0</v>
      </c>
    </row>
    <row r="808" spans="1:13">
      <c r="A808">
        <v>806</v>
      </c>
      <c r="B808" t="s">
        <v>239</v>
      </c>
      <c r="C808" t="s">
        <v>82</v>
      </c>
      <c r="D808" t="s">
        <v>83</v>
      </c>
      <c r="E808" t="s">
        <v>121</v>
      </c>
      <c r="F808">
        <v>1280</v>
      </c>
      <c r="G808">
        <f>MAX(I805,I807)</f>
        <v>1157421</v>
      </c>
      <c r="H808">
        <f>CEILING((dram_access_latency+F808/dram_bandwidth)*frequency,1)</f>
        <v>120</v>
      </c>
      <c r="I808">
        <f>G808+H808</f>
        <v>1157541</v>
      </c>
      <c r="J808">
        <f>IF(AND(D808&lt;&gt;"dram",D808&lt;&gt;"control"),H808,0)</f>
        <v>0</v>
      </c>
      <c r="K808">
        <f>IF(D808="dram",H808,0)</f>
        <v>120</v>
      </c>
      <c r="L808">
        <v>1280</v>
      </c>
      <c r="M808">
        <v>0</v>
      </c>
    </row>
    <row r="809" spans="1:13">
      <c r="A809">
        <v>807</v>
      </c>
      <c r="B809" t="s">
        <v>240</v>
      </c>
      <c r="C809" t="s">
        <v>82</v>
      </c>
      <c r="D809" t="s">
        <v>83</v>
      </c>
      <c r="E809" t="s">
        <v>121</v>
      </c>
      <c r="F809">
        <v>384</v>
      </c>
      <c r="G809">
        <f>MAX(I805,I808)</f>
        <v>1157541</v>
      </c>
      <c r="H809">
        <f>CEILING((dram_access_latency+F809/dram_bandwidth)*frequency,1)</f>
        <v>106</v>
      </c>
      <c r="I809">
        <f>G809+H809</f>
        <v>1157647</v>
      </c>
      <c r="J809">
        <f>IF(AND(D809&lt;&gt;"dram",D809&lt;&gt;"control"),H809,0)</f>
        <v>0</v>
      </c>
      <c r="K809">
        <f>IF(D809="dram",H809,0)</f>
        <v>106</v>
      </c>
      <c r="L809">
        <v>384</v>
      </c>
      <c r="M809">
        <v>0</v>
      </c>
    </row>
    <row r="810" spans="1:13">
      <c r="A810">
        <v>808</v>
      </c>
      <c r="B810" t="s">
        <v>241</v>
      </c>
      <c r="C810" t="s">
        <v>82</v>
      </c>
      <c r="D810" t="s">
        <v>83</v>
      </c>
      <c r="E810" t="s">
        <v>121</v>
      </c>
      <c r="F810">
        <v>8</v>
      </c>
      <c r="G810">
        <f>MAX(I805,I809)</f>
        <v>1157647</v>
      </c>
      <c r="H810">
        <f>CEILING((dram_access_latency+F810/dram_bandwidth)*frequency,1)</f>
        <v>101</v>
      </c>
      <c r="I810">
        <f>G810+H810</f>
        <v>1157748</v>
      </c>
      <c r="J810">
        <f>IF(AND(D810&lt;&gt;"dram",D810&lt;&gt;"control"),H810,0)</f>
        <v>0</v>
      </c>
      <c r="K810">
        <f>IF(D810="dram",H810,0)</f>
        <v>101</v>
      </c>
      <c r="L810">
        <v>8</v>
      </c>
      <c r="M810">
        <v>0</v>
      </c>
    </row>
    <row r="811" spans="1:13">
      <c r="A811">
        <v>809</v>
      </c>
      <c r="B811" t="s">
        <v>37</v>
      </c>
      <c r="C811" t="s">
        <v>90</v>
      </c>
      <c r="D811" t="s">
        <v>108</v>
      </c>
      <c r="E811" t="s">
        <v>121</v>
      </c>
      <c r="F811">
        <v>0</v>
      </c>
      <c r="G811">
        <f>MAX(I804,I804,I724,I807,I808,I809,I810,I806)</f>
        <v>1157748</v>
      </c>
      <c r="H811">
        <f>'Operations'!I14</f>
        <v>1452</v>
      </c>
      <c r="I811">
        <f>G811+H811</f>
        <v>1159200</v>
      </c>
      <c r="J811">
        <f>IF(AND(D811&lt;&gt;"dram",D811&lt;&gt;"control"),H811,0)</f>
        <v>1452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242</v>
      </c>
      <c r="C812" t="s">
        <v>88</v>
      </c>
      <c r="D812" t="s">
        <v>89</v>
      </c>
      <c r="E812" t="s">
        <v>121</v>
      </c>
      <c r="F812">
        <v>0</v>
      </c>
      <c r="G812">
        <f>MAX(I805,I804)</f>
        <v>1156146</v>
      </c>
      <c r="H812">
        <f>0</f>
        <v>1527</v>
      </c>
      <c r="I812">
        <f>G812+H812</f>
        <v>1157673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243</v>
      </c>
      <c r="C813" t="s">
        <v>92</v>
      </c>
      <c r="D813" t="s">
        <v>83</v>
      </c>
      <c r="E813" t="s">
        <v>121</v>
      </c>
      <c r="F813">
        <v>2560</v>
      </c>
      <c r="G813">
        <f>MAX(I812,I810)</f>
        <v>1157748</v>
      </c>
      <c r="H813">
        <f>CEILING((dram_access_latency+F813/dram_bandwidth)*frequency,1)</f>
        <v>140</v>
      </c>
      <c r="I813">
        <f>G813+H813</f>
        <v>1157888</v>
      </c>
      <c r="J813">
        <f>IF(AND(D813&lt;&gt;"dram",D813&lt;&gt;"control"),H813,0)</f>
        <v>0</v>
      </c>
      <c r="K813">
        <f>IF(D813="dram",H813,0)</f>
        <v>140</v>
      </c>
      <c r="L813">
        <v>0</v>
      </c>
      <c r="M813">
        <v>2560</v>
      </c>
    </row>
    <row r="814" spans="1:13">
      <c r="A814">
        <v>812</v>
      </c>
      <c r="B814" t="s">
        <v>238</v>
      </c>
      <c r="C814" t="s">
        <v>82</v>
      </c>
      <c r="D814" t="s">
        <v>83</v>
      </c>
      <c r="E814" t="s">
        <v>122</v>
      </c>
      <c r="F814">
        <v>61440</v>
      </c>
      <c r="G814">
        <f>MAX(I812,I813)</f>
        <v>1157888</v>
      </c>
      <c r="H814">
        <f>CEILING((dram_access_latency+F814/dram_bandwidth)*frequency,1)</f>
        <v>1060</v>
      </c>
      <c r="I814">
        <f>G814+H814</f>
        <v>1158948</v>
      </c>
      <c r="J814">
        <f>IF(AND(D814&lt;&gt;"dram",D814&lt;&gt;"control"),H814,0)</f>
        <v>0</v>
      </c>
      <c r="K814">
        <f>IF(D814="dram",H814,0)</f>
        <v>1060</v>
      </c>
      <c r="L814">
        <v>61440</v>
      </c>
      <c r="M814">
        <v>0</v>
      </c>
    </row>
    <row r="815" spans="1:13">
      <c r="A815">
        <v>813</v>
      </c>
      <c r="B815" t="s">
        <v>239</v>
      </c>
      <c r="C815" t="s">
        <v>82</v>
      </c>
      <c r="D815" t="s">
        <v>83</v>
      </c>
      <c r="E815" t="s">
        <v>122</v>
      </c>
      <c r="F815">
        <v>1280</v>
      </c>
      <c r="G815">
        <f>MAX(I812,I814)</f>
        <v>1158948</v>
      </c>
      <c r="H815">
        <f>CEILING((dram_access_latency+F815/dram_bandwidth)*frequency,1)</f>
        <v>120</v>
      </c>
      <c r="I815">
        <f>G815+H815</f>
        <v>1159068</v>
      </c>
      <c r="J815">
        <f>IF(AND(D815&lt;&gt;"dram",D815&lt;&gt;"control"),H815,0)</f>
        <v>0</v>
      </c>
      <c r="K815">
        <f>IF(D815="dram",H815,0)</f>
        <v>120</v>
      </c>
      <c r="L815">
        <v>1280</v>
      </c>
      <c r="M815">
        <v>0</v>
      </c>
    </row>
    <row r="816" spans="1:13">
      <c r="A816">
        <v>814</v>
      </c>
      <c r="B816" t="s">
        <v>240</v>
      </c>
      <c r="C816" t="s">
        <v>82</v>
      </c>
      <c r="D816" t="s">
        <v>83</v>
      </c>
      <c r="E816" t="s">
        <v>122</v>
      </c>
      <c r="F816">
        <v>384</v>
      </c>
      <c r="G816">
        <f>MAX(I812,I815)</f>
        <v>1159068</v>
      </c>
      <c r="H816">
        <f>CEILING((dram_access_latency+F816/dram_bandwidth)*frequency,1)</f>
        <v>106</v>
      </c>
      <c r="I816">
        <f>G816+H816</f>
        <v>1159174</v>
      </c>
      <c r="J816">
        <f>IF(AND(D816&lt;&gt;"dram",D816&lt;&gt;"control"),H816,0)</f>
        <v>0</v>
      </c>
      <c r="K816">
        <f>IF(D816="dram",H816,0)</f>
        <v>106</v>
      </c>
      <c r="L816">
        <v>384</v>
      </c>
      <c r="M816">
        <v>0</v>
      </c>
    </row>
    <row r="817" spans="1:13">
      <c r="A817">
        <v>815</v>
      </c>
      <c r="B817" t="s">
        <v>241</v>
      </c>
      <c r="C817" t="s">
        <v>82</v>
      </c>
      <c r="D817" t="s">
        <v>83</v>
      </c>
      <c r="E817" t="s">
        <v>122</v>
      </c>
      <c r="F817">
        <v>8</v>
      </c>
      <c r="G817">
        <f>MAX(I812,I816)</f>
        <v>1159174</v>
      </c>
      <c r="H817">
        <f>CEILING((dram_access_latency+F817/dram_bandwidth)*frequency,1)</f>
        <v>101</v>
      </c>
      <c r="I817">
        <f>G817+H817</f>
        <v>1159275</v>
      </c>
      <c r="J817">
        <f>IF(AND(D817&lt;&gt;"dram",D817&lt;&gt;"control"),H817,0)</f>
        <v>0</v>
      </c>
      <c r="K817">
        <f>IF(D817="dram",H817,0)</f>
        <v>101</v>
      </c>
      <c r="L817">
        <v>8</v>
      </c>
      <c r="M817">
        <v>0</v>
      </c>
    </row>
    <row r="818" spans="1:13">
      <c r="A818">
        <v>816</v>
      </c>
      <c r="B818" t="s">
        <v>37</v>
      </c>
      <c r="C818" t="s">
        <v>90</v>
      </c>
      <c r="D818" t="s">
        <v>108</v>
      </c>
      <c r="E818" t="s">
        <v>122</v>
      </c>
      <c r="F818">
        <v>0</v>
      </c>
      <c r="G818">
        <f>MAX(I811,I811,I724,I814,I815,I816,I817,I813)</f>
        <v>1159275</v>
      </c>
      <c r="H818">
        <f>'Operations'!I14</f>
        <v>1452</v>
      </c>
      <c r="I818">
        <f>G818+H818</f>
        <v>1160727</v>
      </c>
      <c r="J818">
        <f>IF(AND(D818&lt;&gt;"dram",D818&lt;&gt;"control"),H818,0)</f>
        <v>1452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242</v>
      </c>
      <c r="C819" t="s">
        <v>88</v>
      </c>
      <c r="D819" t="s">
        <v>89</v>
      </c>
      <c r="E819" t="s">
        <v>122</v>
      </c>
      <c r="F819">
        <v>0</v>
      </c>
      <c r="G819">
        <f>MAX(I812,I811)</f>
        <v>1157673</v>
      </c>
      <c r="H819">
        <f>0</f>
        <v>1527</v>
      </c>
      <c r="I819">
        <f>G819+H819</f>
        <v>1159200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243</v>
      </c>
      <c r="C820" t="s">
        <v>92</v>
      </c>
      <c r="D820" t="s">
        <v>83</v>
      </c>
      <c r="E820" t="s">
        <v>122</v>
      </c>
      <c r="F820">
        <v>2560</v>
      </c>
      <c r="G820">
        <f>MAX(I819,I817)</f>
        <v>1159275</v>
      </c>
      <c r="H820">
        <f>CEILING((dram_access_latency+F820/dram_bandwidth)*frequency,1)</f>
        <v>140</v>
      </c>
      <c r="I820">
        <f>G820+H820</f>
        <v>1159415</v>
      </c>
      <c r="J820">
        <f>IF(AND(D820&lt;&gt;"dram",D820&lt;&gt;"control"),H820,0)</f>
        <v>0</v>
      </c>
      <c r="K820">
        <f>IF(D820="dram",H820,0)</f>
        <v>140</v>
      </c>
      <c r="L820">
        <v>0</v>
      </c>
      <c r="M820">
        <v>2560</v>
      </c>
    </row>
    <row r="821" spans="1:13">
      <c r="A821">
        <v>819</v>
      </c>
      <c r="B821" t="s">
        <v>238</v>
      </c>
      <c r="C821" t="s">
        <v>82</v>
      </c>
      <c r="D821" t="s">
        <v>83</v>
      </c>
      <c r="E821" t="s">
        <v>123</v>
      </c>
      <c r="F821">
        <v>61440</v>
      </c>
      <c r="G821">
        <f>MAX(I819,I820)</f>
        <v>1159415</v>
      </c>
      <c r="H821">
        <f>CEILING((dram_access_latency+F821/dram_bandwidth)*frequency,1)</f>
        <v>1060</v>
      </c>
      <c r="I821">
        <f>G821+H821</f>
        <v>1160475</v>
      </c>
      <c r="J821">
        <f>IF(AND(D821&lt;&gt;"dram",D821&lt;&gt;"control"),H821,0)</f>
        <v>0</v>
      </c>
      <c r="K821">
        <f>IF(D821="dram",H821,0)</f>
        <v>1060</v>
      </c>
      <c r="L821">
        <v>61440</v>
      </c>
      <c r="M821">
        <v>0</v>
      </c>
    </row>
    <row r="822" spans="1:13">
      <c r="A822">
        <v>820</v>
      </c>
      <c r="B822" t="s">
        <v>239</v>
      </c>
      <c r="C822" t="s">
        <v>82</v>
      </c>
      <c r="D822" t="s">
        <v>83</v>
      </c>
      <c r="E822" t="s">
        <v>123</v>
      </c>
      <c r="F822">
        <v>1280</v>
      </c>
      <c r="G822">
        <f>MAX(I819,I821)</f>
        <v>1160475</v>
      </c>
      <c r="H822">
        <f>CEILING((dram_access_latency+F822/dram_bandwidth)*frequency,1)</f>
        <v>120</v>
      </c>
      <c r="I822">
        <f>G822+H822</f>
        <v>1160595</v>
      </c>
      <c r="J822">
        <f>IF(AND(D822&lt;&gt;"dram",D822&lt;&gt;"control"),H822,0)</f>
        <v>0</v>
      </c>
      <c r="K822">
        <f>IF(D822="dram",H822,0)</f>
        <v>120</v>
      </c>
      <c r="L822">
        <v>1280</v>
      </c>
      <c r="M822">
        <v>0</v>
      </c>
    </row>
    <row r="823" spans="1:13">
      <c r="A823">
        <v>821</v>
      </c>
      <c r="B823" t="s">
        <v>240</v>
      </c>
      <c r="C823" t="s">
        <v>82</v>
      </c>
      <c r="D823" t="s">
        <v>83</v>
      </c>
      <c r="E823" t="s">
        <v>123</v>
      </c>
      <c r="F823">
        <v>384</v>
      </c>
      <c r="G823">
        <f>MAX(I819,I822)</f>
        <v>1160595</v>
      </c>
      <c r="H823">
        <f>CEILING((dram_access_latency+F823/dram_bandwidth)*frequency,1)</f>
        <v>106</v>
      </c>
      <c r="I823">
        <f>G823+H823</f>
        <v>1160701</v>
      </c>
      <c r="J823">
        <f>IF(AND(D823&lt;&gt;"dram",D823&lt;&gt;"control"),H823,0)</f>
        <v>0</v>
      </c>
      <c r="K823">
        <f>IF(D823="dram",H823,0)</f>
        <v>106</v>
      </c>
      <c r="L823">
        <v>384</v>
      </c>
      <c r="M823">
        <v>0</v>
      </c>
    </row>
    <row r="824" spans="1:13">
      <c r="A824">
        <v>822</v>
      </c>
      <c r="B824" t="s">
        <v>241</v>
      </c>
      <c r="C824" t="s">
        <v>82</v>
      </c>
      <c r="D824" t="s">
        <v>83</v>
      </c>
      <c r="E824" t="s">
        <v>123</v>
      </c>
      <c r="F824">
        <v>8</v>
      </c>
      <c r="G824">
        <f>MAX(I819,I823)</f>
        <v>1160701</v>
      </c>
      <c r="H824">
        <f>CEILING((dram_access_latency+F824/dram_bandwidth)*frequency,1)</f>
        <v>101</v>
      </c>
      <c r="I824">
        <f>G824+H824</f>
        <v>1160802</v>
      </c>
      <c r="J824">
        <f>IF(AND(D824&lt;&gt;"dram",D824&lt;&gt;"control"),H824,0)</f>
        <v>0</v>
      </c>
      <c r="K824">
        <f>IF(D824="dram",H824,0)</f>
        <v>101</v>
      </c>
      <c r="L824">
        <v>8</v>
      </c>
      <c r="M824">
        <v>0</v>
      </c>
    </row>
    <row r="825" spans="1:13">
      <c r="A825">
        <v>823</v>
      </c>
      <c r="B825" t="s">
        <v>37</v>
      </c>
      <c r="C825" t="s">
        <v>90</v>
      </c>
      <c r="D825" t="s">
        <v>108</v>
      </c>
      <c r="E825" t="s">
        <v>123</v>
      </c>
      <c r="F825">
        <v>0</v>
      </c>
      <c r="G825">
        <f>MAX(I818,I818,I724,I821,I822,I823,I824,I820)</f>
        <v>1160802</v>
      </c>
      <c r="H825">
        <f>'Operations'!I14</f>
        <v>1452</v>
      </c>
      <c r="I825">
        <f>G825+H825</f>
        <v>1162254</v>
      </c>
      <c r="J825">
        <f>IF(AND(D825&lt;&gt;"dram",D825&lt;&gt;"control"),H825,0)</f>
        <v>1452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242</v>
      </c>
      <c r="C826" t="s">
        <v>88</v>
      </c>
      <c r="D826" t="s">
        <v>89</v>
      </c>
      <c r="E826" t="s">
        <v>123</v>
      </c>
      <c r="F826">
        <v>0</v>
      </c>
      <c r="G826">
        <f>MAX(I819,I818)</f>
        <v>1159200</v>
      </c>
      <c r="H826">
        <f>0</f>
        <v>1527</v>
      </c>
      <c r="I826">
        <f>G826+H826</f>
        <v>1160727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243</v>
      </c>
      <c r="C827" t="s">
        <v>92</v>
      </c>
      <c r="D827" t="s">
        <v>83</v>
      </c>
      <c r="E827" t="s">
        <v>123</v>
      </c>
      <c r="F827">
        <v>2560</v>
      </c>
      <c r="G827">
        <f>MAX(I826,I824)</f>
        <v>1160802</v>
      </c>
      <c r="H827">
        <f>CEILING((dram_access_latency+F827/dram_bandwidth)*frequency,1)</f>
        <v>140</v>
      </c>
      <c r="I827">
        <f>G827+H827</f>
        <v>1160942</v>
      </c>
      <c r="J827">
        <f>IF(AND(D827&lt;&gt;"dram",D827&lt;&gt;"control"),H827,0)</f>
        <v>0</v>
      </c>
      <c r="K827">
        <f>IF(D827="dram",H827,0)</f>
        <v>140</v>
      </c>
      <c r="L827">
        <v>0</v>
      </c>
      <c r="M827">
        <v>2560</v>
      </c>
    </row>
    <row r="828" spans="1:13">
      <c r="A828">
        <v>826</v>
      </c>
      <c r="B828" t="s">
        <v>238</v>
      </c>
      <c r="C828" t="s">
        <v>82</v>
      </c>
      <c r="D828" t="s">
        <v>83</v>
      </c>
      <c r="E828" t="s">
        <v>124</v>
      </c>
      <c r="F828">
        <v>61440</v>
      </c>
      <c r="G828">
        <f>MAX(I826,I827)</f>
        <v>1160942</v>
      </c>
      <c r="H828">
        <f>CEILING((dram_access_latency+F828/dram_bandwidth)*frequency,1)</f>
        <v>1060</v>
      </c>
      <c r="I828">
        <f>G828+H828</f>
        <v>1162002</v>
      </c>
      <c r="J828">
        <f>IF(AND(D828&lt;&gt;"dram",D828&lt;&gt;"control"),H828,0)</f>
        <v>0</v>
      </c>
      <c r="K828">
        <f>IF(D828="dram",H828,0)</f>
        <v>1060</v>
      </c>
      <c r="L828">
        <v>61440</v>
      </c>
      <c r="M828">
        <v>0</v>
      </c>
    </row>
    <row r="829" spans="1:13">
      <c r="A829">
        <v>827</v>
      </c>
      <c r="B829" t="s">
        <v>239</v>
      </c>
      <c r="C829" t="s">
        <v>82</v>
      </c>
      <c r="D829" t="s">
        <v>83</v>
      </c>
      <c r="E829" t="s">
        <v>124</v>
      </c>
      <c r="F829">
        <v>1280</v>
      </c>
      <c r="G829">
        <f>MAX(I826,I828)</f>
        <v>1162002</v>
      </c>
      <c r="H829">
        <f>CEILING((dram_access_latency+F829/dram_bandwidth)*frequency,1)</f>
        <v>120</v>
      </c>
      <c r="I829">
        <f>G829+H829</f>
        <v>1162122</v>
      </c>
      <c r="J829">
        <f>IF(AND(D829&lt;&gt;"dram",D829&lt;&gt;"control"),H829,0)</f>
        <v>0</v>
      </c>
      <c r="K829">
        <f>IF(D829="dram",H829,0)</f>
        <v>120</v>
      </c>
      <c r="L829">
        <v>1280</v>
      </c>
      <c r="M829">
        <v>0</v>
      </c>
    </row>
    <row r="830" spans="1:13">
      <c r="A830">
        <v>828</v>
      </c>
      <c r="B830" t="s">
        <v>240</v>
      </c>
      <c r="C830" t="s">
        <v>82</v>
      </c>
      <c r="D830" t="s">
        <v>83</v>
      </c>
      <c r="E830" t="s">
        <v>124</v>
      </c>
      <c r="F830">
        <v>384</v>
      </c>
      <c r="G830">
        <f>MAX(I826,I829)</f>
        <v>1162122</v>
      </c>
      <c r="H830">
        <f>CEILING((dram_access_latency+F830/dram_bandwidth)*frequency,1)</f>
        <v>106</v>
      </c>
      <c r="I830">
        <f>G830+H830</f>
        <v>1162228</v>
      </c>
      <c r="J830">
        <f>IF(AND(D830&lt;&gt;"dram",D830&lt;&gt;"control"),H830,0)</f>
        <v>0</v>
      </c>
      <c r="K830">
        <f>IF(D830="dram",H830,0)</f>
        <v>106</v>
      </c>
      <c r="L830">
        <v>384</v>
      </c>
      <c r="M830">
        <v>0</v>
      </c>
    </row>
    <row r="831" spans="1:13">
      <c r="A831">
        <v>829</v>
      </c>
      <c r="B831" t="s">
        <v>241</v>
      </c>
      <c r="C831" t="s">
        <v>82</v>
      </c>
      <c r="D831" t="s">
        <v>83</v>
      </c>
      <c r="E831" t="s">
        <v>124</v>
      </c>
      <c r="F831">
        <v>8</v>
      </c>
      <c r="G831">
        <f>MAX(I826,I830)</f>
        <v>1162228</v>
      </c>
      <c r="H831">
        <f>CEILING((dram_access_latency+F831/dram_bandwidth)*frequency,1)</f>
        <v>101</v>
      </c>
      <c r="I831">
        <f>G831+H831</f>
        <v>1162329</v>
      </c>
      <c r="J831">
        <f>IF(AND(D831&lt;&gt;"dram",D831&lt;&gt;"control"),H831,0)</f>
        <v>0</v>
      </c>
      <c r="K831">
        <f>IF(D831="dram",H831,0)</f>
        <v>101</v>
      </c>
      <c r="L831">
        <v>8</v>
      </c>
      <c r="M831">
        <v>0</v>
      </c>
    </row>
    <row r="832" spans="1:13">
      <c r="A832">
        <v>830</v>
      </c>
      <c r="B832" t="s">
        <v>37</v>
      </c>
      <c r="C832" t="s">
        <v>90</v>
      </c>
      <c r="D832" t="s">
        <v>108</v>
      </c>
      <c r="E832" t="s">
        <v>124</v>
      </c>
      <c r="F832">
        <v>0</v>
      </c>
      <c r="G832">
        <f>MAX(I825,I825,I724,I828,I829,I830,I831,I827)</f>
        <v>1162329</v>
      </c>
      <c r="H832">
        <f>'Operations'!I14</f>
        <v>1452</v>
      </c>
      <c r="I832">
        <f>G832+H832</f>
        <v>1163781</v>
      </c>
      <c r="J832">
        <f>IF(AND(D832&lt;&gt;"dram",D832&lt;&gt;"control"),H832,0)</f>
        <v>1452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242</v>
      </c>
      <c r="C833" t="s">
        <v>88</v>
      </c>
      <c r="D833" t="s">
        <v>89</v>
      </c>
      <c r="E833" t="s">
        <v>124</v>
      </c>
      <c r="F833">
        <v>0</v>
      </c>
      <c r="G833">
        <f>MAX(I826,I825)</f>
        <v>1160727</v>
      </c>
      <c r="H833">
        <f>0</f>
        <v>1527</v>
      </c>
      <c r="I833">
        <f>G833+H833</f>
        <v>1162254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243</v>
      </c>
      <c r="C834" t="s">
        <v>92</v>
      </c>
      <c r="D834" t="s">
        <v>83</v>
      </c>
      <c r="E834" t="s">
        <v>124</v>
      </c>
      <c r="F834">
        <v>2560</v>
      </c>
      <c r="G834">
        <f>MAX(I833,I831)</f>
        <v>1162329</v>
      </c>
      <c r="H834">
        <f>CEILING((dram_access_latency+F834/dram_bandwidth)*frequency,1)</f>
        <v>140</v>
      </c>
      <c r="I834">
        <f>G834+H834</f>
        <v>1162469</v>
      </c>
      <c r="J834">
        <f>IF(AND(D834&lt;&gt;"dram",D834&lt;&gt;"control"),H834,0)</f>
        <v>0</v>
      </c>
      <c r="K834">
        <f>IF(D834="dram",H834,0)</f>
        <v>140</v>
      </c>
      <c r="L834">
        <v>0</v>
      </c>
      <c r="M834">
        <v>2560</v>
      </c>
    </row>
    <row r="835" spans="1:13">
      <c r="A835">
        <v>833</v>
      </c>
      <c r="B835" t="s">
        <v>238</v>
      </c>
      <c r="C835" t="s">
        <v>82</v>
      </c>
      <c r="D835" t="s">
        <v>83</v>
      </c>
      <c r="E835" t="s">
        <v>125</v>
      </c>
      <c r="F835">
        <v>61440</v>
      </c>
      <c r="G835">
        <f>MAX(I833,I834)</f>
        <v>1162469</v>
      </c>
      <c r="H835">
        <f>CEILING((dram_access_latency+F835/dram_bandwidth)*frequency,1)</f>
        <v>1060</v>
      </c>
      <c r="I835">
        <f>G835+H835</f>
        <v>1163529</v>
      </c>
      <c r="J835">
        <f>IF(AND(D835&lt;&gt;"dram",D835&lt;&gt;"control"),H835,0)</f>
        <v>0</v>
      </c>
      <c r="K835">
        <f>IF(D835="dram",H835,0)</f>
        <v>1060</v>
      </c>
      <c r="L835">
        <v>61440</v>
      </c>
      <c r="M835">
        <v>0</v>
      </c>
    </row>
    <row r="836" spans="1:13">
      <c r="A836">
        <v>834</v>
      </c>
      <c r="B836" t="s">
        <v>239</v>
      </c>
      <c r="C836" t="s">
        <v>82</v>
      </c>
      <c r="D836" t="s">
        <v>83</v>
      </c>
      <c r="E836" t="s">
        <v>125</v>
      </c>
      <c r="F836">
        <v>1280</v>
      </c>
      <c r="G836">
        <f>MAX(I833,I835)</f>
        <v>1163529</v>
      </c>
      <c r="H836">
        <f>CEILING((dram_access_latency+F836/dram_bandwidth)*frequency,1)</f>
        <v>120</v>
      </c>
      <c r="I836">
        <f>G836+H836</f>
        <v>1163649</v>
      </c>
      <c r="J836">
        <f>IF(AND(D836&lt;&gt;"dram",D836&lt;&gt;"control"),H836,0)</f>
        <v>0</v>
      </c>
      <c r="K836">
        <f>IF(D836="dram",H836,0)</f>
        <v>120</v>
      </c>
      <c r="L836">
        <v>1280</v>
      </c>
      <c r="M836">
        <v>0</v>
      </c>
    </row>
    <row r="837" spans="1:13">
      <c r="A837">
        <v>835</v>
      </c>
      <c r="B837" t="s">
        <v>240</v>
      </c>
      <c r="C837" t="s">
        <v>82</v>
      </c>
      <c r="D837" t="s">
        <v>83</v>
      </c>
      <c r="E837" t="s">
        <v>125</v>
      </c>
      <c r="F837">
        <v>384</v>
      </c>
      <c r="G837">
        <f>MAX(I833,I836)</f>
        <v>1163649</v>
      </c>
      <c r="H837">
        <f>CEILING((dram_access_latency+F837/dram_bandwidth)*frequency,1)</f>
        <v>106</v>
      </c>
      <c r="I837">
        <f>G837+H837</f>
        <v>1163755</v>
      </c>
      <c r="J837">
        <f>IF(AND(D837&lt;&gt;"dram",D837&lt;&gt;"control"),H837,0)</f>
        <v>0</v>
      </c>
      <c r="K837">
        <f>IF(D837="dram",H837,0)</f>
        <v>106</v>
      </c>
      <c r="L837">
        <v>384</v>
      </c>
      <c r="M837">
        <v>0</v>
      </c>
    </row>
    <row r="838" spans="1:13">
      <c r="A838">
        <v>836</v>
      </c>
      <c r="B838" t="s">
        <v>241</v>
      </c>
      <c r="C838" t="s">
        <v>82</v>
      </c>
      <c r="D838" t="s">
        <v>83</v>
      </c>
      <c r="E838" t="s">
        <v>125</v>
      </c>
      <c r="F838">
        <v>8</v>
      </c>
      <c r="G838">
        <f>MAX(I833,I837)</f>
        <v>1163755</v>
      </c>
      <c r="H838">
        <f>CEILING((dram_access_latency+F838/dram_bandwidth)*frequency,1)</f>
        <v>101</v>
      </c>
      <c r="I838">
        <f>G838+H838</f>
        <v>1163856</v>
      </c>
      <c r="J838">
        <f>IF(AND(D838&lt;&gt;"dram",D838&lt;&gt;"control"),H838,0)</f>
        <v>0</v>
      </c>
      <c r="K838">
        <f>IF(D838="dram",H838,0)</f>
        <v>101</v>
      </c>
      <c r="L838">
        <v>8</v>
      </c>
      <c r="M838">
        <v>0</v>
      </c>
    </row>
    <row r="839" spans="1:13">
      <c r="A839">
        <v>837</v>
      </c>
      <c r="B839" t="s">
        <v>37</v>
      </c>
      <c r="C839" t="s">
        <v>90</v>
      </c>
      <c r="D839" t="s">
        <v>108</v>
      </c>
      <c r="E839" t="s">
        <v>125</v>
      </c>
      <c r="F839">
        <v>0</v>
      </c>
      <c r="G839">
        <f>MAX(I832,I832,I724,I835,I836,I837,I838,I834)</f>
        <v>1163856</v>
      </c>
      <c r="H839">
        <f>'Operations'!I14</f>
        <v>1452</v>
      </c>
      <c r="I839">
        <f>G839+H839</f>
        <v>1165308</v>
      </c>
      <c r="J839">
        <f>IF(AND(D839&lt;&gt;"dram",D839&lt;&gt;"control"),H839,0)</f>
        <v>1452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242</v>
      </c>
      <c r="C840" t="s">
        <v>88</v>
      </c>
      <c r="D840" t="s">
        <v>89</v>
      </c>
      <c r="E840" t="s">
        <v>125</v>
      </c>
      <c r="F840">
        <v>0</v>
      </c>
      <c r="G840">
        <f>MAX(I833,I832)</f>
        <v>1162254</v>
      </c>
      <c r="H840">
        <f>0</f>
        <v>1527</v>
      </c>
      <c r="I840">
        <f>G840+H840</f>
        <v>1163781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243</v>
      </c>
      <c r="C841" t="s">
        <v>92</v>
      </c>
      <c r="D841" t="s">
        <v>83</v>
      </c>
      <c r="E841" t="s">
        <v>125</v>
      </c>
      <c r="F841">
        <v>2560</v>
      </c>
      <c r="G841">
        <f>MAX(I840,I838)</f>
        <v>1163856</v>
      </c>
      <c r="H841">
        <f>CEILING((dram_access_latency+F841/dram_bandwidth)*frequency,1)</f>
        <v>140</v>
      </c>
      <c r="I841">
        <f>G841+H841</f>
        <v>1163996</v>
      </c>
      <c r="J841">
        <f>IF(AND(D841&lt;&gt;"dram",D841&lt;&gt;"control"),H841,0)</f>
        <v>0</v>
      </c>
      <c r="K841">
        <f>IF(D841="dram",H841,0)</f>
        <v>140</v>
      </c>
      <c r="L841">
        <v>0</v>
      </c>
      <c r="M841">
        <v>2560</v>
      </c>
    </row>
    <row r="842" spans="1:13">
      <c r="A842">
        <v>840</v>
      </c>
      <c r="B842" t="s">
        <v>238</v>
      </c>
      <c r="C842" t="s">
        <v>82</v>
      </c>
      <c r="D842" t="s">
        <v>83</v>
      </c>
      <c r="E842" t="s">
        <v>126</v>
      </c>
      <c r="F842">
        <v>61440</v>
      </c>
      <c r="G842">
        <f>MAX(I840,I841)</f>
        <v>1163996</v>
      </c>
      <c r="H842">
        <f>CEILING((dram_access_latency+F842/dram_bandwidth)*frequency,1)</f>
        <v>1060</v>
      </c>
      <c r="I842">
        <f>G842+H842</f>
        <v>1165056</v>
      </c>
      <c r="J842">
        <f>IF(AND(D842&lt;&gt;"dram",D842&lt;&gt;"control"),H842,0)</f>
        <v>0</v>
      </c>
      <c r="K842">
        <f>IF(D842="dram",H842,0)</f>
        <v>1060</v>
      </c>
      <c r="L842">
        <v>61440</v>
      </c>
      <c r="M842">
        <v>0</v>
      </c>
    </row>
    <row r="843" spans="1:13">
      <c r="A843">
        <v>841</v>
      </c>
      <c r="B843" t="s">
        <v>239</v>
      </c>
      <c r="C843" t="s">
        <v>82</v>
      </c>
      <c r="D843" t="s">
        <v>83</v>
      </c>
      <c r="E843" t="s">
        <v>126</v>
      </c>
      <c r="F843">
        <v>1280</v>
      </c>
      <c r="G843">
        <f>MAX(I840,I842)</f>
        <v>1165056</v>
      </c>
      <c r="H843">
        <f>CEILING((dram_access_latency+F843/dram_bandwidth)*frequency,1)</f>
        <v>120</v>
      </c>
      <c r="I843">
        <f>G843+H843</f>
        <v>1165176</v>
      </c>
      <c r="J843">
        <f>IF(AND(D843&lt;&gt;"dram",D843&lt;&gt;"control"),H843,0)</f>
        <v>0</v>
      </c>
      <c r="K843">
        <f>IF(D843="dram",H843,0)</f>
        <v>120</v>
      </c>
      <c r="L843">
        <v>1280</v>
      </c>
      <c r="M843">
        <v>0</v>
      </c>
    </row>
    <row r="844" spans="1:13">
      <c r="A844">
        <v>842</v>
      </c>
      <c r="B844" t="s">
        <v>240</v>
      </c>
      <c r="C844" t="s">
        <v>82</v>
      </c>
      <c r="D844" t="s">
        <v>83</v>
      </c>
      <c r="E844" t="s">
        <v>126</v>
      </c>
      <c r="F844">
        <v>384</v>
      </c>
      <c r="G844">
        <f>MAX(I840,I843)</f>
        <v>1165176</v>
      </c>
      <c r="H844">
        <f>CEILING((dram_access_latency+F844/dram_bandwidth)*frequency,1)</f>
        <v>106</v>
      </c>
      <c r="I844">
        <f>G844+H844</f>
        <v>1165282</v>
      </c>
      <c r="J844">
        <f>IF(AND(D844&lt;&gt;"dram",D844&lt;&gt;"control"),H844,0)</f>
        <v>0</v>
      </c>
      <c r="K844">
        <f>IF(D844="dram",H844,0)</f>
        <v>106</v>
      </c>
      <c r="L844">
        <v>384</v>
      </c>
      <c r="M844">
        <v>0</v>
      </c>
    </row>
    <row r="845" spans="1:13">
      <c r="A845">
        <v>843</v>
      </c>
      <c r="B845" t="s">
        <v>241</v>
      </c>
      <c r="C845" t="s">
        <v>82</v>
      </c>
      <c r="D845" t="s">
        <v>83</v>
      </c>
      <c r="E845" t="s">
        <v>126</v>
      </c>
      <c r="F845">
        <v>8</v>
      </c>
      <c r="G845">
        <f>MAX(I840,I844)</f>
        <v>1165282</v>
      </c>
      <c r="H845">
        <f>CEILING((dram_access_latency+F845/dram_bandwidth)*frequency,1)</f>
        <v>101</v>
      </c>
      <c r="I845">
        <f>G845+H845</f>
        <v>1165383</v>
      </c>
      <c r="J845">
        <f>IF(AND(D845&lt;&gt;"dram",D845&lt;&gt;"control"),H845,0)</f>
        <v>0</v>
      </c>
      <c r="K845">
        <f>IF(D845="dram",H845,0)</f>
        <v>101</v>
      </c>
      <c r="L845">
        <v>8</v>
      </c>
      <c r="M845">
        <v>0</v>
      </c>
    </row>
    <row r="846" spans="1:13">
      <c r="A846">
        <v>844</v>
      </c>
      <c r="B846" t="s">
        <v>37</v>
      </c>
      <c r="C846" t="s">
        <v>90</v>
      </c>
      <c r="D846" t="s">
        <v>108</v>
      </c>
      <c r="E846" t="s">
        <v>126</v>
      </c>
      <c r="F846">
        <v>0</v>
      </c>
      <c r="G846">
        <f>MAX(I839,I839,I724,I842,I843,I844,I845,I841)</f>
        <v>1165383</v>
      </c>
      <c r="H846">
        <f>'Operations'!I14</f>
        <v>1452</v>
      </c>
      <c r="I846">
        <f>G846+H846</f>
        <v>1166835</v>
      </c>
      <c r="J846">
        <f>IF(AND(D846&lt;&gt;"dram",D846&lt;&gt;"control"),H846,0)</f>
        <v>1452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242</v>
      </c>
      <c r="C847" t="s">
        <v>88</v>
      </c>
      <c r="D847" t="s">
        <v>89</v>
      </c>
      <c r="E847" t="s">
        <v>126</v>
      </c>
      <c r="F847">
        <v>0</v>
      </c>
      <c r="G847">
        <f>MAX(I840,I839)</f>
        <v>1163781</v>
      </c>
      <c r="H847">
        <f>0</f>
        <v>1527</v>
      </c>
      <c r="I847">
        <f>G847+H847</f>
        <v>1165308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243</v>
      </c>
      <c r="C848" t="s">
        <v>92</v>
      </c>
      <c r="D848" t="s">
        <v>83</v>
      </c>
      <c r="E848" t="s">
        <v>126</v>
      </c>
      <c r="F848">
        <v>2560</v>
      </c>
      <c r="G848">
        <f>MAX(I847,I845)</f>
        <v>1165383</v>
      </c>
      <c r="H848">
        <f>CEILING((dram_access_latency+F848/dram_bandwidth)*frequency,1)</f>
        <v>140</v>
      </c>
      <c r="I848">
        <f>G848+H848</f>
        <v>1165523</v>
      </c>
      <c r="J848">
        <f>IF(AND(D848&lt;&gt;"dram",D848&lt;&gt;"control"),H848,0)</f>
        <v>0</v>
      </c>
      <c r="K848">
        <f>IF(D848="dram",H848,0)</f>
        <v>140</v>
      </c>
      <c r="L848">
        <v>0</v>
      </c>
      <c r="M848">
        <v>2560</v>
      </c>
    </row>
    <row r="849" spans="1:13">
      <c r="A849">
        <v>847</v>
      </c>
      <c r="B849" t="s">
        <v>238</v>
      </c>
      <c r="C849" t="s">
        <v>82</v>
      </c>
      <c r="D849" t="s">
        <v>83</v>
      </c>
      <c r="E849" t="s">
        <v>127</v>
      </c>
      <c r="F849">
        <v>61440</v>
      </c>
      <c r="G849">
        <f>MAX(I847,I848)</f>
        <v>1165523</v>
      </c>
      <c r="H849">
        <f>CEILING((dram_access_latency+F849/dram_bandwidth)*frequency,1)</f>
        <v>1060</v>
      </c>
      <c r="I849">
        <f>G849+H849</f>
        <v>1166583</v>
      </c>
      <c r="J849">
        <f>IF(AND(D849&lt;&gt;"dram",D849&lt;&gt;"control"),H849,0)</f>
        <v>0</v>
      </c>
      <c r="K849">
        <f>IF(D849="dram",H849,0)</f>
        <v>1060</v>
      </c>
      <c r="L849">
        <v>61440</v>
      </c>
      <c r="M849">
        <v>0</v>
      </c>
    </row>
    <row r="850" spans="1:13">
      <c r="A850">
        <v>848</v>
      </c>
      <c r="B850" t="s">
        <v>239</v>
      </c>
      <c r="C850" t="s">
        <v>82</v>
      </c>
      <c r="D850" t="s">
        <v>83</v>
      </c>
      <c r="E850" t="s">
        <v>127</v>
      </c>
      <c r="F850">
        <v>1280</v>
      </c>
      <c r="G850">
        <f>MAX(I847,I849)</f>
        <v>1166583</v>
      </c>
      <c r="H850">
        <f>CEILING((dram_access_latency+F850/dram_bandwidth)*frequency,1)</f>
        <v>120</v>
      </c>
      <c r="I850">
        <f>G850+H850</f>
        <v>1166703</v>
      </c>
      <c r="J850">
        <f>IF(AND(D850&lt;&gt;"dram",D850&lt;&gt;"control"),H850,0)</f>
        <v>0</v>
      </c>
      <c r="K850">
        <f>IF(D850="dram",H850,0)</f>
        <v>120</v>
      </c>
      <c r="L850">
        <v>1280</v>
      </c>
      <c r="M850">
        <v>0</v>
      </c>
    </row>
    <row r="851" spans="1:13">
      <c r="A851">
        <v>849</v>
      </c>
      <c r="B851" t="s">
        <v>240</v>
      </c>
      <c r="C851" t="s">
        <v>82</v>
      </c>
      <c r="D851" t="s">
        <v>83</v>
      </c>
      <c r="E851" t="s">
        <v>127</v>
      </c>
      <c r="F851">
        <v>384</v>
      </c>
      <c r="G851">
        <f>MAX(I847,I850)</f>
        <v>1166703</v>
      </c>
      <c r="H851">
        <f>CEILING((dram_access_latency+F851/dram_bandwidth)*frequency,1)</f>
        <v>106</v>
      </c>
      <c r="I851">
        <f>G851+H851</f>
        <v>1166809</v>
      </c>
      <c r="J851">
        <f>IF(AND(D851&lt;&gt;"dram",D851&lt;&gt;"control"),H851,0)</f>
        <v>0</v>
      </c>
      <c r="K851">
        <f>IF(D851="dram",H851,0)</f>
        <v>106</v>
      </c>
      <c r="L851">
        <v>384</v>
      </c>
      <c r="M851">
        <v>0</v>
      </c>
    </row>
    <row r="852" spans="1:13">
      <c r="A852">
        <v>850</v>
      </c>
      <c r="B852" t="s">
        <v>241</v>
      </c>
      <c r="C852" t="s">
        <v>82</v>
      </c>
      <c r="D852" t="s">
        <v>83</v>
      </c>
      <c r="E852" t="s">
        <v>127</v>
      </c>
      <c r="F852">
        <v>8</v>
      </c>
      <c r="G852">
        <f>MAX(I847,I851)</f>
        <v>1166809</v>
      </c>
      <c r="H852">
        <f>CEILING((dram_access_latency+F852/dram_bandwidth)*frequency,1)</f>
        <v>101</v>
      </c>
      <c r="I852">
        <f>G852+H852</f>
        <v>1166910</v>
      </c>
      <c r="J852">
        <f>IF(AND(D852&lt;&gt;"dram",D852&lt;&gt;"control"),H852,0)</f>
        <v>0</v>
      </c>
      <c r="K852">
        <f>IF(D852="dram",H852,0)</f>
        <v>101</v>
      </c>
      <c r="L852">
        <v>8</v>
      </c>
      <c r="M852">
        <v>0</v>
      </c>
    </row>
    <row r="853" spans="1:13">
      <c r="A853">
        <v>851</v>
      </c>
      <c r="B853" t="s">
        <v>37</v>
      </c>
      <c r="C853" t="s">
        <v>90</v>
      </c>
      <c r="D853" t="s">
        <v>108</v>
      </c>
      <c r="E853" t="s">
        <v>127</v>
      </c>
      <c r="F853">
        <v>0</v>
      </c>
      <c r="G853">
        <f>MAX(I846,I846,I724,I849,I850,I851,I852,I848)</f>
        <v>1166910</v>
      </c>
      <c r="H853">
        <f>'Operations'!I14</f>
        <v>1452</v>
      </c>
      <c r="I853">
        <f>G853+H853</f>
        <v>1168362</v>
      </c>
      <c r="J853">
        <f>IF(AND(D853&lt;&gt;"dram",D853&lt;&gt;"control"),H853,0)</f>
        <v>1452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242</v>
      </c>
      <c r="C854" t="s">
        <v>88</v>
      </c>
      <c r="D854" t="s">
        <v>89</v>
      </c>
      <c r="E854" t="s">
        <v>127</v>
      </c>
      <c r="F854">
        <v>0</v>
      </c>
      <c r="G854">
        <f>MAX(I847,I846)</f>
        <v>1165308</v>
      </c>
      <c r="H854">
        <f>0</f>
        <v>1527</v>
      </c>
      <c r="I854">
        <f>G854+H854</f>
        <v>1166835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243</v>
      </c>
      <c r="C855" t="s">
        <v>92</v>
      </c>
      <c r="D855" t="s">
        <v>83</v>
      </c>
      <c r="E855" t="s">
        <v>127</v>
      </c>
      <c r="F855">
        <v>2560</v>
      </c>
      <c r="G855">
        <f>MAX(I854,I852)</f>
        <v>1166910</v>
      </c>
      <c r="H855">
        <f>CEILING((dram_access_latency+F855/dram_bandwidth)*frequency,1)</f>
        <v>140</v>
      </c>
      <c r="I855">
        <f>G855+H855</f>
        <v>1167050</v>
      </c>
      <c r="J855">
        <f>IF(AND(D855&lt;&gt;"dram",D855&lt;&gt;"control"),H855,0)</f>
        <v>0</v>
      </c>
      <c r="K855">
        <f>IF(D855="dram",H855,0)</f>
        <v>140</v>
      </c>
      <c r="L855">
        <v>0</v>
      </c>
      <c r="M855">
        <v>2560</v>
      </c>
    </row>
    <row r="856" spans="1:13">
      <c r="A856">
        <v>854</v>
      </c>
      <c r="B856" t="s">
        <v>238</v>
      </c>
      <c r="C856" t="s">
        <v>82</v>
      </c>
      <c r="D856" t="s">
        <v>83</v>
      </c>
      <c r="E856" t="s">
        <v>128</v>
      </c>
      <c r="F856">
        <v>61440</v>
      </c>
      <c r="G856">
        <f>MAX(I854,I855)</f>
        <v>1167050</v>
      </c>
      <c r="H856">
        <f>CEILING((dram_access_latency+F856/dram_bandwidth)*frequency,1)</f>
        <v>1060</v>
      </c>
      <c r="I856">
        <f>G856+H856</f>
        <v>1168110</v>
      </c>
      <c r="J856">
        <f>IF(AND(D856&lt;&gt;"dram",D856&lt;&gt;"control"),H856,0)</f>
        <v>0</v>
      </c>
      <c r="K856">
        <f>IF(D856="dram",H856,0)</f>
        <v>1060</v>
      </c>
      <c r="L856">
        <v>61440</v>
      </c>
      <c r="M856">
        <v>0</v>
      </c>
    </row>
    <row r="857" spans="1:13">
      <c r="A857">
        <v>855</v>
      </c>
      <c r="B857" t="s">
        <v>239</v>
      </c>
      <c r="C857" t="s">
        <v>82</v>
      </c>
      <c r="D857" t="s">
        <v>83</v>
      </c>
      <c r="E857" t="s">
        <v>128</v>
      </c>
      <c r="F857">
        <v>1280</v>
      </c>
      <c r="G857">
        <f>MAX(I854,I856)</f>
        <v>1168110</v>
      </c>
      <c r="H857">
        <f>CEILING((dram_access_latency+F857/dram_bandwidth)*frequency,1)</f>
        <v>120</v>
      </c>
      <c r="I857">
        <f>G857+H857</f>
        <v>1168230</v>
      </c>
      <c r="J857">
        <f>IF(AND(D857&lt;&gt;"dram",D857&lt;&gt;"control"),H857,0)</f>
        <v>0</v>
      </c>
      <c r="K857">
        <f>IF(D857="dram",H857,0)</f>
        <v>120</v>
      </c>
      <c r="L857">
        <v>1280</v>
      </c>
      <c r="M857">
        <v>0</v>
      </c>
    </row>
    <row r="858" spans="1:13">
      <c r="A858">
        <v>856</v>
      </c>
      <c r="B858" t="s">
        <v>240</v>
      </c>
      <c r="C858" t="s">
        <v>82</v>
      </c>
      <c r="D858" t="s">
        <v>83</v>
      </c>
      <c r="E858" t="s">
        <v>128</v>
      </c>
      <c r="F858">
        <v>384</v>
      </c>
      <c r="G858">
        <f>MAX(I854,I857)</f>
        <v>1168230</v>
      </c>
      <c r="H858">
        <f>CEILING((dram_access_latency+F858/dram_bandwidth)*frequency,1)</f>
        <v>106</v>
      </c>
      <c r="I858">
        <f>G858+H858</f>
        <v>1168336</v>
      </c>
      <c r="J858">
        <f>IF(AND(D858&lt;&gt;"dram",D858&lt;&gt;"control"),H858,0)</f>
        <v>0</v>
      </c>
      <c r="K858">
        <f>IF(D858="dram",H858,0)</f>
        <v>106</v>
      </c>
      <c r="L858">
        <v>384</v>
      </c>
      <c r="M858">
        <v>0</v>
      </c>
    </row>
    <row r="859" spans="1:13">
      <c r="A859">
        <v>857</v>
      </c>
      <c r="B859" t="s">
        <v>241</v>
      </c>
      <c r="C859" t="s">
        <v>82</v>
      </c>
      <c r="D859" t="s">
        <v>83</v>
      </c>
      <c r="E859" t="s">
        <v>128</v>
      </c>
      <c r="F859">
        <v>8</v>
      </c>
      <c r="G859">
        <f>MAX(I854,I858)</f>
        <v>1168336</v>
      </c>
      <c r="H859">
        <f>CEILING((dram_access_latency+F859/dram_bandwidth)*frequency,1)</f>
        <v>101</v>
      </c>
      <c r="I859">
        <f>G859+H859</f>
        <v>1168437</v>
      </c>
      <c r="J859">
        <f>IF(AND(D859&lt;&gt;"dram",D859&lt;&gt;"control"),H859,0)</f>
        <v>0</v>
      </c>
      <c r="K859">
        <f>IF(D859="dram",H859,0)</f>
        <v>101</v>
      </c>
      <c r="L859">
        <v>8</v>
      </c>
      <c r="M859">
        <v>0</v>
      </c>
    </row>
    <row r="860" spans="1:13">
      <c r="A860">
        <v>858</v>
      </c>
      <c r="B860" t="s">
        <v>37</v>
      </c>
      <c r="C860" t="s">
        <v>90</v>
      </c>
      <c r="D860" t="s">
        <v>108</v>
      </c>
      <c r="E860" t="s">
        <v>128</v>
      </c>
      <c r="F860">
        <v>0</v>
      </c>
      <c r="G860">
        <f>MAX(I853,I853,I724,I856,I857,I858,I859,I855)</f>
        <v>1168437</v>
      </c>
      <c r="H860">
        <f>'Operations'!I14</f>
        <v>1452</v>
      </c>
      <c r="I860">
        <f>G860+H860</f>
        <v>1169889</v>
      </c>
      <c r="J860">
        <f>IF(AND(D860&lt;&gt;"dram",D860&lt;&gt;"control"),H860,0)</f>
        <v>1452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242</v>
      </c>
      <c r="C861" t="s">
        <v>88</v>
      </c>
      <c r="D861" t="s">
        <v>89</v>
      </c>
      <c r="E861" t="s">
        <v>128</v>
      </c>
      <c r="F861">
        <v>0</v>
      </c>
      <c r="G861">
        <f>MAX(I854,I853)</f>
        <v>1166835</v>
      </c>
      <c r="H861">
        <f>0</f>
        <v>1527</v>
      </c>
      <c r="I861">
        <f>G861+H861</f>
        <v>1168362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243</v>
      </c>
      <c r="C862" t="s">
        <v>92</v>
      </c>
      <c r="D862" t="s">
        <v>83</v>
      </c>
      <c r="E862" t="s">
        <v>128</v>
      </c>
      <c r="F862">
        <v>2560</v>
      </c>
      <c r="G862">
        <f>MAX(I861,I859)</f>
        <v>1168437</v>
      </c>
      <c r="H862">
        <f>CEILING((dram_access_latency+F862/dram_bandwidth)*frequency,1)</f>
        <v>140</v>
      </c>
      <c r="I862">
        <f>G862+H862</f>
        <v>1168577</v>
      </c>
      <c r="J862">
        <f>IF(AND(D862&lt;&gt;"dram",D862&lt;&gt;"control"),H862,0)</f>
        <v>0</v>
      </c>
      <c r="K862">
        <f>IF(D862="dram",H862,0)</f>
        <v>140</v>
      </c>
      <c r="L862">
        <v>0</v>
      </c>
      <c r="M862">
        <v>2560</v>
      </c>
    </row>
    <row r="863" spans="1:13">
      <c r="A863">
        <v>861</v>
      </c>
      <c r="B863" t="s">
        <v>238</v>
      </c>
      <c r="C863" t="s">
        <v>82</v>
      </c>
      <c r="D863" t="s">
        <v>83</v>
      </c>
      <c r="E863" t="s">
        <v>129</v>
      </c>
      <c r="F863">
        <v>61440</v>
      </c>
      <c r="G863">
        <f>MAX(I861,I862)</f>
        <v>1168577</v>
      </c>
      <c r="H863">
        <f>CEILING((dram_access_latency+F863/dram_bandwidth)*frequency,1)</f>
        <v>1060</v>
      </c>
      <c r="I863">
        <f>G863+H863</f>
        <v>1169637</v>
      </c>
      <c r="J863">
        <f>IF(AND(D863&lt;&gt;"dram",D863&lt;&gt;"control"),H863,0)</f>
        <v>0</v>
      </c>
      <c r="K863">
        <f>IF(D863="dram",H863,0)</f>
        <v>1060</v>
      </c>
      <c r="L863">
        <v>61440</v>
      </c>
      <c r="M863">
        <v>0</v>
      </c>
    </row>
    <row r="864" spans="1:13">
      <c r="A864">
        <v>862</v>
      </c>
      <c r="B864" t="s">
        <v>239</v>
      </c>
      <c r="C864" t="s">
        <v>82</v>
      </c>
      <c r="D864" t="s">
        <v>83</v>
      </c>
      <c r="E864" t="s">
        <v>129</v>
      </c>
      <c r="F864">
        <v>1280</v>
      </c>
      <c r="G864">
        <f>MAX(I861,I863)</f>
        <v>1169637</v>
      </c>
      <c r="H864">
        <f>CEILING((dram_access_latency+F864/dram_bandwidth)*frequency,1)</f>
        <v>120</v>
      </c>
      <c r="I864">
        <f>G864+H864</f>
        <v>1169757</v>
      </c>
      <c r="J864">
        <f>IF(AND(D864&lt;&gt;"dram",D864&lt;&gt;"control"),H864,0)</f>
        <v>0</v>
      </c>
      <c r="K864">
        <f>IF(D864="dram",H864,0)</f>
        <v>120</v>
      </c>
      <c r="L864">
        <v>1280</v>
      </c>
      <c r="M864">
        <v>0</v>
      </c>
    </row>
    <row r="865" spans="1:13">
      <c r="A865">
        <v>863</v>
      </c>
      <c r="B865" t="s">
        <v>240</v>
      </c>
      <c r="C865" t="s">
        <v>82</v>
      </c>
      <c r="D865" t="s">
        <v>83</v>
      </c>
      <c r="E865" t="s">
        <v>129</v>
      </c>
      <c r="F865">
        <v>384</v>
      </c>
      <c r="G865">
        <f>MAX(I861,I864)</f>
        <v>1169757</v>
      </c>
      <c r="H865">
        <f>CEILING((dram_access_latency+F865/dram_bandwidth)*frequency,1)</f>
        <v>106</v>
      </c>
      <c r="I865">
        <f>G865+H865</f>
        <v>1169863</v>
      </c>
      <c r="J865">
        <f>IF(AND(D865&lt;&gt;"dram",D865&lt;&gt;"control"),H865,0)</f>
        <v>0</v>
      </c>
      <c r="K865">
        <f>IF(D865="dram",H865,0)</f>
        <v>106</v>
      </c>
      <c r="L865">
        <v>384</v>
      </c>
      <c r="M865">
        <v>0</v>
      </c>
    </row>
    <row r="866" spans="1:13">
      <c r="A866">
        <v>864</v>
      </c>
      <c r="B866" t="s">
        <v>241</v>
      </c>
      <c r="C866" t="s">
        <v>82</v>
      </c>
      <c r="D866" t="s">
        <v>83</v>
      </c>
      <c r="E866" t="s">
        <v>129</v>
      </c>
      <c r="F866">
        <v>8</v>
      </c>
      <c r="G866">
        <f>MAX(I861,I865)</f>
        <v>1169863</v>
      </c>
      <c r="H866">
        <f>CEILING((dram_access_latency+F866/dram_bandwidth)*frequency,1)</f>
        <v>101</v>
      </c>
      <c r="I866">
        <f>G866+H866</f>
        <v>1169964</v>
      </c>
      <c r="J866">
        <f>IF(AND(D866&lt;&gt;"dram",D866&lt;&gt;"control"),H866,0)</f>
        <v>0</v>
      </c>
      <c r="K866">
        <f>IF(D866="dram",H866,0)</f>
        <v>101</v>
      </c>
      <c r="L866">
        <v>8</v>
      </c>
      <c r="M866">
        <v>0</v>
      </c>
    </row>
    <row r="867" spans="1:13">
      <c r="A867">
        <v>865</v>
      </c>
      <c r="B867" t="s">
        <v>37</v>
      </c>
      <c r="C867" t="s">
        <v>90</v>
      </c>
      <c r="D867" t="s">
        <v>108</v>
      </c>
      <c r="E867" t="s">
        <v>129</v>
      </c>
      <c r="F867">
        <v>0</v>
      </c>
      <c r="G867">
        <f>MAX(I860,I860,I724,I863,I864,I865,I866,I862)</f>
        <v>1169964</v>
      </c>
      <c r="H867">
        <f>'Operations'!I14</f>
        <v>1452</v>
      </c>
      <c r="I867">
        <f>G867+H867</f>
        <v>1171416</v>
      </c>
      <c r="J867">
        <f>IF(AND(D867&lt;&gt;"dram",D867&lt;&gt;"control"),H867,0)</f>
        <v>1452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242</v>
      </c>
      <c r="C868" t="s">
        <v>88</v>
      </c>
      <c r="D868" t="s">
        <v>89</v>
      </c>
      <c r="E868" t="s">
        <v>129</v>
      </c>
      <c r="F868">
        <v>0</v>
      </c>
      <c r="G868">
        <f>MAX(I861,I860)</f>
        <v>1168362</v>
      </c>
      <c r="H868">
        <f>0</f>
        <v>1527</v>
      </c>
      <c r="I868">
        <f>G868+H868</f>
        <v>1169889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243</v>
      </c>
      <c r="C869" t="s">
        <v>92</v>
      </c>
      <c r="D869" t="s">
        <v>83</v>
      </c>
      <c r="E869" t="s">
        <v>129</v>
      </c>
      <c r="F869">
        <v>2560</v>
      </c>
      <c r="G869">
        <f>MAX(I868,I866)</f>
        <v>1169964</v>
      </c>
      <c r="H869">
        <f>CEILING((dram_access_latency+F869/dram_bandwidth)*frequency,1)</f>
        <v>140</v>
      </c>
      <c r="I869">
        <f>G869+H869</f>
        <v>1170104</v>
      </c>
      <c r="J869">
        <f>IF(AND(D869&lt;&gt;"dram",D869&lt;&gt;"control"),H869,0)</f>
        <v>0</v>
      </c>
      <c r="K869">
        <f>IF(D869="dram",H869,0)</f>
        <v>140</v>
      </c>
      <c r="L869">
        <v>0</v>
      </c>
      <c r="M869">
        <v>2560</v>
      </c>
    </row>
    <row r="870" spans="1:13">
      <c r="A870">
        <v>868</v>
      </c>
      <c r="B870" t="s">
        <v>238</v>
      </c>
      <c r="C870" t="s">
        <v>82</v>
      </c>
      <c r="D870" t="s">
        <v>83</v>
      </c>
      <c r="E870" t="s">
        <v>130</v>
      </c>
      <c r="F870">
        <v>61440</v>
      </c>
      <c r="G870">
        <f>MAX(I868,I869)</f>
        <v>1170104</v>
      </c>
      <c r="H870">
        <f>CEILING((dram_access_latency+F870/dram_bandwidth)*frequency,1)</f>
        <v>1060</v>
      </c>
      <c r="I870">
        <f>G870+H870</f>
        <v>1171164</v>
      </c>
      <c r="J870">
        <f>IF(AND(D870&lt;&gt;"dram",D870&lt;&gt;"control"),H870,0)</f>
        <v>0</v>
      </c>
      <c r="K870">
        <f>IF(D870="dram",H870,0)</f>
        <v>1060</v>
      </c>
      <c r="L870">
        <v>61440</v>
      </c>
      <c r="M870">
        <v>0</v>
      </c>
    </row>
    <row r="871" spans="1:13">
      <c r="A871">
        <v>869</v>
      </c>
      <c r="B871" t="s">
        <v>239</v>
      </c>
      <c r="C871" t="s">
        <v>82</v>
      </c>
      <c r="D871" t="s">
        <v>83</v>
      </c>
      <c r="E871" t="s">
        <v>130</v>
      </c>
      <c r="F871">
        <v>1280</v>
      </c>
      <c r="G871">
        <f>MAX(I868,I870)</f>
        <v>1171164</v>
      </c>
      <c r="H871">
        <f>CEILING((dram_access_latency+F871/dram_bandwidth)*frequency,1)</f>
        <v>120</v>
      </c>
      <c r="I871">
        <f>G871+H871</f>
        <v>1171284</v>
      </c>
      <c r="J871">
        <f>IF(AND(D871&lt;&gt;"dram",D871&lt;&gt;"control"),H871,0)</f>
        <v>0</v>
      </c>
      <c r="K871">
        <f>IF(D871="dram",H871,0)</f>
        <v>120</v>
      </c>
      <c r="L871">
        <v>1280</v>
      </c>
      <c r="M871">
        <v>0</v>
      </c>
    </row>
    <row r="872" spans="1:13">
      <c r="A872">
        <v>870</v>
      </c>
      <c r="B872" t="s">
        <v>240</v>
      </c>
      <c r="C872" t="s">
        <v>82</v>
      </c>
      <c r="D872" t="s">
        <v>83</v>
      </c>
      <c r="E872" t="s">
        <v>130</v>
      </c>
      <c r="F872">
        <v>384</v>
      </c>
      <c r="G872">
        <f>MAX(I868,I871)</f>
        <v>1171284</v>
      </c>
      <c r="H872">
        <f>CEILING((dram_access_latency+F872/dram_bandwidth)*frequency,1)</f>
        <v>106</v>
      </c>
      <c r="I872">
        <f>G872+H872</f>
        <v>1171390</v>
      </c>
      <c r="J872">
        <f>IF(AND(D872&lt;&gt;"dram",D872&lt;&gt;"control"),H872,0)</f>
        <v>0</v>
      </c>
      <c r="K872">
        <f>IF(D872="dram",H872,0)</f>
        <v>106</v>
      </c>
      <c r="L872">
        <v>384</v>
      </c>
      <c r="M872">
        <v>0</v>
      </c>
    </row>
    <row r="873" spans="1:13">
      <c r="A873">
        <v>871</v>
      </c>
      <c r="B873" t="s">
        <v>241</v>
      </c>
      <c r="C873" t="s">
        <v>82</v>
      </c>
      <c r="D873" t="s">
        <v>83</v>
      </c>
      <c r="E873" t="s">
        <v>130</v>
      </c>
      <c r="F873">
        <v>8</v>
      </c>
      <c r="G873">
        <f>MAX(I868,I872)</f>
        <v>1171390</v>
      </c>
      <c r="H873">
        <f>CEILING((dram_access_latency+F873/dram_bandwidth)*frequency,1)</f>
        <v>101</v>
      </c>
      <c r="I873">
        <f>G873+H873</f>
        <v>1171491</v>
      </c>
      <c r="J873">
        <f>IF(AND(D873&lt;&gt;"dram",D873&lt;&gt;"control"),H873,0)</f>
        <v>0</v>
      </c>
      <c r="K873">
        <f>IF(D873="dram",H873,0)</f>
        <v>101</v>
      </c>
      <c r="L873">
        <v>8</v>
      </c>
      <c r="M873">
        <v>0</v>
      </c>
    </row>
    <row r="874" spans="1:13">
      <c r="A874">
        <v>872</v>
      </c>
      <c r="B874" t="s">
        <v>37</v>
      </c>
      <c r="C874" t="s">
        <v>90</v>
      </c>
      <c r="D874" t="s">
        <v>108</v>
      </c>
      <c r="E874" t="s">
        <v>130</v>
      </c>
      <c r="F874">
        <v>0</v>
      </c>
      <c r="G874">
        <f>MAX(I867,I867,I724,I870,I871,I872,I873,I869)</f>
        <v>1171491</v>
      </c>
      <c r="H874">
        <f>'Operations'!I14</f>
        <v>1452</v>
      </c>
      <c r="I874">
        <f>G874+H874</f>
        <v>1172943</v>
      </c>
      <c r="J874">
        <f>IF(AND(D874&lt;&gt;"dram",D874&lt;&gt;"control"),H874,0)</f>
        <v>1452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242</v>
      </c>
      <c r="C875" t="s">
        <v>88</v>
      </c>
      <c r="D875" t="s">
        <v>89</v>
      </c>
      <c r="E875" t="s">
        <v>130</v>
      </c>
      <c r="F875">
        <v>0</v>
      </c>
      <c r="G875">
        <f>MAX(I868,I867)</f>
        <v>1169889</v>
      </c>
      <c r="H875">
        <f>0</f>
        <v>1527</v>
      </c>
      <c r="I875">
        <f>G875+H875</f>
        <v>1171416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243</v>
      </c>
      <c r="C876" t="s">
        <v>92</v>
      </c>
      <c r="D876" t="s">
        <v>83</v>
      </c>
      <c r="E876" t="s">
        <v>130</v>
      </c>
      <c r="F876">
        <v>2560</v>
      </c>
      <c r="G876">
        <f>MAX(I875,I873)</f>
        <v>1171491</v>
      </c>
      <c r="H876">
        <f>CEILING((dram_access_latency+F876/dram_bandwidth)*frequency,1)</f>
        <v>140</v>
      </c>
      <c r="I876">
        <f>G876+H876</f>
        <v>1171631</v>
      </c>
      <c r="J876">
        <f>IF(AND(D876&lt;&gt;"dram",D876&lt;&gt;"control"),H876,0)</f>
        <v>0</v>
      </c>
      <c r="K876">
        <f>IF(D876="dram",H876,0)</f>
        <v>140</v>
      </c>
      <c r="L876">
        <v>0</v>
      </c>
      <c r="M876">
        <v>2560</v>
      </c>
    </row>
    <row r="877" spans="1:13">
      <c r="A877">
        <v>875</v>
      </c>
      <c r="B877" t="s">
        <v>238</v>
      </c>
      <c r="C877" t="s">
        <v>82</v>
      </c>
      <c r="D877" t="s">
        <v>83</v>
      </c>
      <c r="E877" t="s">
        <v>131</v>
      </c>
      <c r="F877">
        <v>61440</v>
      </c>
      <c r="G877">
        <f>MAX(I875,I876)</f>
        <v>1171631</v>
      </c>
      <c r="H877">
        <f>CEILING((dram_access_latency+F877/dram_bandwidth)*frequency,1)</f>
        <v>1060</v>
      </c>
      <c r="I877">
        <f>G877+H877</f>
        <v>1172691</v>
      </c>
      <c r="J877">
        <f>IF(AND(D877&lt;&gt;"dram",D877&lt;&gt;"control"),H877,0)</f>
        <v>0</v>
      </c>
      <c r="K877">
        <f>IF(D877="dram",H877,0)</f>
        <v>1060</v>
      </c>
      <c r="L877">
        <v>61440</v>
      </c>
      <c r="M877">
        <v>0</v>
      </c>
    </row>
    <row r="878" spans="1:13">
      <c r="A878">
        <v>876</v>
      </c>
      <c r="B878" t="s">
        <v>239</v>
      </c>
      <c r="C878" t="s">
        <v>82</v>
      </c>
      <c r="D878" t="s">
        <v>83</v>
      </c>
      <c r="E878" t="s">
        <v>131</v>
      </c>
      <c r="F878">
        <v>1280</v>
      </c>
      <c r="G878">
        <f>MAX(I875,I877)</f>
        <v>1172691</v>
      </c>
      <c r="H878">
        <f>CEILING((dram_access_latency+F878/dram_bandwidth)*frequency,1)</f>
        <v>120</v>
      </c>
      <c r="I878">
        <f>G878+H878</f>
        <v>1172811</v>
      </c>
      <c r="J878">
        <f>IF(AND(D878&lt;&gt;"dram",D878&lt;&gt;"control"),H878,0)</f>
        <v>0</v>
      </c>
      <c r="K878">
        <f>IF(D878="dram",H878,0)</f>
        <v>120</v>
      </c>
      <c r="L878">
        <v>1280</v>
      </c>
      <c r="M878">
        <v>0</v>
      </c>
    </row>
    <row r="879" spans="1:13">
      <c r="A879">
        <v>877</v>
      </c>
      <c r="B879" t="s">
        <v>240</v>
      </c>
      <c r="C879" t="s">
        <v>82</v>
      </c>
      <c r="D879" t="s">
        <v>83</v>
      </c>
      <c r="E879" t="s">
        <v>131</v>
      </c>
      <c r="F879">
        <v>384</v>
      </c>
      <c r="G879">
        <f>MAX(I875,I878)</f>
        <v>1172811</v>
      </c>
      <c r="H879">
        <f>CEILING((dram_access_latency+F879/dram_bandwidth)*frequency,1)</f>
        <v>106</v>
      </c>
      <c r="I879">
        <f>G879+H879</f>
        <v>1172917</v>
      </c>
      <c r="J879">
        <f>IF(AND(D879&lt;&gt;"dram",D879&lt;&gt;"control"),H879,0)</f>
        <v>0</v>
      </c>
      <c r="K879">
        <f>IF(D879="dram",H879,0)</f>
        <v>106</v>
      </c>
      <c r="L879">
        <v>384</v>
      </c>
      <c r="M879">
        <v>0</v>
      </c>
    </row>
    <row r="880" spans="1:13">
      <c r="A880">
        <v>878</v>
      </c>
      <c r="B880" t="s">
        <v>241</v>
      </c>
      <c r="C880" t="s">
        <v>82</v>
      </c>
      <c r="D880" t="s">
        <v>83</v>
      </c>
      <c r="E880" t="s">
        <v>131</v>
      </c>
      <c r="F880">
        <v>8</v>
      </c>
      <c r="G880">
        <f>MAX(I875,I879)</f>
        <v>1172917</v>
      </c>
      <c r="H880">
        <f>CEILING((dram_access_latency+F880/dram_bandwidth)*frequency,1)</f>
        <v>101</v>
      </c>
      <c r="I880">
        <f>G880+H880</f>
        <v>1173018</v>
      </c>
      <c r="J880">
        <f>IF(AND(D880&lt;&gt;"dram",D880&lt;&gt;"control"),H880,0)</f>
        <v>0</v>
      </c>
      <c r="K880">
        <f>IF(D880="dram",H880,0)</f>
        <v>101</v>
      </c>
      <c r="L880">
        <v>8</v>
      </c>
      <c r="M880">
        <v>0</v>
      </c>
    </row>
    <row r="881" spans="1:13">
      <c r="A881">
        <v>879</v>
      </c>
      <c r="B881" t="s">
        <v>37</v>
      </c>
      <c r="C881" t="s">
        <v>90</v>
      </c>
      <c r="D881" t="s">
        <v>108</v>
      </c>
      <c r="E881" t="s">
        <v>131</v>
      </c>
      <c r="F881">
        <v>0</v>
      </c>
      <c r="G881">
        <f>MAX(I874,I874,I724,I877,I878,I879,I880,I876)</f>
        <v>1173018</v>
      </c>
      <c r="H881">
        <f>'Operations'!I14</f>
        <v>1452</v>
      </c>
      <c r="I881">
        <f>G881+H881</f>
        <v>1174470</v>
      </c>
      <c r="J881">
        <f>IF(AND(D881&lt;&gt;"dram",D881&lt;&gt;"control"),H881,0)</f>
        <v>1452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242</v>
      </c>
      <c r="C882" t="s">
        <v>88</v>
      </c>
      <c r="D882" t="s">
        <v>89</v>
      </c>
      <c r="E882" t="s">
        <v>131</v>
      </c>
      <c r="F882">
        <v>0</v>
      </c>
      <c r="G882">
        <f>MAX(I875,I874)</f>
        <v>1171416</v>
      </c>
      <c r="H882">
        <f>0</f>
        <v>1527</v>
      </c>
      <c r="I882">
        <f>G882+H882</f>
        <v>1172943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243</v>
      </c>
      <c r="C883" t="s">
        <v>92</v>
      </c>
      <c r="D883" t="s">
        <v>83</v>
      </c>
      <c r="E883" t="s">
        <v>131</v>
      </c>
      <c r="F883">
        <v>2560</v>
      </c>
      <c r="G883">
        <f>MAX(I882,I880)</f>
        <v>1173018</v>
      </c>
      <c r="H883">
        <f>CEILING((dram_access_latency+F883/dram_bandwidth)*frequency,1)</f>
        <v>140</v>
      </c>
      <c r="I883">
        <f>G883+H883</f>
        <v>1173158</v>
      </c>
      <c r="J883">
        <f>IF(AND(D883&lt;&gt;"dram",D883&lt;&gt;"control"),H883,0)</f>
        <v>0</v>
      </c>
      <c r="K883">
        <f>IF(D883="dram",H883,0)</f>
        <v>140</v>
      </c>
      <c r="L883">
        <v>0</v>
      </c>
      <c r="M883">
        <v>2560</v>
      </c>
    </row>
    <row r="884" spans="1:13">
      <c r="A884">
        <v>882</v>
      </c>
      <c r="B884" t="s">
        <v>238</v>
      </c>
      <c r="C884" t="s">
        <v>82</v>
      </c>
      <c r="D884" t="s">
        <v>83</v>
      </c>
      <c r="E884" t="s">
        <v>132</v>
      </c>
      <c r="F884">
        <v>61440</v>
      </c>
      <c r="G884">
        <f>MAX(I882,I883)</f>
        <v>1173158</v>
      </c>
      <c r="H884">
        <f>CEILING((dram_access_latency+F884/dram_bandwidth)*frequency,1)</f>
        <v>1060</v>
      </c>
      <c r="I884">
        <f>G884+H884</f>
        <v>1174218</v>
      </c>
      <c r="J884">
        <f>IF(AND(D884&lt;&gt;"dram",D884&lt;&gt;"control"),H884,0)</f>
        <v>0</v>
      </c>
      <c r="K884">
        <f>IF(D884="dram",H884,0)</f>
        <v>1060</v>
      </c>
      <c r="L884">
        <v>61440</v>
      </c>
      <c r="M884">
        <v>0</v>
      </c>
    </row>
    <row r="885" spans="1:13">
      <c r="A885">
        <v>883</v>
      </c>
      <c r="B885" t="s">
        <v>239</v>
      </c>
      <c r="C885" t="s">
        <v>82</v>
      </c>
      <c r="D885" t="s">
        <v>83</v>
      </c>
      <c r="E885" t="s">
        <v>132</v>
      </c>
      <c r="F885">
        <v>1280</v>
      </c>
      <c r="G885">
        <f>MAX(I882,I884)</f>
        <v>1174218</v>
      </c>
      <c r="H885">
        <f>CEILING((dram_access_latency+F885/dram_bandwidth)*frequency,1)</f>
        <v>120</v>
      </c>
      <c r="I885">
        <f>G885+H885</f>
        <v>1174338</v>
      </c>
      <c r="J885">
        <f>IF(AND(D885&lt;&gt;"dram",D885&lt;&gt;"control"),H885,0)</f>
        <v>0</v>
      </c>
      <c r="K885">
        <f>IF(D885="dram",H885,0)</f>
        <v>120</v>
      </c>
      <c r="L885">
        <v>1280</v>
      </c>
      <c r="M885">
        <v>0</v>
      </c>
    </row>
    <row r="886" spans="1:13">
      <c r="A886">
        <v>884</v>
      </c>
      <c r="B886" t="s">
        <v>240</v>
      </c>
      <c r="C886" t="s">
        <v>82</v>
      </c>
      <c r="D886" t="s">
        <v>83</v>
      </c>
      <c r="E886" t="s">
        <v>132</v>
      </c>
      <c r="F886">
        <v>384</v>
      </c>
      <c r="G886">
        <f>MAX(I882,I885)</f>
        <v>1174338</v>
      </c>
      <c r="H886">
        <f>CEILING((dram_access_latency+F886/dram_bandwidth)*frequency,1)</f>
        <v>106</v>
      </c>
      <c r="I886">
        <f>G886+H886</f>
        <v>1174444</v>
      </c>
      <c r="J886">
        <f>IF(AND(D886&lt;&gt;"dram",D886&lt;&gt;"control"),H886,0)</f>
        <v>0</v>
      </c>
      <c r="K886">
        <f>IF(D886="dram",H886,0)</f>
        <v>106</v>
      </c>
      <c r="L886">
        <v>384</v>
      </c>
      <c r="M886">
        <v>0</v>
      </c>
    </row>
    <row r="887" spans="1:13">
      <c r="A887">
        <v>885</v>
      </c>
      <c r="B887" t="s">
        <v>241</v>
      </c>
      <c r="C887" t="s">
        <v>82</v>
      </c>
      <c r="D887" t="s">
        <v>83</v>
      </c>
      <c r="E887" t="s">
        <v>132</v>
      </c>
      <c r="F887">
        <v>8</v>
      </c>
      <c r="G887">
        <f>MAX(I882,I886)</f>
        <v>1174444</v>
      </c>
      <c r="H887">
        <f>CEILING((dram_access_latency+F887/dram_bandwidth)*frequency,1)</f>
        <v>101</v>
      </c>
      <c r="I887">
        <f>G887+H887</f>
        <v>1174545</v>
      </c>
      <c r="J887">
        <f>IF(AND(D887&lt;&gt;"dram",D887&lt;&gt;"control"),H887,0)</f>
        <v>0</v>
      </c>
      <c r="K887">
        <f>IF(D887="dram",H887,0)</f>
        <v>101</v>
      </c>
      <c r="L887">
        <v>8</v>
      </c>
      <c r="M887">
        <v>0</v>
      </c>
    </row>
    <row r="888" spans="1:13">
      <c r="A888">
        <v>886</v>
      </c>
      <c r="B888" t="s">
        <v>37</v>
      </c>
      <c r="C888" t="s">
        <v>90</v>
      </c>
      <c r="D888" t="s">
        <v>108</v>
      </c>
      <c r="E888" t="s">
        <v>132</v>
      </c>
      <c r="F888">
        <v>0</v>
      </c>
      <c r="G888">
        <f>MAX(I881,I881,I724,I884,I885,I886,I887,I883)</f>
        <v>1174545</v>
      </c>
      <c r="H888">
        <f>'Operations'!I14</f>
        <v>1452</v>
      </c>
      <c r="I888">
        <f>G888+H888</f>
        <v>1175997</v>
      </c>
      <c r="J888">
        <f>IF(AND(D888&lt;&gt;"dram",D888&lt;&gt;"control"),H888,0)</f>
        <v>1452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242</v>
      </c>
      <c r="C889" t="s">
        <v>88</v>
      </c>
      <c r="D889" t="s">
        <v>89</v>
      </c>
      <c r="E889" t="s">
        <v>132</v>
      </c>
      <c r="F889">
        <v>0</v>
      </c>
      <c r="G889">
        <f>MAX(I882,I881)</f>
        <v>1172943</v>
      </c>
      <c r="H889">
        <f>0</f>
        <v>1527</v>
      </c>
      <c r="I889">
        <f>G889+H889</f>
        <v>1174470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243</v>
      </c>
      <c r="C890" t="s">
        <v>92</v>
      </c>
      <c r="D890" t="s">
        <v>83</v>
      </c>
      <c r="E890" t="s">
        <v>132</v>
      </c>
      <c r="F890">
        <v>2560</v>
      </c>
      <c r="G890">
        <f>MAX(I889,I887)</f>
        <v>1174545</v>
      </c>
      <c r="H890">
        <f>CEILING((dram_access_latency+F890/dram_bandwidth)*frequency,1)</f>
        <v>140</v>
      </c>
      <c r="I890">
        <f>G890+H890</f>
        <v>1174685</v>
      </c>
      <c r="J890">
        <f>IF(AND(D890&lt;&gt;"dram",D890&lt;&gt;"control"),H890,0)</f>
        <v>0</v>
      </c>
      <c r="K890">
        <f>IF(D890="dram",H890,0)</f>
        <v>140</v>
      </c>
      <c r="L890">
        <v>0</v>
      </c>
      <c r="M890">
        <v>2560</v>
      </c>
    </row>
    <row r="891" spans="1:13">
      <c r="A891">
        <v>889</v>
      </c>
      <c r="B891" t="s">
        <v>238</v>
      </c>
      <c r="C891" t="s">
        <v>82</v>
      </c>
      <c r="D891" t="s">
        <v>83</v>
      </c>
      <c r="E891" t="s">
        <v>133</v>
      </c>
      <c r="F891">
        <v>61440</v>
      </c>
      <c r="G891">
        <f>MAX(I889,I890)</f>
        <v>1174685</v>
      </c>
      <c r="H891">
        <f>CEILING((dram_access_latency+F891/dram_bandwidth)*frequency,1)</f>
        <v>1060</v>
      </c>
      <c r="I891">
        <f>G891+H891</f>
        <v>1175745</v>
      </c>
      <c r="J891">
        <f>IF(AND(D891&lt;&gt;"dram",D891&lt;&gt;"control"),H891,0)</f>
        <v>0</v>
      </c>
      <c r="K891">
        <f>IF(D891="dram",H891,0)</f>
        <v>1060</v>
      </c>
      <c r="L891">
        <v>61440</v>
      </c>
      <c r="M891">
        <v>0</v>
      </c>
    </row>
    <row r="892" spans="1:13">
      <c r="A892">
        <v>890</v>
      </c>
      <c r="B892" t="s">
        <v>239</v>
      </c>
      <c r="C892" t="s">
        <v>82</v>
      </c>
      <c r="D892" t="s">
        <v>83</v>
      </c>
      <c r="E892" t="s">
        <v>133</v>
      </c>
      <c r="F892">
        <v>1280</v>
      </c>
      <c r="G892">
        <f>MAX(I889,I891)</f>
        <v>1175745</v>
      </c>
      <c r="H892">
        <f>CEILING((dram_access_latency+F892/dram_bandwidth)*frequency,1)</f>
        <v>120</v>
      </c>
      <c r="I892">
        <f>G892+H892</f>
        <v>1175865</v>
      </c>
      <c r="J892">
        <f>IF(AND(D892&lt;&gt;"dram",D892&lt;&gt;"control"),H892,0)</f>
        <v>0</v>
      </c>
      <c r="K892">
        <f>IF(D892="dram",H892,0)</f>
        <v>120</v>
      </c>
      <c r="L892">
        <v>1280</v>
      </c>
      <c r="M892">
        <v>0</v>
      </c>
    </row>
    <row r="893" spans="1:13">
      <c r="A893">
        <v>891</v>
      </c>
      <c r="B893" t="s">
        <v>240</v>
      </c>
      <c r="C893" t="s">
        <v>82</v>
      </c>
      <c r="D893" t="s">
        <v>83</v>
      </c>
      <c r="E893" t="s">
        <v>133</v>
      </c>
      <c r="F893">
        <v>384</v>
      </c>
      <c r="G893">
        <f>MAX(I889,I892)</f>
        <v>1175865</v>
      </c>
      <c r="H893">
        <f>CEILING((dram_access_latency+F893/dram_bandwidth)*frequency,1)</f>
        <v>106</v>
      </c>
      <c r="I893">
        <f>G893+H893</f>
        <v>1175971</v>
      </c>
      <c r="J893">
        <f>IF(AND(D893&lt;&gt;"dram",D893&lt;&gt;"control"),H893,0)</f>
        <v>0</v>
      </c>
      <c r="K893">
        <f>IF(D893="dram",H893,0)</f>
        <v>106</v>
      </c>
      <c r="L893">
        <v>384</v>
      </c>
      <c r="M893">
        <v>0</v>
      </c>
    </row>
    <row r="894" spans="1:13">
      <c r="A894">
        <v>892</v>
      </c>
      <c r="B894" t="s">
        <v>241</v>
      </c>
      <c r="C894" t="s">
        <v>82</v>
      </c>
      <c r="D894" t="s">
        <v>83</v>
      </c>
      <c r="E894" t="s">
        <v>133</v>
      </c>
      <c r="F894">
        <v>8</v>
      </c>
      <c r="G894">
        <f>MAX(I889,I893)</f>
        <v>1175971</v>
      </c>
      <c r="H894">
        <f>CEILING((dram_access_latency+F894/dram_bandwidth)*frequency,1)</f>
        <v>101</v>
      </c>
      <c r="I894">
        <f>G894+H894</f>
        <v>1176072</v>
      </c>
      <c r="J894">
        <f>IF(AND(D894&lt;&gt;"dram",D894&lt;&gt;"control"),H894,0)</f>
        <v>0</v>
      </c>
      <c r="K894">
        <f>IF(D894="dram",H894,0)</f>
        <v>101</v>
      </c>
      <c r="L894">
        <v>8</v>
      </c>
      <c r="M894">
        <v>0</v>
      </c>
    </row>
    <row r="895" spans="1:13">
      <c r="A895">
        <v>893</v>
      </c>
      <c r="B895" t="s">
        <v>37</v>
      </c>
      <c r="C895" t="s">
        <v>90</v>
      </c>
      <c r="D895" t="s">
        <v>108</v>
      </c>
      <c r="E895" t="s">
        <v>133</v>
      </c>
      <c r="F895">
        <v>0</v>
      </c>
      <c r="G895">
        <f>MAX(I888,I888,I724,I891,I892,I893,I894,I890)</f>
        <v>1176072</v>
      </c>
      <c r="H895">
        <f>'Operations'!I14</f>
        <v>1452</v>
      </c>
      <c r="I895">
        <f>G895+H895</f>
        <v>1177524</v>
      </c>
      <c r="J895">
        <f>IF(AND(D895&lt;&gt;"dram",D895&lt;&gt;"control"),H895,0)</f>
        <v>1452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242</v>
      </c>
      <c r="C896" t="s">
        <v>88</v>
      </c>
      <c r="D896" t="s">
        <v>89</v>
      </c>
      <c r="E896" t="s">
        <v>133</v>
      </c>
      <c r="F896">
        <v>0</v>
      </c>
      <c r="G896">
        <f>MAX(I889,I888)</f>
        <v>1174470</v>
      </c>
      <c r="H896">
        <f>0</f>
        <v>1527</v>
      </c>
      <c r="I896">
        <f>G896+H896</f>
        <v>1175997</v>
      </c>
      <c r="J896">
        <f>IF(AND(D896&lt;&gt;"dram",D896&lt;&gt;"control"),H896,0)</f>
        <v>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243</v>
      </c>
      <c r="C897" t="s">
        <v>92</v>
      </c>
      <c r="D897" t="s">
        <v>83</v>
      </c>
      <c r="E897" t="s">
        <v>133</v>
      </c>
      <c r="F897">
        <v>2560</v>
      </c>
      <c r="G897">
        <f>MAX(I896,I894)</f>
        <v>1176072</v>
      </c>
      <c r="H897">
        <f>CEILING((dram_access_latency+F897/dram_bandwidth)*frequency,1)</f>
        <v>140</v>
      </c>
      <c r="I897">
        <f>G897+H897</f>
        <v>1176212</v>
      </c>
      <c r="J897">
        <f>IF(AND(D897&lt;&gt;"dram",D897&lt;&gt;"control"),H897,0)</f>
        <v>0</v>
      </c>
      <c r="K897">
        <f>IF(D897="dram",H897,0)</f>
        <v>140</v>
      </c>
      <c r="L897">
        <v>0</v>
      </c>
      <c r="M897">
        <v>2560</v>
      </c>
    </row>
    <row r="898" spans="1:13">
      <c r="A898">
        <v>896</v>
      </c>
      <c r="B898" t="s">
        <v>238</v>
      </c>
      <c r="C898" t="s">
        <v>82</v>
      </c>
      <c r="D898" t="s">
        <v>83</v>
      </c>
      <c r="E898" t="s">
        <v>134</v>
      </c>
      <c r="F898">
        <v>61440</v>
      </c>
      <c r="G898">
        <f>MAX(I896,I897)</f>
        <v>1176212</v>
      </c>
      <c r="H898">
        <f>CEILING((dram_access_latency+F898/dram_bandwidth)*frequency,1)</f>
        <v>1060</v>
      </c>
      <c r="I898">
        <f>G898+H898</f>
        <v>1177272</v>
      </c>
      <c r="J898">
        <f>IF(AND(D898&lt;&gt;"dram",D898&lt;&gt;"control"),H898,0)</f>
        <v>0</v>
      </c>
      <c r="K898">
        <f>IF(D898="dram",H898,0)</f>
        <v>1060</v>
      </c>
      <c r="L898">
        <v>61440</v>
      </c>
      <c r="M898">
        <v>0</v>
      </c>
    </row>
    <row r="899" spans="1:13">
      <c r="A899">
        <v>897</v>
      </c>
      <c r="B899" t="s">
        <v>239</v>
      </c>
      <c r="C899" t="s">
        <v>82</v>
      </c>
      <c r="D899" t="s">
        <v>83</v>
      </c>
      <c r="E899" t="s">
        <v>134</v>
      </c>
      <c r="F899">
        <v>1280</v>
      </c>
      <c r="G899">
        <f>MAX(I896,I898)</f>
        <v>1177272</v>
      </c>
      <c r="H899">
        <f>CEILING((dram_access_latency+F899/dram_bandwidth)*frequency,1)</f>
        <v>120</v>
      </c>
      <c r="I899">
        <f>G899+H899</f>
        <v>1177392</v>
      </c>
      <c r="J899">
        <f>IF(AND(D899&lt;&gt;"dram",D899&lt;&gt;"control"),H899,0)</f>
        <v>0</v>
      </c>
      <c r="K899">
        <f>IF(D899="dram",H899,0)</f>
        <v>120</v>
      </c>
      <c r="L899">
        <v>1280</v>
      </c>
      <c r="M899">
        <v>0</v>
      </c>
    </row>
    <row r="900" spans="1:13">
      <c r="A900">
        <v>898</v>
      </c>
      <c r="B900" t="s">
        <v>240</v>
      </c>
      <c r="C900" t="s">
        <v>82</v>
      </c>
      <c r="D900" t="s">
        <v>83</v>
      </c>
      <c r="E900" t="s">
        <v>134</v>
      </c>
      <c r="F900">
        <v>384</v>
      </c>
      <c r="G900">
        <f>MAX(I896,I899)</f>
        <v>1177392</v>
      </c>
      <c r="H900">
        <f>CEILING((dram_access_latency+F900/dram_bandwidth)*frequency,1)</f>
        <v>106</v>
      </c>
      <c r="I900">
        <f>G900+H900</f>
        <v>1177498</v>
      </c>
      <c r="J900">
        <f>IF(AND(D900&lt;&gt;"dram",D900&lt;&gt;"control"),H900,0)</f>
        <v>0</v>
      </c>
      <c r="K900">
        <f>IF(D900="dram",H900,0)</f>
        <v>106</v>
      </c>
      <c r="L900">
        <v>384</v>
      </c>
      <c r="M900">
        <v>0</v>
      </c>
    </row>
    <row r="901" spans="1:13">
      <c r="A901">
        <v>899</v>
      </c>
      <c r="B901" t="s">
        <v>241</v>
      </c>
      <c r="C901" t="s">
        <v>82</v>
      </c>
      <c r="D901" t="s">
        <v>83</v>
      </c>
      <c r="E901" t="s">
        <v>134</v>
      </c>
      <c r="F901">
        <v>8</v>
      </c>
      <c r="G901">
        <f>MAX(I896,I900)</f>
        <v>1177498</v>
      </c>
      <c r="H901">
        <f>CEILING((dram_access_latency+F901/dram_bandwidth)*frequency,1)</f>
        <v>101</v>
      </c>
      <c r="I901">
        <f>G901+H901</f>
        <v>1177599</v>
      </c>
      <c r="J901">
        <f>IF(AND(D901&lt;&gt;"dram",D901&lt;&gt;"control"),H901,0)</f>
        <v>0</v>
      </c>
      <c r="K901">
        <f>IF(D901="dram",H901,0)</f>
        <v>101</v>
      </c>
      <c r="L901">
        <v>8</v>
      </c>
      <c r="M901">
        <v>0</v>
      </c>
    </row>
    <row r="902" spans="1:13">
      <c r="A902">
        <v>900</v>
      </c>
      <c r="B902" t="s">
        <v>37</v>
      </c>
      <c r="C902" t="s">
        <v>90</v>
      </c>
      <c r="D902" t="s">
        <v>108</v>
      </c>
      <c r="E902" t="s">
        <v>134</v>
      </c>
      <c r="F902">
        <v>0</v>
      </c>
      <c r="G902">
        <f>MAX(I895,I895,I724,I898,I899,I900,I901,I897)</f>
        <v>1177599</v>
      </c>
      <c r="H902">
        <f>'Operations'!I14</f>
        <v>1452</v>
      </c>
      <c r="I902">
        <f>G902+H902</f>
        <v>1179051</v>
      </c>
      <c r="J902">
        <f>IF(AND(D902&lt;&gt;"dram",D902&lt;&gt;"control"),H902,0)</f>
        <v>1452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242</v>
      </c>
      <c r="C903" t="s">
        <v>88</v>
      </c>
      <c r="D903" t="s">
        <v>89</v>
      </c>
      <c r="E903" t="s">
        <v>134</v>
      </c>
      <c r="F903">
        <v>0</v>
      </c>
      <c r="G903">
        <f>MAX(I896,I895)</f>
        <v>1175997</v>
      </c>
      <c r="H903">
        <f>0</f>
        <v>1527</v>
      </c>
      <c r="I903">
        <f>G903+H903</f>
        <v>1177524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243</v>
      </c>
      <c r="C904" t="s">
        <v>92</v>
      </c>
      <c r="D904" t="s">
        <v>83</v>
      </c>
      <c r="E904" t="s">
        <v>134</v>
      </c>
      <c r="F904">
        <v>2560</v>
      </c>
      <c r="G904">
        <f>MAX(I903,I901)</f>
        <v>1177599</v>
      </c>
      <c r="H904">
        <f>CEILING((dram_access_latency+F904/dram_bandwidth)*frequency,1)</f>
        <v>140</v>
      </c>
      <c r="I904">
        <f>G904+H904</f>
        <v>1177739</v>
      </c>
      <c r="J904">
        <f>IF(AND(D904&lt;&gt;"dram",D904&lt;&gt;"control"),H904,0)</f>
        <v>0</v>
      </c>
      <c r="K904">
        <f>IF(D904="dram",H904,0)</f>
        <v>140</v>
      </c>
      <c r="L904">
        <v>0</v>
      </c>
      <c r="M904">
        <v>2560</v>
      </c>
    </row>
    <row r="905" spans="1:13">
      <c r="A905">
        <v>903</v>
      </c>
      <c r="B905" t="s">
        <v>238</v>
      </c>
      <c r="C905" t="s">
        <v>82</v>
      </c>
      <c r="D905" t="s">
        <v>83</v>
      </c>
      <c r="E905" t="s">
        <v>135</v>
      </c>
      <c r="F905">
        <v>61440</v>
      </c>
      <c r="G905">
        <f>MAX(I903,I904)</f>
        <v>1177739</v>
      </c>
      <c r="H905">
        <f>CEILING((dram_access_latency+F905/dram_bandwidth)*frequency,1)</f>
        <v>1060</v>
      </c>
      <c r="I905">
        <f>G905+H905</f>
        <v>1178799</v>
      </c>
      <c r="J905">
        <f>IF(AND(D905&lt;&gt;"dram",D905&lt;&gt;"control"),H905,0)</f>
        <v>0</v>
      </c>
      <c r="K905">
        <f>IF(D905="dram",H905,0)</f>
        <v>1060</v>
      </c>
      <c r="L905">
        <v>61440</v>
      </c>
      <c r="M905">
        <v>0</v>
      </c>
    </row>
    <row r="906" spans="1:13">
      <c r="A906">
        <v>904</v>
      </c>
      <c r="B906" t="s">
        <v>239</v>
      </c>
      <c r="C906" t="s">
        <v>82</v>
      </c>
      <c r="D906" t="s">
        <v>83</v>
      </c>
      <c r="E906" t="s">
        <v>135</v>
      </c>
      <c r="F906">
        <v>1280</v>
      </c>
      <c r="G906">
        <f>MAX(I903,I905)</f>
        <v>1178799</v>
      </c>
      <c r="H906">
        <f>CEILING((dram_access_latency+F906/dram_bandwidth)*frequency,1)</f>
        <v>120</v>
      </c>
      <c r="I906">
        <f>G906+H906</f>
        <v>1178919</v>
      </c>
      <c r="J906">
        <f>IF(AND(D906&lt;&gt;"dram",D906&lt;&gt;"control"),H906,0)</f>
        <v>0</v>
      </c>
      <c r="K906">
        <f>IF(D906="dram",H906,0)</f>
        <v>120</v>
      </c>
      <c r="L906">
        <v>1280</v>
      </c>
      <c r="M906">
        <v>0</v>
      </c>
    </row>
    <row r="907" spans="1:13">
      <c r="A907">
        <v>905</v>
      </c>
      <c r="B907" t="s">
        <v>240</v>
      </c>
      <c r="C907" t="s">
        <v>82</v>
      </c>
      <c r="D907" t="s">
        <v>83</v>
      </c>
      <c r="E907" t="s">
        <v>135</v>
      </c>
      <c r="F907">
        <v>384</v>
      </c>
      <c r="G907">
        <f>MAX(I903,I906)</f>
        <v>1178919</v>
      </c>
      <c r="H907">
        <f>CEILING((dram_access_latency+F907/dram_bandwidth)*frequency,1)</f>
        <v>106</v>
      </c>
      <c r="I907">
        <f>G907+H907</f>
        <v>1179025</v>
      </c>
      <c r="J907">
        <f>IF(AND(D907&lt;&gt;"dram",D907&lt;&gt;"control"),H907,0)</f>
        <v>0</v>
      </c>
      <c r="K907">
        <f>IF(D907="dram",H907,0)</f>
        <v>106</v>
      </c>
      <c r="L907">
        <v>384</v>
      </c>
      <c r="M907">
        <v>0</v>
      </c>
    </row>
    <row r="908" spans="1:13">
      <c r="A908">
        <v>906</v>
      </c>
      <c r="B908" t="s">
        <v>241</v>
      </c>
      <c r="C908" t="s">
        <v>82</v>
      </c>
      <c r="D908" t="s">
        <v>83</v>
      </c>
      <c r="E908" t="s">
        <v>135</v>
      </c>
      <c r="F908">
        <v>8</v>
      </c>
      <c r="G908">
        <f>MAX(I903,I907)</f>
        <v>1179025</v>
      </c>
      <c r="H908">
        <f>CEILING((dram_access_latency+F908/dram_bandwidth)*frequency,1)</f>
        <v>101</v>
      </c>
      <c r="I908">
        <f>G908+H908</f>
        <v>1179126</v>
      </c>
      <c r="J908">
        <f>IF(AND(D908&lt;&gt;"dram",D908&lt;&gt;"control"),H908,0)</f>
        <v>0</v>
      </c>
      <c r="K908">
        <f>IF(D908="dram",H908,0)</f>
        <v>101</v>
      </c>
      <c r="L908">
        <v>8</v>
      </c>
      <c r="M908">
        <v>0</v>
      </c>
    </row>
    <row r="909" spans="1:13">
      <c r="A909">
        <v>907</v>
      </c>
      <c r="B909" t="s">
        <v>37</v>
      </c>
      <c r="C909" t="s">
        <v>90</v>
      </c>
      <c r="D909" t="s">
        <v>108</v>
      </c>
      <c r="E909" t="s">
        <v>135</v>
      </c>
      <c r="F909">
        <v>0</v>
      </c>
      <c r="G909">
        <f>MAX(I902,I902,I724,I905,I906,I907,I908,I904)</f>
        <v>1179126</v>
      </c>
      <c r="H909">
        <f>'Operations'!I14</f>
        <v>1452</v>
      </c>
      <c r="I909">
        <f>G909+H909</f>
        <v>1180578</v>
      </c>
      <c r="J909">
        <f>IF(AND(D909&lt;&gt;"dram",D909&lt;&gt;"control"),H909,0)</f>
        <v>1452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242</v>
      </c>
      <c r="C910" t="s">
        <v>88</v>
      </c>
      <c r="D910" t="s">
        <v>89</v>
      </c>
      <c r="E910" t="s">
        <v>135</v>
      </c>
      <c r="F910">
        <v>0</v>
      </c>
      <c r="G910">
        <f>MAX(I903,I902)</f>
        <v>1177524</v>
      </c>
      <c r="H910">
        <f>0</f>
        <v>1527</v>
      </c>
      <c r="I910">
        <f>G910+H910</f>
        <v>1179051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243</v>
      </c>
      <c r="C911" t="s">
        <v>92</v>
      </c>
      <c r="D911" t="s">
        <v>83</v>
      </c>
      <c r="E911" t="s">
        <v>135</v>
      </c>
      <c r="F911">
        <v>2560</v>
      </c>
      <c r="G911">
        <f>MAX(I910,I908)</f>
        <v>1179126</v>
      </c>
      <c r="H911">
        <f>CEILING((dram_access_latency+F911/dram_bandwidth)*frequency,1)</f>
        <v>140</v>
      </c>
      <c r="I911">
        <f>G911+H911</f>
        <v>1179266</v>
      </c>
      <c r="J911">
        <f>IF(AND(D911&lt;&gt;"dram",D911&lt;&gt;"control"),H911,0)</f>
        <v>0</v>
      </c>
      <c r="K911">
        <f>IF(D911="dram",H911,0)</f>
        <v>140</v>
      </c>
      <c r="L911">
        <v>0</v>
      </c>
      <c r="M911">
        <v>2560</v>
      </c>
    </row>
    <row r="912" spans="1:13">
      <c r="A912">
        <v>910</v>
      </c>
      <c r="B912" t="s">
        <v>238</v>
      </c>
      <c r="C912" t="s">
        <v>82</v>
      </c>
      <c r="D912" t="s">
        <v>83</v>
      </c>
      <c r="E912" t="s">
        <v>136</v>
      </c>
      <c r="F912">
        <v>61440</v>
      </c>
      <c r="G912">
        <f>MAX(I910,I911)</f>
        <v>1179266</v>
      </c>
      <c r="H912">
        <f>CEILING((dram_access_latency+F912/dram_bandwidth)*frequency,1)</f>
        <v>1060</v>
      </c>
      <c r="I912">
        <f>G912+H912</f>
        <v>1180326</v>
      </c>
      <c r="J912">
        <f>IF(AND(D912&lt;&gt;"dram",D912&lt;&gt;"control"),H912,0)</f>
        <v>0</v>
      </c>
      <c r="K912">
        <f>IF(D912="dram",H912,0)</f>
        <v>1060</v>
      </c>
      <c r="L912">
        <v>61440</v>
      </c>
      <c r="M912">
        <v>0</v>
      </c>
    </row>
    <row r="913" spans="1:13">
      <c r="A913">
        <v>911</v>
      </c>
      <c r="B913" t="s">
        <v>239</v>
      </c>
      <c r="C913" t="s">
        <v>82</v>
      </c>
      <c r="D913" t="s">
        <v>83</v>
      </c>
      <c r="E913" t="s">
        <v>136</v>
      </c>
      <c r="F913">
        <v>1280</v>
      </c>
      <c r="G913">
        <f>MAX(I910,I912)</f>
        <v>1180326</v>
      </c>
      <c r="H913">
        <f>CEILING((dram_access_latency+F913/dram_bandwidth)*frequency,1)</f>
        <v>120</v>
      </c>
      <c r="I913">
        <f>G913+H913</f>
        <v>1180446</v>
      </c>
      <c r="J913">
        <f>IF(AND(D913&lt;&gt;"dram",D913&lt;&gt;"control"),H913,0)</f>
        <v>0</v>
      </c>
      <c r="K913">
        <f>IF(D913="dram",H913,0)</f>
        <v>120</v>
      </c>
      <c r="L913">
        <v>1280</v>
      </c>
      <c r="M913">
        <v>0</v>
      </c>
    </row>
    <row r="914" spans="1:13">
      <c r="A914">
        <v>912</v>
      </c>
      <c r="B914" t="s">
        <v>240</v>
      </c>
      <c r="C914" t="s">
        <v>82</v>
      </c>
      <c r="D914" t="s">
        <v>83</v>
      </c>
      <c r="E914" t="s">
        <v>136</v>
      </c>
      <c r="F914">
        <v>384</v>
      </c>
      <c r="G914">
        <f>MAX(I910,I913)</f>
        <v>1180446</v>
      </c>
      <c r="H914">
        <f>CEILING((dram_access_latency+F914/dram_bandwidth)*frequency,1)</f>
        <v>106</v>
      </c>
      <c r="I914">
        <f>G914+H914</f>
        <v>1180552</v>
      </c>
      <c r="J914">
        <f>IF(AND(D914&lt;&gt;"dram",D914&lt;&gt;"control"),H914,0)</f>
        <v>0</v>
      </c>
      <c r="K914">
        <f>IF(D914="dram",H914,0)</f>
        <v>106</v>
      </c>
      <c r="L914">
        <v>384</v>
      </c>
      <c r="M914">
        <v>0</v>
      </c>
    </row>
    <row r="915" spans="1:13">
      <c r="A915">
        <v>913</v>
      </c>
      <c r="B915" t="s">
        <v>241</v>
      </c>
      <c r="C915" t="s">
        <v>82</v>
      </c>
      <c r="D915" t="s">
        <v>83</v>
      </c>
      <c r="E915" t="s">
        <v>136</v>
      </c>
      <c r="F915">
        <v>8</v>
      </c>
      <c r="G915">
        <f>MAX(I910,I914)</f>
        <v>1180552</v>
      </c>
      <c r="H915">
        <f>CEILING((dram_access_latency+F915/dram_bandwidth)*frequency,1)</f>
        <v>101</v>
      </c>
      <c r="I915">
        <f>G915+H915</f>
        <v>1180653</v>
      </c>
      <c r="J915">
        <f>IF(AND(D915&lt;&gt;"dram",D915&lt;&gt;"control"),H915,0)</f>
        <v>0</v>
      </c>
      <c r="K915">
        <f>IF(D915="dram",H915,0)</f>
        <v>101</v>
      </c>
      <c r="L915">
        <v>8</v>
      </c>
      <c r="M915">
        <v>0</v>
      </c>
    </row>
    <row r="916" spans="1:13">
      <c r="A916">
        <v>914</v>
      </c>
      <c r="B916" t="s">
        <v>37</v>
      </c>
      <c r="C916" t="s">
        <v>90</v>
      </c>
      <c r="D916" t="s">
        <v>108</v>
      </c>
      <c r="E916" t="s">
        <v>136</v>
      </c>
      <c r="F916">
        <v>0</v>
      </c>
      <c r="G916">
        <f>MAX(I909,I909,I724,I912,I913,I914,I915,I911)</f>
        <v>1180653</v>
      </c>
      <c r="H916">
        <f>'Operations'!I14</f>
        <v>1452</v>
      </c>
      <c r="I916">
        <f>G916+H916</f>
        <v>1182105</v>
      </c>
      <c r="J916">
        <f>IF(AND(D916&lt;&gt;"dram",D916&lt;&gt;"control"),H916,0)</f>
        <v>1452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242</v>
      </c>
      <c r="C917" t="s">
        <v>88</v>
      </c>
      <c r="D917" t="s">
        <v>89</v>
      </c>
      <c r="E917" t="s">
        <v>136</v>
      </c>
      <c r="F917">
        <v>0</v>
      </c>
      <c r="G917">
        <f>MAX(I910,I909)</f>
        <v>1179051</v>
      </c>
      <c r="H917">
        <f>0</f>
        <v>1527</v>
      </c>
      <c r="I917">
        <f>G917+H917</f>
        <v>1180578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243</v>
      </c>
      <c r="C918" t="s">
        <v>92</v>
      </c>
      <c r="D918" t="s">
        <v>83</v>
      </c>
      <c r="E918" t="s">
        <v>136</v>
      </c>
      <c r="F918">
        <v>2560</v>
      </c>
      <c r="G918">
        <f>MAX(I917,I915)</f>
        <v>1180653</v>
      </c>
      <c r="H918">
        <f>CEILING((dram_access_latency+F918/dram_bandwidth)*frequency,1)</f>
        <v>140</v>
      </c>
      <c r="I918">
        <f>G918+H918</f>
        <v>1180793</v>
      </c>
      <c r="J918">
        <f>IF(AND(D918&lt;&gt;"dram",D918&lt;&gt;"control"),H918,0)</f>
        <v>0</v>
      </c>
      <c r="K918">
        <f>IF(D918="dram",H918,0)</f>
        <v>140</v>
      </c>
      <c r="L918">
        <v>0</v>
      </c>
      <c r="M918">
        <v>2560</v>
      </c>
    </row>
    <row r="919" spans="1:13">
      <c r="A919">
        <v>917</v>
      </c>
      <c r="B919" t="s">
        <v>238</v>
      </c>
      <c r="C919" t="s">
        <v>82</v>
      </c>
      <c r="D919" t="s">
        <v>83</v>
      </c>
      <c r="E919" t="s">
        <v>137</v>
      </c>
      <c r="F919">
        <v>61440</v>
      </c>
      <c r="G919">
        <f>MAX(I917,I918)</f>
        <v>1180793</v>
      </c>
      <c r="H919">
        <f>CEILING((dram_access_latency+F919/dram_bandwidth)*frequency,1)</f>
        <v>1060</v>
      </c>
      <c r="I919">
        <f>G919+H919</f>
        <v>1181853</v>
      </c>
      <c r="J919">
        <f>IF(AND(D919&lt;&gt;"dram",D919&lt;&gt;"control"),H919,0)</f>
        <v>0</v>
      </c>
      <c r="K919">
        <f>IF(D919="dram",H919,0)</f>
        <v>1060</v>
      </c>
      <c r="L919">
        <v>61440</v>
      </c>
      <c r="M919">
        <v>0</v>
      </c>
    </row>
    <row r="920" spans="1:13">
      <c r="A920">
        <v>918</v>
      </c>
      <c r="B920" t="s">
        <v>239</v>
      </c>
      <c r="C920" t="s">
        <v>82</v>
      </c>
      <c r="D920" t="s">
        <v>83</v>
      </c>
      <c r="E920" t="s">
        <v>137</v>
      </c>
      <c r="F920">
        <v>1280</v>
      </c>
      <c r="G920">
        <f>MAX(I917,I919)</f>
        <v>1181853</v>
      </c>
      <c r="H920">
        <f>CEILING((dram_access_latency+F920/dram_bandwidth)*frequency,1)</f>
        <v>120</v>
      </c>
      <c r="I920">
        <f>G920+H920</f>
        <v>1181973</v>
      </c>
      <c r="J920">
        <f>IF(AND(D920&lt;&gt;"dram",D920&lt;&gt;"control"),H920,0)</f>
        <v>0</v>
      </c>
      <c r="K920">
        <f>IF(D920="dram",H920,0)</f>
        <v>120</v>
      </c>
      <c r="L920">
        <v>1280</v>
      </c>
      <c r="M920">
        <v>0</v>
      </c>
    </row>
    <row r="921" spans="1:13">
      <c r="A921">
        <v>919</v>
      </c>
      <c r="B921" t="s">
        <v>240</v>
      </c>
      <c r="C921" t="s">
        <v>82</v>
      </c>
      <c r="D921" t="s">
        <v>83</v>
      </c>
      <c r="E921" t="s">
        <v>137</v>
      </c>
      <c r="F921">
        <v>384</v>
      </c>
      <c r="G921">
        <f>MAX(I917,I920)</f>
        <v>1181973</v>
      </c>
      <c r="H921">
        <f>CEILING((dram_access_latency+F921/dram_bandwidth)*frequency,1)</f>
        <v>106</v>
      </c>
      <c r="I921">
        <f>G921+H921</f>
        <v>1182079</v>
      </c>
      <c r="J921">
        <f>IF(AND(D921&lt;&gt;"dram",D921&lt;&gt;"control"),H921,0)</f>
        <v>0</v>
      </c>
      <c r="K921">
        <f>IF(D921="dram",H921,0)</f>
        <v>106</v>
      </c>
      <c r="L921">
        <v>384</v>
      </c>
      <c r="M921">
        <v>0</v>
      </c>
    </row>
    <row r="922" spans="1:13">
      <c r="A922">
        <v>920</v>
      </c>
      <c r="B922" t="s">
        <v>241</v>
      </c>
      <c r="C922" t="s">
        <v>82</v>
      </c>
      <c r="D922" t="s">
        <v>83</v>
      </c>
      <c r="E922" t="s">
        <v>137</v>
      </c>
      <c r="F922">
        <v>8</v>
      </c>
      <c r="G922">
        <f>MAX(I917,I921)</f>
        <v>1182079</v>
      </c>
      <c r="H922">
        <f>CEILING((dram_access_latency+F922/dram_bandwidth)*frequency,1)</f>
        <v>101</v>
      </c>
      <c r="I922">
        <f>G922+H922</f>
        <v>1182180</v>
      </c>
      <c r="J922">
        <f>IF(AND(D922&lt;&gt;"dram",D922&lt;&gt;"control"),H922,0)</f>
        <v>0</v>
      </c>
      <c r="K922">
        <f>IF(D922="dram",H922,0)</f>
        <v>101</v>
      </c>
      <c r="L922">
        <v>8</v>
      </c>
      <c r="M922">
        <v>0</v>
      </c>
    </row>
    <row r="923" spans="1:13">
      <c r="A923">
        <v>921</v>
      </c>
      <c r="B923" t="s">
        <v>37</v>
      </c>
      <c r="C923" t="s">
        <v>90</v>
      </c>
      <c r="D923" t="s">
        <v>108</v>
      </c>
      <c r="E923" t="s">
        <v>137</v>
      </c>
      <c r="F923">
        <v>0</v>
      </c>
      <c r="G923">
        <f>MAX(I916,I916,I724,I919,I920,I921,I922,I918)</f>
        <v>1182180</v>
      </c>
      <c r="H923">
        <f>'Operations'!I14</f>
        <v>1452</v>
      </c>
      <c r="I923">
        <f>G923+H923</f>
        <v>1183632</v>
      </c>
      <c r="J923">
        <f>IF(AND(D923&lt;&gt;"dram",D923&lt;&gt;"control"),H923,0)</f>
        <v>1452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242</v>
      </c>
      <c r="C924" t="s">
        <v>88</v>
      </c>
      <c r="D924" t="s">
        <v>89</v>
      </c>
      <c r="E924" t="s">
        <v>137</v>
      </c>
      <c r="F924">
        <v>0</v>
      </c>
      <c r="G924">
        <f>MAX(I917,I916)</f>
        <v>1180578</v>
      </c>
      <c r="H924">
        <f>0</f>
        <v>1527</v>
      </c>
      <c r="I924">
        <f>G924+H924</f>
        <v>1182105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243</v>
      </c>
      <c r="C925" t="s">
        <v>92</v>
      </c>
      <c r="D925" t="s">
        <v>83</v>
      </c>
      <c r="E925" t="s">
        <v>137</v>
      </c>
      <c r="F925">
        <v>2560</v>
      </c>
      <c r="G925">
        <f>MAX(I924,I922)</f>
        <v>1182180</v>
      </c>
      <c r="H925">
        <f>CEILING((dram_access_latency+F925/dram_bandwidth)*frequency,1)</f>
        <v>140</v>
      </c>
      <c r="I925">
        <f>G925+H925</f>
        <v>1182320</v>
      </c>
      <c r="J925">
        <f>IF(AND(D925&lt;&gt;"dram",D925&lt;&gt;"control"),H925,0)</f>
        <v>0</v>
      </c>
      <c r="K925">
        <f>IF(D925="dram",H925,0)</f>
        <v>140</v>
      </c>
      <c r="L925">
        <v>0</v>
      </c>
      <c r="M925">
        <v>2560</v>
      </c>
    </row>
    <row r="926" spans="1:13">
      <c r="A926">
        <v>924</v>
      </c>
      <c r="B926" t="s">
        <v>238</v>
      </c>
      <c r="C926" t="s">
        <v>82</v>
      </c>
      <c r="D926" t="s">
        <v>83</v>
      </c>
      <c r="E926" t="s">
        <v>138</v>
      </c>
      <c r="F926">
        <v>61440</v>
      </c>
      <c r="G926">
        <f>MAX(I924,I925)</f>
        <v>1182320</v>
      </c>
      <c r="H926">
        <f>CEILING((dram_access_latency+F926/dram_bandwidth)*frequency,1)</f>
        <v>1060</v>
      </c>
      <c r="I926">
        <f>G926+H926</f>
        <v>1183380</v>
      </c>
      <c r="J926">
        <f>IF(AND(D926&lt;&gt;"dram",D926&lt;&gt;"control"),H926,0)</f>
        <v>0</v>
      </c>
      <c r="K926">
        <f>IF(D926="dram",H926,0)</f>
        <v>1060</v>
      </c>
      <c r="L926">
        <v>61440</v>
      </c>
      <c r="M926">
        <v>0</v>
      </c>
    </row>
    <row r="927" spans="1:13">
      <c r="A927">
        <v>925</v>
      </c>
      <c r="B927" t="s">
        <v>239</v>
      </c>
      <c r="C927" t="s">
        <v>82</v>
      </c>
      <c r="D927" t="s">
        <v>83</v>
      </c>
      <c r="E927" t="s">
        <v>138</v>
      </c>
      <c r="F927">
        <v>1280</v>
      </c>
      <c r="G927">
        <f>MAX(I924,I926)</f>
        <v>1183380</v>
      </c>
      <c r="H927">
        <f>CEILING((dram_access_latency+F927/dram_bandwidth)*frequency,1)</f>
        <v>120</v>
      </c>
      <c r="I927">
        <f>G927+H927</f>
        <v>1183500</v>
      </c>
      <c r="J927">
        <f>IF(AND(D927&lt;&gt;"dram",D927&lt;&gt;"control"),H927,0)</f>
        <v>0</v>
      </c>
      <c r="K927">
        <f>IF(D927="dram",H927,0)</f>
        <v>120</v>
      </c>
      <c r="L927">
        <v>1280</v>
      </c>
      <c r="M927">
        <v>0</v>
      </c>
    </row>
    <row r="928" spans="1:13">
      <c r="A928">
        <v>926</v>
      </c>
      <c r="B928" t="s">
        <v>240</v>
      </c>
      <c r="C928" t="s">
        <v>82</v>
      </c>
      <c r="D928" t="s">
        <v>83</v>
      </c>
      <c r="E928" t="s">
        <v>138</v>
      </c>
      <c r="F928">
        <v>384</v>
      </c>
      <c r="G928">
        <f>MAX(I924,I927)</f>
        <v>1183500</v>
      </c>
      <c r="H928">
        <f>CEILING((dram_access_latency+F928/dram_bandwidth)*frequency,1)</f>
        <v>106</v>
      </c>
      <c r="I928">
        <f>G928+H928</f>
        <v>1183606</v>
      </c>
      <c r="J928">
        <f>IF(AND(D928&lt;&gt;"dram",D928&lt;&gt;"control"),H928,0)</f>
        <v>0</v>
      </c>
      <c r="K928">
        <f>IF(D928="dram",H928,0)</f>
        <v>106</v>
      </c>
      <c r="L928">
        <v>384</v>
      </c>
      <c r="M928">
        <v>0</v>
      </c>
    </row>
    <row r="929" spans="1:13">
      <c r="A929">
        <v>927</v>
      </c>
      <c r="B929" t="s">
        <v>241</v>
      </c>
      <c r="C929" t="s">
        <v>82</v>
      </c>
      <c r="D929" t="s">
        <v>83</v>
      </c>
      <c r="E929" t="s">
        <v>138</v>
      </c>
      <c r="F929">
        <v>8</v>
      </c>
      <c r="G929">
        <f>MAX(I924,I928)</f>
        <v>1183606</v>
      </c>
      <c r="H929">
        <f>CEILING((dram_access_latency+F929/dram_bandwidth)*frequency,1)</f>
        <v>101</v>
      </c>
      <c r="I929">
        <f>G929+H929</f>
        <v>1183707</v>
      </c>
      <c r="J929">
        <f>IF(AND(D929&lt;&gt;"dram",D929&lt;&gt;"control"),H929,0)</f>
        <v>0</v>
      </c>
      <c r="K929">
        <f>IF(D929="dram",H929,0)</f>
        <v>101</v>
      </c>
      <c r="L929">
        <v>8</v>
      </c>
      <c r="M929">
        <v>0</v>
      </c>
    </row>
    <row r="930" spans="1:13">
      <c r="A930">
        <v>928</v>
      </c>
      <c r="B930" t="s">
        <v>37</v>
      </c>
      <c r="C930" t="s">
        <v>90</v>
      </c>
      <c r="D930" t="s">
        <v>108</v>
      </c>
      <c r="E930" t="s">
        <v>138</v>
      </c>
      <c r="F930">
        <v>0</v>
      </c>
      <c r="G930">
        <f>MAX(I923,I923,I724,I926,I927,I928,I929,I925)</f>
        <v>1183707</v>
      </c>
      <c r="H930">
        <f>'Operations'!I14</f>
        <v>1452</v>
      </c>
      <c r="I930">
        <f>G930+H930</f>
        <v>1185159</v>
      </c>
      <c r="J930">
        <f>IF(AND(D930&lt;&gt;"dram",D930&lt;&gt;"control"),H930,0)</f>
        <v>1452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242</v>
      </c>
      <c r="C931" t="s">
        <v>88</v>
      </c>
      <c r="D931" t="s">
        <v>89</v>
      </c>
      <c r="E931" t="s">
        <v>138</v>
      </c>
      <c r="F931">
        <v>0</v>
      </c>
      <c r="G931">
        <f>MAX(I924,I923)</f>
        <v>1182105</v>
      </c>
      <c r="H931">
        <f>0</f>
        <v>1527</v>
      </c>
      <c r="I931">
        <f>G931+H931</f>
        <v>1183632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243</v>
      </c>
      <c r="C932" t="s">
        <v>92</v>
      </c>
      <c r="D932" t="s">
        <v>83</v>
      </c>
      <c r="E932" t="s">
        <v>138</v>
      </c>
      <c r="F932">
        <v>2560</v>
      </c>
      <c r="G932">
        <f>MAX(I931,I929)</f>
        <v>1183707</v>
      </c>
      <c r="H932">
        <f>CEILING((dram_access_latency+F932/dram_bandwidth)*frequency,1)</f>
        <v>140</v>
      </c>
      <c r="I932">
        <f>G932+H932</f>
        <v>1183847</v>
      </c>
      <c r="J932">
        <f>IF(AND(D932&lt;&gt;"dram",D932&lt;&gt;"control"),H932,0)</f>
        <v>0</v>
      </c>
      <c r="K932">
        <f>IF(D932="dram",H932,0)</f>
        <v>140</v>
      </c>
      <c r="L932">
        <v>0</v>
      </c>
      <c r="M932">
        <v>2560</v>
      </c>
    </row>
    <row r="933" spans="1:13">
      <c r="A933">
        <v>931</v>
      </c>
      <c r="B933" t="s">
        <v>238</v>
      </c>
      <c r="C933" t="s">
        <v>82</v>
      </c>
      <c r="D933" t="s">
        <v>83</v>
      </c>
      <c r="E933" t="s">
        <v>139</v>
      </c>
      <c r="F933">
        <v>61440</v>
      </c>
      <c r="G933">
        <f>MAX(I931,I932)</f>
        <v>1183847</v>
      </c>
      <c r="H933">
        <f>CEILING((dram_access_latency+F933/dram_bandwidth)*frequency,1)</f>
        <v>1060</v>
      </c>
      <c r="I933">
        <f>G933+H933</f>
        <v>1184907</v>
      </c>
      <c r="J933">
        <f>IF(AND(D933&lt;&gt;"dram",D933&lt;&gt;"control"),H933,0)</f>
        <v>0</v>
      </c>
      <c r="K933">
        <f>IF(D933="dram",H933,0)</f>
        <v>1060</v>
      </c>
      <c r="L933">
        <v>61440</v>
      </c>
      <c r="M933">
        <v>0</v>
      </c>
    </row>
    <row r="934" spans="1:13">
      <c r="A934">
        <v>932</v>
      </c>
      <c r="B934" t="s">
        <v>239</v>
      </c>
      <c r="C934" t="s">
        <v>82</v>
      </c>
      <c r="D934" t="s">
        <v>83</v>
      </c>
      <c r="E934" t="s">
        <v>139</v>
      </c>
      <c r="F934">
        <v>1280</v>
      </c>
      <c r="G934">
        <f>MAX(I931,I933)</f>
        <v>1184907</v>
      </c>
      <c r="H934">
        <f>CEILING((dram_access_latency+F934/dram_bandwidth)*frequency,1)</f>
        <v>120</v>
      </c>
      <c r="I934">
        <f>G934+H934</f>
        <v>1185027</v>
      </c>
      <c r="J934">
        <f>IF(AND(D934&lt;&gt;"dram",D934&lt;&gt;"control"),H934,0)</f>
        <v>0</v>
      </c>
      <c r="K934">
        <f>IF(D934="dram",H934,0)</f>
        <v>120</v>
      </c>
      <c r="L934">
        <v>1280</v>
      </c>
      <c r="M934">
        <v>0</v>
      </c>
    </row>
    <row r="935" spans="1:13">
      <c r="A935">
        <v>933</v>
      </c>
      <c r="B935" t="s">
        <v>240</v>
      </c>
      <c r="C935" t="s">
        <v>82</v>
      </c>
      <c r="D935" t="s">
        <v>83</v>
      </c>
      <c r="E935" t="s">
        <v>139</v>
      </c>
      <c r="F935">
        <v>384</v>
      </c>
      <c r="G935">
        <f>MAX(I931,I934)</f>
        <v>1185027</v>
      </c>
      <c r="H935">
        <f>CEILING((dram_access_latency+F935/dram_bandwidth)*frequency,1)</f>
        <v>106</v>
      </c>
      <c r="I935">
        <f>G935+H935</f>
        <v>1185133</v>
      </c>
      <c r="J935">
        <f>IF(AND(D935&lt;&gt;"dram",D935&lt;&gt;"control"),H935,0)</f>
        <v>0</v>
      </c>
      <c r="K935">
        <f>IF(D935="dram",H935,0)</f>
        <v>106</v>
      </c>
      <c r="L935">
        <v>384</v>
      </c>
      <c r="M935">
        <v>0</v>
      </c>
    </row>
    <row r="936" spans="1:13">
      <c r="A936">
        <v>934</v>
      </c>
      <c r="B936" t="s">
        <v>241</v>
      </c>
      <c r="C936" t="s">
        <v>82</v>
      </c>
      <c r="D936" t="s">
        <v>83</v>
      </c>
      <c r="E936" t="s">
        <v>139</v>
      </c>
      <c r="F936">
        <v>8</v>
      </c>
      <c r="G936">
        <f>MAX(I931,I935)</f>
        <v>1185133</v>
      </c>
      <c r="H936">
        <f>CEILING((dram_access_latency+F936/dram_bandwidth)*frequency,1)</f>
        <v>101</v>
      </c>
      <c r="I936">
        <f>G936+H936</f>
        <v>1185234</v>
      </c>
      <c r="J936">
        <f>IF(AND(D936&lt;&gt;"dram",D936&lt;&gt;"control"),H936,0)</f>
        <v>0</v>
      </c>
      <c r="K936">
        <f>IF(D936="dram",H936,0)</f>
        <v>101</v>
      </c>
      <c r="L936">
        <v>8</v>
      </c>
      <c r="M936">
        <v>0</v>
      </c>
    </row>
    <row r="937" spans="1:13">
      <c r="A937">
        <v>935</v>
      </c>
      <c r="B937" t="s">
        <v>37</v>
      </c>
      <c r="C937" t="s">
        <v>90</v>
      </c>
      <c r="D937" t="s">
        <v>108</v>
      </c>
      <c r="E937" t="s">
        <v>139</v>
      </c>
      <c r="F937">
        <v>0</v>
      </c>
      <c r="G937">
        <f>MAX(I930,I930,I724,I933,I934,I935,I936,I932)</f>
        <v>1185234</v>
      </c>
      <c r="H937">
        <f>'Operations'!I14</f>
        <v>1452</v>
      </c>
      <c r="I937">
        <f>G937+H937</f>
        <v>1186686</v>
      </c>
      <c r="J937">
        <f>IF(AND(D937&lt;&gt;"dram",D937&lt;&gt;"control"),H937,0)</f>
        <v>1452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242</v>
      </c>
      <c r="C938" t="s">
        <v>88</v>
      </c>
      <c r="D938" t="s">
        <v>89</v>
      </c>
      <c r="E938" t="s">
        <v>139</v>
      </c>
      <c r="F938">
        <v>0</v>
      </c>
      <c r="G938">
        <f>MAX(I931,I930)</f>
        <v>1183632</v>
      </c>
      <c r="H938">
        <f>0</f>
        <v>1527</v>
      </c>
      <c r="I938">
        <f>G938+H938</f>
        <v>1185159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243</v>
      </c>
      <c r="C939" t="s">
        <v>92</v>
      </c>
      <c r="D939" t="s">
        <v>83</v>
      </c>
      <c r="E939" t="s">
        <v>139</v>
      </c>
      <c r="F939">
        <v>2560</v>
      </c>
      <c r="G939">
        <f>MAX(I938,I936)</f>
        <v>1185234</v>
      </c>
      <c r="H939">
        <f>CEILING((dram_access_latency+F939/dram_bandwidth)*frequency,1)</f>
        <v>140</v>
      </c>
      <c r="I939">
        <f>G939+H939</f>
        <v>1185374</v>
      </c>
      <c r="J939">
        <f>IF(AND(D939&lt;&gt;"dram",D939&lt;&gt;"control"),H939,0)</f>
        <v>0</v>
      </c>
      <c r="K939">
        <f>IF(D939="dram",H939,0)</f>
        <v>140</v>
      </c>
      <c r="L939">
        <v>0</v>
      </c>
      <c r="M939">
        <v>2560</v>
      </c>
    </row>
    <row r="940" spans="1:13">
      <c r="A940">
        <v>938</v>
      </c>
      <c r="B940" t="s">
        <v>238</v>
      </c>
      <c r="C940" t="s">
        <v>82</v>
      </c>
      <c r="D940" t="s">
        <v>83</v>
      </c>
      <c r="E940" t="s">
        <v>140</v>
      </c>
      <c r="F940">
        <v>61440</v>
      </c>
      <c r="G940">
        <f>MAX(I938,I939)</f>
        <v>1185374</v>
      </c>
      <c r="H940">
        <f>CEILING((dram_access_latency+F940/dram_bandwidth)*frequency,1)</f>
        <v>1060</v>
      </c>
      <c r="I940">
        <f>G940+H940</f>
        <v>1186434</v>
      </c>
      <c r="J940">
        <f>IF(AND(D940&lt;&gt;"dram",D940&lt;&gt;"control"),H940,0)</f>
        <v>0</v>
      </c>
      <c r="K940">
        <f>IF(D940="dram",H940,0)</f>
        <v>1060</v>
      </c>
      <c r="L940">
        <v>61440</v>
      </c>
      <c r="M940">
        <v>0</v>
      </c>
    </row>
    <row r="941" spans="1:13">
      <c r="A941">
        <v>939</v>
      </c>
      <c r="B941" t="s">
        <v>239</v>
      </c>
      <c r="C941" t="s">
        <v>82</v>
      </c>
      <c r="D941" t="s">
        <v>83</v>
      </c>
      <c r="E941" t="s">
        <v>140</v>
      </c>
      <c r="F941">
        <v>1280</v>
      </c>
      <c r="G941">
        <f>MAX(I938,I940)</f>
        <v>1186434</v>
      </c>
      <c r="H941">
        <f>CEILING((dram_access_latency+F941/dram_bandwidth)*frequency,1)</f>
        <v>120</v>
      </c>
      <c r="I941">
        <f>G941+H941</f>
        <v>1186554</v>
      </c>
      <c r="J941">
        <f>IF(AND(D941&lt;&gt;"dram",D941&lt;&gt;"control"),H941,0)</f>
        <v>0</v>
      </c>
      <c r="K941">
        <f>IF(D941="dram",H941,0)</f>
        <v>120</v>
      </c>
      <c r="L941">
        <v>1280</v>
      </c>
      <c r="M941">
        <v>0</v>
      </c>
    </row>
    <row r="942" spans="1:13">
      <c r="A942">
        <v>940</v>
      </c>
      <c r="B942" t="s">
        <v>240</v>
      </c>
      <c r="C942" t="s">
        <v>82</v>
      </c>
      <c r="D942" t="s">
        <v>83</v>
      </c>
      <c r="E942" t="s">
        <v>140</v>
      </c>
      <c r="F942">
        <v>384</v>
      </c>
      <c r="G942">
        <f>MAX(I938,I941)</f>
        <v>1186554</v>
      </c>
      <c r="H942">
        <f>CEILING((dram_access_latency+F942/dram_bandwidth)*frequency,1)</f>
        <v>106</v>
      </c>
      <c r="I942">
        <f>G942+H942</f>
        <v>1186660</v>
      </c>
      <c r="J942">
        <f>IF(AND(D942&lt;&gt;"dram",D942&lt;&gt;"control"),H942,0)</f>
        <v>0</v>
      </c>
      <c r="K942">
        <f>IF(D942="dram",H942,0)</f>
        <v>106</v>
      </c>
      <c r="L942">
        <v>384</v>
      </c>
      <c r="M942">
        <v>0</v>
      </c>
    </row>
    <row r="943" spans="1:13">
      <c r="A943">
        <v>941</v>
      </c>
      <c r="B943" t="s">
        <v>241</v>
      </c>
      <c r="C943" t="s">
        <v>82</v>
      </c>
      <c r="D943" t="s">
        <v>83</v>
      </c>
      <c r="E943" t="s">
        <v>140</v>
      </c>
      <c r="F943">
        <v>8</v>
      </c>
      <c r="G943">
        <f>MAX(I938,I942)</f>
        <v>1186660</v>
      </c>
      <c r="H943">
        <f>CEILING((dram_access_latency+F943/dram_bandwidth)*frequency,1)</f>
        <v>101</v>
      </c>
      <c r="I943">
        <f>G943+H943</f>
        <v>1186761</v>
      </c>
      <c r="J943">
        <f>IF(AND(D943&lt;&gt;"dram",D943&lt;&gt;"control"),H943,0)</f>
        <v>0</v>
      </c>
      <c r="K943">
        <f>IF(D943="dram",H943,0)</f>
        <v>101</v>
      </c>
      <c r="L943">
        <v>8</v>
      </c>
      <c r="M943">
        <v>0</v>
      </c>
    </row>
    <row r="944" spans="1:13">
      <c r="A944">
        <v>942</v>
      </c>
      <c r="B944" t="s">
        <v>37</v>
      </c>
      <c r="C944" t="s">
        <v>90</v>
      </c>
      <c r="D944" t="s">
        <v>108</v>
      </c>
      <c r="E944" t="s">
        <v>140</v>
      </c>
      <c r="F944">
        <v>0</v>
      </c>
      <c r="G944">
        <f>MAX(I937,I937,I724,I940,I941,I942,I943,I939)</f>
        <v>1186761</v>
      </c>
      <c r="H944">
        <f>'Operations'!I14</f>
        <v>1452</v>
      </c>
      <c r="I944">
        <f>G944+H944</f>
        <v>1188213</v>
      </c>
      <c r="J944">
        <f>IF(AND(D944&lt;&gt;"dram",D944&lt;&gt;"control"),H944,0)</f>
        <v>1452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242</v>
      </c>
      <c r="C945" t="s">
        <v>88</v>
      </c>
      <c r="D945" t="s">
        <v>89</v>
      </c>
      <c r="E945" t="s">
        <v>140</v>
      </c>
      <c r="F945">
        <v>0</v>
      </c>
      <c r="G945">
        <f>MAX(I938,I937)</f>
        <v>1185159</v>
      </c>
      <c r="H945">
        <f>0</f>
        <v>1527</v>
      </c>
      <c r="I945">
        <f>G945+H945</f>
        <v>1186686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243</v>
      </c>
      <c r="C946" t="s">
        <v>92</v>
      </c>
      <c r="D946" t="s">
        <v>83</v>
      </c>
      <c r="E946" t="s">
        <v>140</v>
      </c>
      <c r="F946">
        <v>2560</v>
      </c>
      <c r="G946">
        <f>MAX(I945,I943)</f>
        <v>1186761</v>
      </c>
      <c r="H946">
        <f>CEILING((dram_access_latency+F946/dram_bandwidth)*frequency,1)</f>
        <v>140</v>
      </c>
      <c r="I946">
        <f>G946+H946</f>
        <v>1186901</v>
      </c>
      <c r="J946">
        <f>IF(AND(D946&lt;&gt;"dram",D946&lt;&gt;"control"),H946,0)</f>
        <v>0</v>
      </c>
      <c r="K946">
        <f>IF(D946="dram",H946,0)</f>
        <v>140</v>
      </c>
      <c r="L946">
        <v>0</v>
      </c>
      <c r="M946">
        <v>2560</v>
      </c>
    </row>
    <row r="947" spans="1:13">
      <c r="A947">
        <v>945</v>
      </c>
      <c r="B947" t="s">
        <v>244</v>
      </c>
      <c r="C947" t="s">
        <v>88</v>
      </c>
      <c r="D947" t="s">
        <v>89</v>
      </c>
      <c r="E947" t="s">
        <v>84</v>
      </c>
      <c r="F947">
        <v>0</v>
      </c>
      <c r="G947">
        <f>MAX(I945,I944)</f>
        <v>1186686</v>
      </c>
      <c r="H947">
        <f>0</f>
        <v>1527</v>
      </c>
      <c r="I947">
        <f>G947+H947</f>
        <v>1188213</v>
      </c>
      <c r="J947">
        <f>IF(AND(D947&lt;&gt;"dram",D947&lt;&gt;"control"),H947,0)</f>
        <v>0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245</v>
      </c>
      <c r="C948" t="s">
        <v>92</v>
      </c>
      <c r="D948" t="s">
        <v>83</v>
      </c>
      <c r="E948" t="s">
        <v>84</v>
      </c>
      <c r="F948">
        <v>2560</v>
      </c>
      <c r="G948">
        <f>MAX(I947,I946)</f>
        <v>1188213</v>
      </c>
      <c r="H948">
        <f>CEILING((dram_access_latency+F948/dram_bandwidth)*frequency,1)</f>
        <v>140</v>
      </c>
      <c r="I948">
        <f>G948+H948</f>
        <v>1188353</v>
      </c>
      <c r="J948">
        <f>IF(AND(D948&lt;&gt;"dram",D948&lt;&gt;"control"),H948,0)</f>
        <v>0</v>
      </c>
      <c r="K948">
        <f>IF(D948="dram",H948,0)</f>
        <v>140</v>
      </c>
      <c r="L948">
        <v>0</v>
      </c>
      <c r="M948">
        <v>2560</v>
      </c>
    </row>
    <row r="949" spans="1:13">
      <c r="A949">
        <v>947</v>
      </c>
      <c r="B949" t="s">
        <v>246</v>
      </c>
      <c r="C949" t="s">
        <v>88</v>
      </c>
      <c r="D949" t="s">
        <v>89</v>
      </c>
      <c r="E949" t="s">
        <v>84</v>
      </c>
      <c r="F949">
        <v>0</v>
      </c>
      <c r="G949">
        <f>MAX(I947,I946)</f>
        <v>1188213</v>
      </c>
      <c r="H949">
        <f>0</f>
        <v>0</v>
      </c>
      <c r="I949">
        <f>G949+H949</f>
        <v>1188213</v>
      </c>
      <c r="J949">
        <f>IF(AND(D949&lt;&gt;"dram",D949&lt;&gt;"control"),H949,0)</f>
        <v>0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247</v>
      </c>
      <c r="C950" t="s">
        <v>88</v>
      </c>
      <c r="D950" t="s">
        <v>89</v>
      </c>
      <c r="E950" t="s">
        <v>84</v>
      </c>
      <c r="F950">
        <v>0</v>
      </c>
      <c r="G950">
        <f>MAX(I949,I948)</f>
        <v>1188213</v>
      </c>
      <c r="H950">
        <f>0</f>
        <v>140</v>
      </c>
      <c r="I950">
        <f>G950+H950</f>
        <v>1188353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248</v>
      </c>
      <c r="C951" t="s">
        <v>82</v>
      </c>
      <c r="D951" t="s">
        <v>83</v>
      </c>
      <c r="E951" t="s">
        <v>84</v>
      </c>
      <c r="F951">
        <v>20480</v>
      </c>
      <c r="G951">
        <f>MAX(I950,I948)</f>
        <v>1188353</v>
      </c>
      <c r="H951">
        <f>CEILING((dram_access_latency+F951/dram_bandwidth)*frequency,1)</f>
        <v>420</v>
      </c>
      <c r="I951">
        <f>G951+H951</f>
        <v>1188773</v>
      </c>
      <c r="J951">
        <f>IF(AND(D951&lt;&gt;"dram",D951&lt;&gt;"control"),H951,0)</f>
        <v>0</v>
      </c>
      <c r="K951">
        <f>IF(D951="dram",H951,0)</f>
        <v>420</v>
      </c>
      <c r="L951">
        <v>20480</v>
      </c>
      <c r="M951">
        <v>0</v>
      </c>
    </row>
    <row r="952" spans="1:13">
      <c r="A952">
        <v>950</v>
      </c>
      <c r="B952" t="s">
        <v>249</v>
      </c>
      <c r="C952" t="s">
        <v>82</v>
      </c>
      <c r="D952" t="s">
        <v>83</v>
      </c>
      <c r="E952" t="s">
        <v>86</v>
      </c>
      <c r="F952">
        <v>20480</v>
      </c>
      <c r="G952">
        <f>MAX(I950,I951)</f>
        <v>1188773</v>
      </c>
      <c r="H952">
        <f>CEILING((dram_access_latency+F952/dram_bandwidth)*frequency,1)</f>
        <v>420</v>
      </c>
      <c r="I952">
        <f>G952+H952</f>
        <v>1189193</v>
      </c>
      <c r="J952">
        <f>IF(AND(D952&lt;&gt;"dram",D952&lt;&gt;"control"),H952,0)</f>
        <v>0</v>
      </c>
      <c r="K952">
        <f>IF(D952="dram",H952,0)</f>
        <v>420</v>
      </c>
      <c r="L952">
        <v>20480</v>
      </c>
      <c r="M952">
        <v>0</v>
      </c>
    </row>
    <row r="953" spans="1:13">
      <c r="A953">
        <v>951</v>
      </c>
      <c r="B953" t="s">
        <v>250</v>
      </c>
      <c r="C953" t="s">
        <v>88</v>
      </c>
      <c r="D953" t="s">
        <v>89</v>
      </c>
      <c r="E953" t="s">
        <v>86</v>
      </c>
      <c r="F953">
        <v>0</v>
      </c>
      <c r="G953">
        <f>MAX(I950,I951)</f>
        <v>1188353</v>
      </c>
      <c r="H953">
        <f>0</f>
        <v>420</v>
      </c>
      <c r="I953">
        <f>G953+H953</f>
        <v>1188773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41</v>
      </c>
      <c r="C954" t="s">
        <v>90</v>
      </c>
      <c r="D954" t="s">
        <v>17</v>
      </c>
      <c r="E954" t="s">
        <v>86</v>
      </c>
      <c r="F954">
        <v>0</v>
      </c>
      <c r="G954">
        <f>MAX(I953,I944)</f>
        <v>1188773</v>
      </c>
      <c r="H954">
        <f>'Operations'!I15</f>
        <v>2112</v>
      </c>
      <c r="I954">
        <f>G954+H954</f>
        <v>1190885</v>
      </c>
      <c r="J954">
        <f>IF(AND(D954&lt;&gt;"dram",D954&lt;&gt;"control"),H954,0)</f>
        <v>2112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251</v>
      </c>
      <c r="C955" t="s">
        <v>92</v>
      </c>
      <c r="D955" t="s">
        <v>83</v>
      </c>
      <c r="E955" t="s">
        <v>86</v>
      </c>
      <c r="F955">
        <v>320</v>
      </c>
      <c r="G955">
        <f>MAX(I954,I952)</f>
        <v>1190885</v>
      </c>
      <c r="H955">
        <f>CEILING((dram_access_latency+F955/dram_bandwidth)*frequency,1)</f>
        <v>105</v>
      </c>
      <c r="I955">
        <f>G955+H955</f>
        <v>1190990</v>
      </c>
      <c r="J955">
        <f>IF(AND(D955&lt;&gt;"dram",D955&lt;&gt;"control"),H955,0)</f>
        <v>0</v>
      </c>
      <c r="K955">
        <f>IF(D955="dram",H955,0)</f>
        <v>105</v>
      </c>
      <c r="L955">
        <v>0</v>
      </c>
      <c r="M955">
        <v>320</v>
      </c>
    </row>
    <row r="956" spans="1:13">
      <c r="A956">
        <v>954</v>
      </c>
      <c r="B956" t="s">
        <v>252</v>
      </c>
      <c r="C956" t="s">
        <v>92</v>
      </c>
      <c r="D956" t="s">
        <v>83</v>
      </c>
      <c r="E956" t="s">
        <v>86</v>
      </c>
      <c r="F956">
        <v>15360</v>
      </c>
      <c r="G956">
        <f>MAX(I954,I955)</f>
        <v>1190990</v>
      </c>
      <c r="H956">
        <f>CEILING((dram_access_latency+F956/dram_bandwidth)*frequency,1)</f>
        <v>340</v>
      </c>
      <c r="I956">
        <f>G956+H956</f>
        <v>1191330</v>
      </c>
      <c r="J956">
        <f>IF(AND(D956&lt;&gt;"dram",D956&lt;&gt;"control"),H956,0)</f>
        <v>0</v>
      </c>
      <c r="K956">
        <f>IF(D956="dram",H956,0)</f>
        <v>340</v>
      </c>
      <c r="L956">
        <v>0</v>
      </c>
      <c r="M956">
        <v>15360</v>
      </c>
    </row>
    <row r="957" spans="1:13">
      <c r="A957">
        <v>955</v>
      </c>
      <c r="B957" t="s">
        <v>249</v>
      </c>
      <c r="C957" t="s">
        <v>82</v>
      </c>
      <c r="D957" t="s">
        <v>83</v>
      </c>
      <c r="E957" t="s">
        <v>93</v>
      </c>
      <c r="F957">
        <v>20480</v>
      </c>
      <c r="G957">
        <f>MAX(I954,I956)</f>
        <v>1191330</v>
      </c>
      <c r="H957">
        <f>CEILING((dram_access_latency+F957/dram_bandwidth)*frequency,1)</f>
        <v>420</v>
      </c>
      <c r="I957">
        <f>G957+H957</f>
        <v>1191750</v>
      </c>
      <c r="J957">
        <f>IF(AND(D957&lt;&gt;"dram",D957&lt;&gt;"control"),H957,0)</f>
        <v>0</v>
      </c>
      <c r="K957">
        <f>IF(D957="dram",H957,0)</f>
        <v>420</v>
      </c>
      <c r="L957">
        <v>20480</v>
      </c>
      <c r="M957">
        <v>0</v>
      </c>
    </row>
    <row r="958" spans="1:13">
      <c r="A958">
        <v>956</v>
      </c>
      <c r="B958" t="s">
        <v>250</v>
      </c>
      <c r="C958" t="s">
        <v>88</v>
      </c>
      <c r="D958" t="s">
        <v>89</v>
      </c>
      <c r="E958" t="s">
        <v>93</v>
      </c>
      <c r="F958">
        <v>0</v>
      </c>
      <c r="G958">
        <f>MAX(I954,I952)</f>
        <v>1190885</v>
      </c>
      <c r="H958">
        <f>0</f>
        <v>0</v>
      </c>
      <c r="I958">
        <f>G958+H958</f>
        <v>1190885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41</v>
      </c>
      <c r="C959" t="s">
        <v>90</v>
      </c>
      <c r="D959" t="s">
        <v>17</v>
      </c>
      <c r="E959" t="s">
        <v>93</v>
      </c>
      <c r="F959">
        <v>0</v>
      </c>
      <c r="G959">
        <f>MAX(I958,I954)</f>
        <v>1190885</v>
      </c>
      <c r="H959">
        <f>'Operations'!I15</f>
        <v>2112</v>
      </c>
      <c r="I959">
        <f>G959+H959</f>
        <v>1192997</v>
      </c>
      <c r="J959">
        <f>IF(AND(D959&lt;&gt;"dram",D959&lt;&gt;"control"),H959,0)</f>
        <v>2112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251</v>
      </c>
      <c r="C960" t="s">
        <v>92</v>
      </c>
      <c r="D960" t="s">
        <v>83</v>
      </c>
      <c r="E960" t="s">
        <v>93</v>
      </c>
      <c r="F960">
        <v>320</v>
      </c>
      <c r="G960">
        <f>MAX(I959,I957)</f>
        <v>1192997</v>
      </c>
      <c r="H960">
        <f>CEILING((dram_access_latency+F960/dram_bandwidth)*frequency,1)</f>
        <v>105</v>
      </c>
      <c r="I960">
        <f>G960+H960</f>
        <v>1193102</v>
      </c>
      <c r="J960">
        <f>IF(AND(D960&lt;&gt;"dram",D960&lt;&gt;"control"),H960,0)</f>
        <v>0</v>
      </c>
      <c r="K960">
        <f>IF(D960="dram",H960,0)</f>
        <v>105</v>
      </c>
      <c r="L960">
        <v>0</v>
      </c>
      <c r="M960">
        <v>320</v>
      </c>
    </row>
    <row r="961" spans="1:13">
      <c r="A961">
        <v>959</v>
      </c>
      <c r="B961" t="s">
        <v>252</v>
      </c>
      <c r="C961" t="s">
        <v>92</v>
      </c>
      <c r="D961" t="s">
        <v>83</v>
      </c>
      <c r="E961" t="s">
        <v>93</v>
      </c>
      <c r="F961">
        <v>15360</v>
      </c>
      <c r="G961">
        <f>MAX(I959,I960)</f>
        <v>1193102</v>
      </c>
      <c r="H961">
        <f>CEILING((dram_access_latency+F961/dram_bandwidth)*frequency,1)</f>
        <v>340</v>
      </c>
      <c r="I961">
        <f>G961+H961</f>
        <v>1193442</v>
      </c>
      <c r="J961">
        <f>IF(AND(D961&lt;&gt;"dram",D961&lt;&gt;"control"),H961,0)</f>
        <v>0</v>
      </c>
      <c r="K961">
        <f>IF(D961="dram",H961,0)</f>
        <v>340</v>
      </c>
      <c r="L961">
        <v>0</v>
      </c>
      <c r="M961">
        <v>15360</v>
      </c>
    </row>
    <row r="962" spans="1:13">
      <c r="A962">
        <v>960</v>
      </c>
      <c r="B962" t="s">
        <v>249</v>
      </c>
      <c r="C962" t="s">
        <v>82</v>
      </c>
      <c r="D962" t="s">
        <v>83</v>
      </c>
      <c r="E962" t="s">
        <v>111</v>
      </c>
      <c r="F962">
        <v>20480</v>
      </c>
      <c r="G962">
        <f>MAX(I959,I961)</f>
        <v>1193442</v>
      </c>
      <c r="H962">
        <f>CEILING((dram_access_latency+F962/dram_bandwidth)*frequency,1)</f>
        <v>420</v>
      </c>
      <c r="I962">
        <f>G962+H962</f>
        <v>1193862</v>
      </c>
      <c r="J962">
        <f>IF(AND(D962&lt;&gt;"dram",D962&lt;&gt;"control"),H962,0)</f>
        <v>0</v>
      </c>
      <c r="K962">
        <f>IF(D962="dram",H962,0)</f>
        <v>420</v>
      </c>
      <c r="L962">
        <v>20480</v>
      </c>
      <c r="M962">
        <v>0</v>
      </c>
    </row>
    <row r="963" spans="1:13">
      <c r="A963">
        <v>961</v>
      </c>
      <c r="B963" t="s">
        <v>250</v>
      </c>
      <c r="C963" t="s">
        <v>88</v>
      </c>
      <c r="D963" t="s">
        <v>89</v>
      </c>
      <c r="E963" t="s">
        <v>111</v>
      </c>
      <c r="F963">
        <v>0</v>
      </c>
      <c r="G963">
        <f>MAX(I959,I957)</f>
        <v>1192997</v>
      </c>
      <c r="H963">
        <f>0</f>
        <v>0</v>
      </c>
      <c r="I963">
        <f>G963+H963</f>
        <v>1192997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253</v>
      </c>
      <c r="C964" t="s">
        <v>88</v>
      </c>
      <c r="D964" t="s">
        <v>89</v>
      </c>
      <c r="E964" t="s">
        <v>111</v>
      </c>
      <c r="F964">
        <v>0</v>
      </c>
      <c r="G964">
        <f>MAX(I963,I955)</f>
        <v>1192997</v>
      </c>
      <c r="H964">
        <f>0</f>
        <v>0</v>
      </c>
      <c r="I964">
        <f>G964+H964</f>
        <v>1192997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254</v>
      </c>
      <c r="C965" t="s">
        <v>88</v>
      </c>
      <c r="D965" t="s">
        <v>89</v>
      </c>
      <c r="E965" t="s">
        <v>111</v>
      </c>
      <c r="F965">
        <v>0</v>
      </c>
      <c r="G965">
        <f>MAX(I964,I956)</f>
        <v>1192997</v>
      </c>
      <c r="H965">
        <f>0</f>
        <v>0</v>
      </c>
      <c r="I965">
        <f>G965+H965</f>
        <v>1192997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41</v>
      </c>
      <c r="C966" t="s">
        <v>90</v>
      </c>
      <c r="D966" t="s">
        <v>17</v>
      </c>
      <c r="E966" t="s">
        <v>111</v>
      </c>
      <c r="F966">
        <v>0</v>
      </c>
      <c r="G966">
        <f>MAX(I965,I959)</f>
        <v>1192997</v>
      </c>
      <c r="H966">
        <f>'Operations'!I15</f>
        <v>2112</v>
      </c>
      <c r="I966">
        <f>G966+H966</f>
        <v>1195109</v>
      </c>
      <c r="J966">
        <f>IF(AND(D966&lt;&gt;"dram",D966&lt;&gt;"control"),H966,0)</f>
        <v>2112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251</v>
      </c>
      <c r="C967" t="s">
        <v>92</v>
      </c>
      <c r="D967" t="s">
        <v>83</v>
      </c>
      <c r="E967" t="s">
        <v>111</v>
      </c>
      <c r="F967">
        <v>320</v>
      </c>
      <c r="G967">
        <f>MAX(I966,I962)</f>
        <v>1195109</v>
      </c>
      <c r="H967">
        <f>CEILING((dram_access_latency+F967/dram_bandwidth)*frequency,1)</f>
        <v>105</v>
      </c>
      <c r="I967">
        <f>G967+H967</f>
        <v>1195214</v>
      </c>
      <c r="J967">
        <f>IF(AND(D967&lt;&gt;"dram",D967&lt;&gt;"control"),H967,0)</f>
        <v>0</v>
      </c>
      <c r="K967">
        <f>IF(D967="dram",H967,0)</f>
        <v>105</v>
      </c>
      <c r="L967">
        <v>0</v>
      </c>
      <c r="M967">
        <v>320</v>
      </c>
    </row>
    <row r="968" spans="1:13">
      <c r="A968">
        <v>966</v>
      </c>
      <c r="B968" t="s">
        <v>252</v>
      </c>
      <c r="C968" t="s">
        <v>92</v>
      </c>
      <c r="D968" t="s">
        <v>83</v>
      </c>
      <c r="E968" t="s">
        <v>111</v>
      </c>
      <c r="F968">
        <v>15360</v>
      </c>
      <c r="G968">
        <f>MAX(I966,I967)</f>
        <v>1195214</v>
      </c>
      <c r="H968">
        <f>CEILING((dram_access_latency+F968/dram_bandwidth)*frequency,1)</f>
        <v>340</v>
      </c>
      <c r="I968">
        <f>G968+H968</f>
        <v>1195554</v>
      </c>
      <c r="J968">
        <f>IF(AND(D968&lt;&gt;"dram",D968&lt;&gt;"control"),H968,0)</f>
        <v>0</v>
      </c>
      <c r="K968">
        <f>IF(D968="dram",H968,0)</f>
        <v>340</v>
      </c>
      <c r="L968">
        <v>0</v>
      </c>
      <c r="M968">
        <v>15360</v>
      </c>
    </row>
    <row r="969" spans="1:13">
      <c r="A969">
        <v>967</v>
      </c>
      <c r="B969" t="s">
        <v>250</v>
      </c>
      <c r="C969" t="s">
        <v>88</v>
      </c>
      <c r="D969" t="s">
        <v>89</v>
      </c>
      <c r="E969" t="s">
        <v>112</v>
      </c>
      <c r="F969">
        <v>0</v>
      </c>
      <c r="G969">
        <f>MAX(I966,I962)</f>
        <v>1195109</v>
      </c>
      <c r="H969">
        <f>0</f>
        <v>0</v>
      </c>
      <c r="I969">
        <f>G969+H969</f>
        <v>1195109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253</v>
      </c>
      <c r="C970" t="s">
        <v>88</v>
      </c>
      <c r="D970" t="s">
        <v>89</v>
      </c>
      <c r="E970" t="s">
        <v>112</v>
      </c>
      <c r="F970">
        <v>0</v>
      </c>
      <c r="G970">
        <f>MAX(I969,I960)</f>
        <v>1195109</v>
      </c>
      <c r="H970">
        <f>0</f>
        <v>0</v>
      </c>
      <c r="I970">
        <f>G970+H970</f>
        <v>1195109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254</v>
      </c>
      <c r="C971" t="s">
        <v>88</v>
      </c>
      <c r="D971" t="s">
        <v>89</v>
      </c>
      <c r="E971" t="s">
        <v>112</v>
      </c>
      <c r="F971">
        <v>0</v>
      </c>
      <c r="G971">
        <f>MAX(I970,I961)</f>
        <v>1195109</v>
      </c>
      <c r="H971">
        <f>0</f>
        <v>0</v>
      </c>
      <c r="I971">
        <f>G971+H971</f>
        <v>1195109</v>
      </c>
      <c r="J971">
        <f>IF(AND(D971&lt;&gt;"dram",D971&lt;&gt;"control"),H971,0)</f>
        <v>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41</v>
      </c>
      <c r="C972" t="s">
        <v>90</v>
      </c>
      <c r="D972" t="s">
        <v>17</v>
      </c>
      <c r="E972" t="s">
        <v>112</v>
      </c>
      <c r="F972">
        <v>0</v>
      </c>
      <c r="G972">
        <f>MAX(I971,I966)</f>
        <v>1195109</v>
      </c>
      <c r="H972">
        <f>'Operations'!I15</f>
        <v>2112</v>
      </c>
      <c r="I972">
        <f>G972+H972</f>
        <v>1197221</v>
      </c>
      <c r="J972">
        <f>IF(AND(D972&lt;&gt;"dram",D972&lt;&gt;"control"),H972,0)</f>
        <v>2112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251</v>
      </c>
      <c r="C973" t="s">
        <v>92</v>
      </c>
      <c r="D973" t="s">
        <v>83</v>
      </c>
      <c r="E973" t="s">
        <v>112</v>
      </c>
      <c r="F973">
        <v>320</v>
      </c>
      <c r="G973">
        <f>MAX(I972,I968)</f>
        <v>1197221</v>
      </c>
      <c r="H973">
        <f>CEILING((dram_access_latency+F973/dram_bandwidth)*frequency,1)</f>
        <v>105</v>
      </c>
      <c r="I973">
        <f>G973+H973</f>
        <v>1197326</v>
      </c>
      <c r="J973">
        <f>IF(AND(D973&lt;&gt;"dram",D973&lt;&gt;"control"),H973,0)</f>
        <v>0</v>
      </c>
      <c r="K973">
        <f>IF(D973="dram",H973,0)</f>
        <v>105</v>
      </c>
      <c r="L973">
        <v>0</v>
      </c>
      <c r="M973">
        <v>320</v>
      </c>
    </row>
    <row r="974" spans="1:13">
      <c r="A974">
        <v>972</v>
      </c>
      <c r="B974" t="s">
        <v>252</v>
      </c>
      <c r="C974" t="s">
        <v>92</v>
      </c>
      <c r="D974" t="s">
        <v>83</v>
      </c>
      <c r="E974" t="s">
        <v>112</v>
      </c>
      <c r="F974">
        <v>15360</v>
      </c>
      <c r="G974">
        <f>MAX(I972,I973)</f>
        <v>1197326</v>
      </c>
      <c r="H974">
        <f>CEILING((dram_access_latency+F974/dram_bandwidth)*frequency,1)</f>
        <v>340</v>
      </c>
      <c r="I974">
        <f>G974+H974</f>
        <v>1197666</v>
      </c>
      <c r="J974">
        <f>IF(AND(D974&lt;&gt;"dram",D974&lt;&gt;"control"),H974,0)</f>
        <v>0</v>
      </c>
      <c r="K974">
        <f>IF(D974="dram",H974,0)</f>
        <v>340</v>
      </c>
      <c r="L974">
        <v>0</v>
      </c>
      <c r="M974">
        <v>15360</v>
      </c>
    </row>
    <row r="975" spans="1:13">
      <c r="A975">
        <v>973</v>
      </c>
      <c r="B975" t="s">
        <v>255</v>
      </c>
      <c r="C975" t="s">
        <v>88</v>
      </c>
      <c r="D975" t="s">
        <v>89</v>
      </c>
      <c r="E975" t="s">
        <v>84</v>
      </c>
      <c r="F975">
        <v>0</v>
      </c>
      <c r="G975">
        <f>MAX(I972,I967)</f>
        <v>1197221</v>
      </c>
      <c r="H975">
        <f>0</f>
        <v>0</v>
      </c>
      <c r="I975">
        <f>G975+H975</f>
        <v>1197221</v>
      </c>
      <c r="J975">
        <f>IF(AND(D975&lt;&gt;"dram",D975&lt;&gt;"control"),H975,0)</f>
        <v>0</v>
      </c>
      <c r="K975">
        <f>IF(D975="dram",H975,0)</f>
        <v>0</v>
      </c>
      <c r="L975">
        <v>0</v>
      </c>
      <c r="M975">
        <v>0</v>
      </c>
    </row>
    <row r="976" spans="1:13">
      <c r="A976">
        <v>974</v>
      </c>
      <c r="B976" t="s">
        <v>256</v>
      </c>
      <c r="C976" t="s">
        <v>88</v>
      </c>
      <c r="D976" t="s">
        <v>89</v>
      </c>
      <c r="E976" t="s">
        <v>84</v>
      </c>
      <c r="F976">
        <v>0</v>
      </c>
      <c r="G976">
        <f>MAX(I975,I973)</f>
        <v>1197221</v>
      </c>
      <c r="H976">
        <f>0</f>
        <v>105</v>
      </c>
      <c r="I976">
        <f>G976+H976</f>
        <v>1197326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257</v>
      </c>
      <c r="C977" t="s">
        <v>88</v>
      </c>
      <c r="D977" t="s">
        <v>89</v>
      </c>
      <c r="E977" t="s">
        <v>84</v>
      </c>
      <c r="F977">
        <v>0</v>
      </c>
      <c r="G977">
        <f>MAX(I976,I968)</f>
        <v>1197326</v>
      </c>
      <c r="H977">
        <f>0</f>
        <v>0</v>
      </c>
      <c r="I977">
        <f>G977+H977</f>
        <v>1197326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258</v>
      </c>
      <c r="C978" t="s">
        <v>88</v>
      </c>
      <c r="D978" t="s">
        <v>89</v>
      </c>
      <c r="E978" t="s">
        <v>84</v>
      </c>
      <c r="F978">
        <v>0</v>
      </c>
      <c r="G978">
        <f>MAX(I977,I974)</f>
        <v>1197326</v>
      </c>
      <c r="H978">
        <f>0</f>
        <v>340</v>
      </c>
      <c r="I978">
        <f>G978+H978</f>
        <v>1197666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259</v>
      </c>
      <c r="C979" t="s">
        <v>82</v>
      </c>
      <c r="D979" t="s">
        <v>83</v>
      </c>
      <c r="E979" t="s">
        <v>84</v>
      </c>
      <c r="F979">
        <v>32</v>
      </c>
      <c r="G979">
        <f>MAX(I978,I974)</f>
        <v>1197666</v>
      </c>
      <c r="H979">
        <f>CEILING((dram_access_latency+F979/dram_bandwidth)*frequency,1)</f>
        <v>101</v>
      </c>
      <c r="I979">
        <f>G979+H979</f>
        <v>1197767</v>
      </c>
      <c r="J979">
        <f>IF(AND(D979&lt;&gt;"dram",D979&lt;&gt;"control"),H979,0)</f>
        <v>0</v>
      </c>
      <c r="K979">
        <f>IF(D979="dram",H979,0)</f>
        <v>101</v>
      </c>
      <c r="L979">
        <v>32</v>
      </c>
      <c r="M979">
        <v>0</v>
      </c>
    </row>
    <row r="980" spans="1:13">
      <c r="A980">
        <v>978</v>
      </c>
      <c r="B980" t="s">
        <v>260</v>
      </c>
      <c r="C980" t="s">
        <v>88</v>
      </c>
      <c r="D980" t="s">
        <v>89</v>
      </c>
      <c r="E980" t="s">
        <v>86</v>
      </c>
      <c r="F980">
        <v>0</v>
      </c>
      <c r="G980">
        <f>MAX(I978,I979)</f>
        <v>1197666</v>
      </c>
      <c r="H980">
        <f>0</f>
        <v>101</v>
      </c>
      <c r="I980">
        <f>G980+H980</f>
        <v>1197767</v>
      </c>
      <c r="J980">
        <f>IF(AND(D980&lt;&gt;"dram",D980&lt;&gt;"control"),H980,0)</f>
        <v>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43</v>
      </c>
      <c r="C981" t="s">
        <v>90</v>
      </c>
      <c r="D981" t="s">
        <v>17</v>
      </c>
      <c r="E981" t="s">
        <v>86</v>
      </c>
      <c r="F981">
        <v>0</v>
      </c>
      <c r="G981">
        <f>MAX(I980,I972)</f>
        <v>1197767</v>
      </c>
      <c r="H981">
        <f>'Operations'!I16</f>
        <v>72</v>
      </c>
      <c r="I981">
        <f>G981+H981</f>
        <v>1197839</v>
      </c>
      <c r="J981">
        <f>IF(AND(D981&lt;&gt;"dram",D981&lt;&gt;"control"),H981,0)</f>
        <v>72</v>
      </c>
      <c r="K981">
        <f>IF(D981="dram",H981,0)</f>
        <v>0</v>
      </c>
      <c r="L981">
        <v>0</v>
      </c>
      <c r="M981">
        <v>0</v>
      </c>
    </row>
    <row r="982" spans="1:13">
      <c r="A982">
        <v>980</v>
      </c>
      <c r="B982" t="s">
        <v>261</v>
      </c>
      <c r="C982" t="s">
        <v>92</v>
      </c>
      <c r="D982" t="s">
        <v>83</v>
      </c>
      <c r="E982" t="s">
        <v>86</v>
      </c>
      <c r="F982">
        <v>32</v>
      </c>
      <c r="G982">
        <f>MAX(I981,I979)</f>
        <v>1197839</v>
      </c>
      <c r="H982">
        <f>CEILING((dram_access_latency+F982/dram_bandwidth)*frequency,1)</f>
        <v>101</v>
      </c>
      <c r="I982">
        <f>G982+H982</f>
        <v>1197940</v>
      </c>
      <c r="J982">
        <f>IF(AND(D982&lt;&gt;"dram",D982&lt;&gt;"control"),H982,0)</f>
        <v>0</v>
      </c>
      <c r="K982">
        <f>IF(D982="dram",H982,0)</f>
        <v>101</v>
      </c>
      <c r="L982">
        <v>0</v>
      </c>
      <c r="M982">
        <v>32</v>
      </c>
    </row>
    <row r="983" spans="1:13">
      <c r="A983">
        <v>981</v>
      </c>
      <c r="B983" t="s">
        <v>262</v>
      </c>
      <c r="C983" t="s">
        <v>88</v>
      </c>
      <c r="D983" t="s">
        <v>89</v>
      </c>
      <c r="E983" t="s">
        <v>84</v>
      </c>
      <c r="F983">
        <v>0</v>
      </c>
      <c r="G983">
        <f>MAX(I981,I982)</f>
        <v>1197839</v>
      </c>
      <c r="H983">
        <f>0</f>
        <v>101</v>
      </c>
      <c r="I983">
        <f>G983+H983</f>
        <v>1197940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263</v>
      </c>
      <c r="C984" t="s">
        <v>82</v>
      </c>
      <c r="D984" t="s">
        <v>83</v>
      </c>
      <c r="E984" t="s">
        <v>84</v>
      </c>
      <c r="F984">
        <v>32</v>
      </c>
      <c r="G984">
        <f>MAX(I983,I982)</f>
        <v>1197940</v>
      </c>
      <c r="H984">
        <f>CEILING((dram_access_latency+F984/dram_bandwidth)*frequency,1)</f>
        <v>101</v>
      </c>
      <c r="I984">
        <f>G984+H984</f>
        <v>1198041</v>
      </c>
      <c r="J984">
        <f>IF(AND(D984&lt;&gt;"dram",D984&lt;&gt;"control"),H984,0)</f>
        <v>0</v>
      </c>
      <c r="K984">
        <f>IF(D984="dram",H984,0)</f>
        <v>101</v>
      </c>
      <c r="L984">
        <v>32</v>
      </c>
      <c r="M984">
        <v>0</v>
      </c>
    </row>
    <row r="985" spans="1:13">
      <c r="A985">
        <v>983</v>
      </c>
      <c r="B985" t="s">
        <v>263</v>
      </c>
      <c r="C985" t="s">
        <v>82</v>
      </c>
      <c r="D985" t="s">
        <v>83</v>
      </c>
      <c r="E985" t="s">
        <v>84</v>
      </c>
      <c r="F985">
        <v>32768</v>
      </c>
      <c r="G985">
        <f>MAX(I984,I984)</f>
        <v>1198041</v>
      </c>
      <c r="H985">
        <f>CEILING((dram_access_latency+F985/dram_bandwidth)*frequency,1)</f>
        <v>612</v>
      </c>
      <c r="I985">
        <f>G985+H985</f>
        <v>1198653</v>
      </c>
      <c r="J985">
        <f>IF(AND(D985&lt;&gt;"dram",D985&lt;&gt;"control"),H985,0)</f>
        <v>0</v>
      </c>
      <c r="K985">
        <f>IF(D985="dram",H985,0)</f>
        <v>612</v>
      </c>
      <c r="L985">
        <v>32768</v>
      </c>
      <c r="M985">
        <v>0</v>
      </c>
    </row>
    <row r="986" spans="1:13">
      <c r="A986">
        <v>984</v>
      </c>
      <c r="B986" t="s">
        <v>263</v>
      </c>
      <c r="C986" t="s">
        <v>92</v>
      </c>
      <c r="D986" t="s">
        <v>83</v>
      </c>
      <c r="E986" t="s">
        <v>84</v>
      </c>
      <c r="F986">
        <v>32768</v>
      </c>
      <c r="G986">
        <f>MAX(I985,I985)</f>
        <v>1198653</v>
      </c>
      <c r="H986">
        <f>CEILING((dram_access_latency+F986/dram_bandwidth)*frequency,1)</f>
        <v>612</v>
      </c>
      <c r="I986">
        <f>G986+H986</f>
        <v>1199265</v>
      </c>
      <c r="J986">
        <f>IF(AND(D986&lt;&gt;"dram",D986&lt;&gt;"control"),H986,0)</f>
        <v>0</v>
      </c>
      <c r="K986">
        <f>IF(D986="dram",H986,0)</f>
        <v>612</v>
      </c>
      <c r="L986">
        <v>0</v>
      </c>
      <c r="M986">
        <v>32768</v>
      </c>
    </row>
    <row r="987" spans="1:13">
      <c r="A987">
        <v>985</v>
      </c>
      <c r="B987" t="s">
        <v>264</v>
      </c>
      <c r="C987" t="s">
        <v>82</v>
      </c>
      <c r="D987" t="s">
        <v>83</v>
      </c>
      <c r="E987" t="s">
        <v>84</v>
      </c>
      <c r="F987">
        <v>131072</v>
      </c>
      <c r="G987">
        <f>MAX(I986,I986)</f>
        <v>1199265</v>
      </c>
      <c r="H987">
        <f>CEILING((dram_access_latency+F987/dram_bandwidth)*frequency,1)</f>
        <v>2148</v>
      </c>
      <c r="I987">
        <f>G987+H987</f>
        <v>1201413</v>
      </c>
      <c r="J987">
        <f>IF(AND(D987&lt;&gt;"dram",D987&lt;&gt;"control"),H987,0)</f>
        <v>0</v>
      </c>
      <c r="K987">
        <f>IF(D987="dram",H987,0)</f>
        <v>2148</v>
      </c>
      <c r="L987">
        <v>131072</v>
      </c>
      <c r="M987">
        <v>0</v>
      </c>
    </row>
    <row r="988" spans="1:13">
      <c r="A988">
        <v>986</v>
      </c>
      <c r="B988" t="s">
        <v>265</v>
      </c>
      <c r="C988" t="s">
        <v>82</v>
      </c>
      <c r="D988" t="s">
        <v>83</v>
      </c>
      <c r="E988" t="s">
        <v>86</v>
      </c>
      <c r="F988">
        <v>131072</v>
      </c>
      <c r="G988">
        <f>MAX(I986,I987)</f>
        <v>1201413</v>
      </c>
      <c r="H988">
        <f>CEILING((dram_access_latency+F988/dram_bandwidth)*frequency,1)</f>
        <v>2148</v>
      </c>
      <c r="I988">
        <f>G988+H988</f>
        <v>1203561</v>
      </c>
      <c r="J988">
        <f>IF(AND(D988&lt;&gt;"dram",D988&lt;&gt;"control"),H988,0)</f>
        <v>0</v>
      </c>
      <c r="K988">
        <f>IF(D988="dram",H988,0)</f>
        <v>2148</v>
      </c>
      <c r="L988">
        <v>131072</v>
      </c>
      <c r="M988">
        <v>0</v>
      </c>
    </row>
    <row r="989" spans="1:13">
      <c r="A989">
        <v>987</v>
      </c>
      <c r="B989" t="s">
        <v>266</v>
      </c>
      <c r="C989" t="s">
        <v>88</v>
      </c>
      <c r="D989" t="s">
        <v>89</v>
      </c>
      <c r="E989" t="s">
        <v>86</v>
      </c>
      <c r="F989">
        <v>0</v>
      </c>
      <c r="G989">
        <f>MAX(I986,I987)</f>
        <v>1199265</v>
      </c>
      <c r="H989">
        <f>0</f>
        <v>2148</v>
      </c>
      <c r="I989">
        <f>G989+H989</f>
        <v>1201413</v>
      </c>
      <c r="J989">
        <f>IF(AND(D989&lt;&gt;"dram",D989&lt;&gt;"control"),H989,0)</f>
        <v>0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45</v>
      </c>
      <c r="C990" t="s">
        <v>90</v>
      </c>
      <c r="D990" t="s">
        <v>17</v>
      </c>
      <c r="E990" t="s">
        <v>86</v>
      </c>
      <c r="F990">
        <v>0</v>
      </c>
      <c r="G990">
        <f>MAX(I989,I981)</f>
        <v>1201413</v>
      </c>
      <c r="H990">
        <f>'Operations'!I17</f>
        <v>2112</v>
      </c>
      <c r="I990">
        <f>G990+H990</f>
        <v>1203525</v>
      </c>
      <c r="J990">
        <f>IF(AND(D990&lt;&gt;"dram",D990&lt;&gt;"control"),H990,0)</f>
        <v>2112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267</v>
      </c>
      <c r="C991" t="s">
        <v>92</v>
      </c>
      <c r="D991" t="s">
        <v>83</v>
      </c>
      <c r="E991" t="s">
        <v>86</v>
      </c>
      <c r="F991">
        <v>1024</v>
      </c>
      <c r="G991">
        <f>MAX(I990,I988)</f>
        <v>1203561</v>
      </c>
      <c r="H991">
        <f>CEILING((dram_access_latency+F991/dram_bandwidth)*frequency,1)</f>
        <v>116</v>
      </c>
      <c r="I991">
        <f>G991+H991</f>
        <v>1203677</v>
      </c>
      <c r="J991">
        <f>IF(AND(D991&lt;&gt;"dram",D991&lt;&gt;"control"),H991,0)</f>
        <v>0</v>
      </c>
      <c r="K991">
        <f>IF(D991="dram",H991,0)</f>
        <v>116</v>
      </c>
      <c r="L991">
        <v>0</v>
      </c>
      <c r="M991">
        <v>1024</v>
      </c>
    </row>
    <row r="992" spans="1:13">
      <c r="A992">
        <v>990</v>
      </c>
      <c r="B992" t="s">
        <v>268</v>
      </c>
      <c r="C992" t="s">
        <v>92</v>
      </c>
      <c r="D992" t="s">
        <v>83</v>
      </c>
      <c r="E992" t="s">
        <v>86</v>
      </c>
      <c r="F992">
        <v>49152</v>
      </c>
      <c r="G992">
        <f>MAX(I990,I991)</f>
        <v>1203677</v>
      </c>
      <c r="H992">
        <f>CEILING((dram_access_latency+F992/dram_bandwidth)*frequency,1)</f>
        <v>868</v>
      </c>
      <c r="I992">
        <f>G992+H992</f>
        <v>1204545</v>
      </c>
      <c r="J992">
        <f>IF(AND(D992&lt;&gt;"dram",D992&lt;&gt;"control"),H992,0)</f>
        <v>0</v>
      </c>
      <c r="K992">
        <f>IF(D992="dram",H992,0)</f>
        <v>868</v>
      </c>
      <c r="L992">
        <v>0</v>
      </c>
      <c r="M992">
        <v>49152</v>
      </c>
    </row>
    <row r="993" spans="1:13">
      <c r="A993">
        <v>991</v>
      </c>
      <c r="B993" t="s">
        <v>265</v>
      </c>
      <c r="C993" t="s">
        <v>82</v>
      </c>
      <c r="D993" t="s">
        <v>83</v>
      </c>
      <c r="E993" t="s">
        <v>93</v>
      </c>
      <c r="F993">
        <v>131072</v>
      </c>
      <c r="G993">
        <f>MAX(I990,I992)</f>
        <v>1204545</v>
      </c>
      <c r="H993">
        <f>CEILING((dram_access_latency+F993/dram_bandwidth)*frequency,1)</f>
        <v>2148</v>
      </c>
      <c r="I993">
        <f>G993+H993</f>
        <v>1206693</v>
      </c>
      <c r="J993">
        <f>IF(AND(D993&lt;&gt;"dram",D993&lt;&gt;"control"),H993,0)</f>
        <v>0</v>
      </c>
      <c r="K993">
        <f>IF(D993="dram",H993,0)</f>
        <v>2148</v>
      </c>
      <c r="L993">
        <v>131072</v>
      </c>
      <c r="M993">
        <v>0</v>
      </c>
    </row>
    <row r="994" spans="1:13">
      <c r="A994">
        <v>992</v>
      </c>
      <c r="B994" t="s">
        <v>266</v>
      </c>
      <c r="C994" t="s">
        <v>88</v>
      </c>
      <c r="D994" t="s">
        <v>89</v>
      </c>
      <c r="E994" t="s">
        <v>93</v>
      </c>
      <c r="F994">
        <v>0</v>
      </c>
      <c r="G994">
        <f>MAX(I990,I988)</f>
        <v>1203525</v>
      </c>
      <c r="H994">
        <f>0</f>
        <v>36</v>
      </c>
      <c r="I994">
        <f>G994+H994</f>
        <v>1203561</v>
      </c>
      <c r="J994">
        <f>IF(AND(D994&lt;&gt;"dram",D994&lt;&gt;"control"),H994,0)</f>
        <v>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45</v>
      </c>
      <c r="C995" t="s">
        <v>90</v>
      </c>
      <c r="D995" t="s">
        <v>17</v>
      </c>
      <c r="E995" t="s">
        <v>93</v>
      </c>
      <c r="F995">
        <v>0</v>
      </c>
      <c r="G995">
        <f>MAX(I994,I990)</f>
        <v>1203561</v>
      </c>
      <c r="H995">
        <f>'Operations'!I17</f>
        <v>2112</v>
      </c>
      <c r="I995">
        <f>G995+H995</f>
        <v>1205673</v>
      </c>
      <c r="J995">
        <f>IF(AND(D995&lt;&gt;"dram",D995&lt;&gt;"control"),H995,0)</f>
        <v>2112</v>
      </c>
      <c r="K995">
        <f>IF(D995="dram",H995,0)</f>
        <v>0</v>
      </c>
      <c r="L995">
        <v>0</v>
      </c>
      <c r="M995">
        <v>0</v>
      </c>
    </row>
    <row r="996" spans="1:13">
      <c r="A996">
        <v>994</v>
      </c>
      <c r="B996" t="s">
        <v>267</v>
      </c>
      <c r="C996" t="s">
        <v>92</v>
      </c>
      <c r="D996" t="s">
        <v>83</v>
      </c>
      <c r="E996" t="s">
        <v>93</v>
      </c>
      <c r="F996">
        <v>1024</v>
      </c>
      <c r="G996">
        <f>MAX(I995,I993)</f>
        <v>1206693</v>
      </c>
      <c r="H996">
        <f>CEILING((dram_access_latency+F996/dram_bandwidth)*frequency,1)</f>
        <v>116</v>
      </c>
      <c r="I996">
        <f>G996+H996</f>
        <v>1206809</v>
      </c>
      <c r="J996">
        <f>IF(AND(D996&lt;&gt;"dram",D996&lt;&gt;"control"),H996,0)</f>
        <v>0</v>
      </c>
      <c r="K996">
        <f>IF(D996="dram",H996,0)</f>
        <v>116</v>
      </c>
      <c r="L996">
        <v>0</v>
      </c>
      <c r="M996">
        <v>1024</v>
      </c>
    </row>
    <row r="997" spans="1:13">
      <c r="A997">
        <v>995</v>
      </c>
      <c r="B997" t="s">
        <v>268</v>
      </c>
      <c r="C997" t="s">
        <v>92</v>
      </c>
      <c r="D997" t="s">
        <v>83</v>
      </c>
      <c r="E997" t="s">
        <v>93</v>
      </c>
      <c r="F997">
        <v>49152</v>
      </c>
      <c r="G997">
        <f>MAX(I995,I996)</f>
        <v>1206809</v>
      </c>
      <c r="H997">
        <f>CEILING((dram_access_latency+F997/dram_bandwidth)*frequency,1)</f>
        <v>868</v>
      </c>
      <c r="I997">
        <f>G997+H997</f>
        <v>1207677</v>
      </c>
      <c r="J997">
        <f>IF(AND(D997&lt;&gt;"dram",D997&lt;&gt;"control"),H997,0)</f>
        <v>0</v>
      </c>
      <c r="K997">
        <f>IF(D997="dram",H997,0)</f>
        <v>868</v>
      </c>
      <c r="L997">
        <v>0</v>
      </c>
      <c r="M997">
        <v>49152</v>
      </c>
    </row>
    <row r="998" spans="1:13">
      <c r="A998">
        <v>996</v>
      </c>
      <c r="B998" t="s">
        <v>265</v>
      </c>
      <c r="C998" t="s">
        <v>82</v>
      </c>
      <c r="D998" t="s">
        <v>83</v>
      </c>
      <c r="E998" t="s">
        <v>111</v>
      </c>
      <c r="F998">
        <v>131072</v>
      </c>
      <c r="G998">
        <f>MAX(I995,I997)</f>
        <v>1207677</v>
      </c>
      <c r="H998">
        <f>CEILING((dram_access_latency+F998/dram_bandwidth)*frequency,1)</f>
        <v>2148</v>
      </c>
      <c r="I998">
        <f>G998+H998</f>
        <v>1209825</v>
      </c>
      <c r="J998">
        <f>IF(AND(D998&lt;&gt;"dram",D998&lt;&gt;"control"),H998,0)</f>
        <v>0</v>
      </c>
      <c r="K998">
        <f>IF(D998="dram",H998,0)</f>
        <v>2148</v>
      </c>
      <c r="L998">
        <v>131072</v>
      </c>
      <c r="M998">
        <v>0</v>
      </c>
    </row>
    <row r="999" spans="1:13">
      <c r="A999">
        <v>997</v>
      </c>
      <c r="B999" t="s">
        <v>266</v>
      </c>
      <c r="C999" t="s">
        <v>88</v>
      </c>
      <c r="D999" t="s">
        <v>89</v>
      </c>
      <c r="E999" t="s">
        <v>111</v>
      </c>
      <c r="F999">
        <v>0</v>
      </c>
      <c r="G999">
        <f>MAX(I995,I993)</f>
        <v>1205673</v>
      </c>
      <c r="H999">
        <f>0</f>
        <v>1020</v>
      </c>
      <c r="I999">
        <f>G999+H999</f>
        <v>1206693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269</v>
      </c>
      <c r="C1000" t="s">
        <v>88</v>
      </c>
      <c r="D1000" t="s">
        <v>89</v>
      </c>
      <c r="E1000" t="s">
        <v>111</v>
      </c>
      <c r="F1000">
        <v>0</v>
      </c>
      <c r="G1000">
        <f>MAX(I999,I991)</f>
        <v>1206693</v>
      </c>
      <c r="H1000">
        <f>0</f>
        <v>0</v>
      </c>
      <c r="I1000">
        <f>G1000+H1000</f>
        <v>1206693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270</v>
      </c>
      <c r="C1001" t="s">
        <v>88</v>
      </c>
      <c r="D1001" t="s">
        <v>89</v>
      </c>
      <c r="E1001" t="s">
        <v>111</v>
      </c>
      <c r="F1001">
        <v>0</v>
      </c>
      <c r="G1001">
        <f>MAX(I1000,I992)</f>
        <v>1206693</v>
      </c>
      <c r="H1001">
        <f>0</f>
        <v>0</v>
      </c>
      <c r="I1001">
        <f>G1001+H1001</f>
        <v>1206693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45</v>
      </c>
      <c r="C1002" t="s">
        <v>90</v>
      </c>
      <c r="D1002" t="s">
        <v>17</v>
      </c>
      <c r="E1002" t="s">
        <v>111</v>
      </c>
      <c r="F1002">
        <v>0</v>
      </c>
      <c r="G1002">
        <f>MAX(I1001,I995)</f>
        <v>1206693</v>
      </c>
      <c r="H1002">
        <f>'Operations'!I17</f>
        <v>2112</v>
      </c>
      <c r="I1002">
        <f>G1002+H1002</f>
        <v>1208805</v>
      </c>
      <c r="J1002">
        <f>IF(AND(D1002&lt;&gt;"dram",D1002&lt;&gt;"control"),H1002,0)</f>
        <v>2112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267</v>
      </c>
      <c r="C1003" t="s">
        <v>92</v>
      </c>
      <c r="D1003" t="s">
        <v>83</v>
      </c>
      <c r="E1003" t="s">
        <v>111</v>
      </c>
      <c r="F1003">
        <v>1024</v>
      </c>
      <c r="G1003">
        <f>MAX(I1002,I998)</f>
        <v>1209825</v>
      </c>
      <c r="H1003">
        <f>CEILING((dram_access_latency+F1003/dram_bandwidth)*frequency,1)</f>
        <v>116</v>
      </c>
      <c r="I1003">
        <f>G1003+H1003</f>
        <v>1209941</v>
      </c>
      <c r="J1003">
        <f>IF(AND(D1003&lt;&gt;"dram",D1003&lt;&gt;"control"),H1003,0)</f>
        <v>0</v>
      </c>
      <c r="K1003">
        <f>IF(D1003="dram",H1003,0)</f>
        <v>116</v>
      </c>
      <c r="L1003">
        <v>0</v>
      </c>
      <c r="M1003">
        <v>1024</v>
      </c>
    </row>
    <row r="1004" spans="1:13">
      <c r="A1004">
        <v>1002</v>
      </c>
      <c r="B1004" t="s">
        <v>268</v>
      </c>
      <c r="C1004" t="s">
        <v>92</v>
      </c>
      <c r="D1004" t="s">
        <v>83</v>
      </c>
      <c r="E1004" t="s">
        <v>111</v>
      </c>
      <c r="F1004">
        <v>49152</v>
      </c>
      <c r="G1004">
        <f>MAX(I1002,I1003)</f>
        <v>1209941</v>
      </c>
      <c r="H1004">
        <f>CEILING((dram_access_latency+F1004/dram_bandwidth)*frequency,1)</f>
        <v>868</v>
      </c>
      <c r="I1004">
        <f>G1004+H1004</f>
        <v>1210809</v>
      </c>
      <c r="J1004">
        <f>IF(AND(D1004&lt;&gt;"dram",D1004&lt;&gt;"control"),H1004,0)</f>
        <v>0</v>
      </c>
      <c r="K1004">
        <f>IF(D1004="dram",H1004,0)</f>
        <v>868</v>
      </c>
      <c r="L1004">
        <v>0</v>
      </c>
      <c r="M1004">
        <v>49152</v>
      </c>
    </row>
    <row r="1005" spans="1:13">
      <c r="A1005">
        <v>1003</v>
      </c>
      <c r="B1005" t="s">
        <v>265</v>
      </c>
      <c r="C1005" t="s">
        <v>82</v>
      </c>
      <c r="D1005" t="s">
        <v>83</v>
      </c>
      <c r="E1005" t="s">
        <v>112</v>
      </c>
      <c r="F1005">
        <v>131072</v>
      </c>
      <c r="G1005">
        <f>MAX(I1002,I1004)</f>
        <v>1210809</v>
      </c>
      <c r="H1005">
        <f>CEILING((dram_access_latency+F1005/dram_bandwidth)*frequency,1)</f>
        <v>2148</v>
      </c>
      <c r="I1005">
        <f>G1005+H1005</f>
        <v>1212957</v>
      </c>
      <c r="J1005">
        <f>IF(AND(D1005&lt;&gt;"dram",D1005&lt;&gt;"control"),H1005,0)</f>
        <v>0</v>
      </c>
      <c r="K1005">
        <f>IF(D1005="dram",H1005,0)</f>
        <v>2148</v>
      </c>
      <c r="L1005">
        <v>131072</v>
      </c>
      <c r="M1005">
        <v>0</v>
      </c>
    </row>
    <row r="1006" spans="1:13">
      <c r="A1006">
        <v>1004</v>
      </c>
      <c r="B1006" t="s">
        <v>266</v>
      </c>
      <c r="C1006" t="s">
        <v>88</v>
      </c>
      <c r="D1006" t="s">
        <v>89</v>
      </c>
      <c r="E1006" t="s">
        <v>112</v>
      </c>
      <c r="F1006">
        <v>0</v>
      </c>
      <c r="G1006">
        <f>MAX(I1002,I998)</f>
        <v>1208805</v>
      </c>
      <c r="H1006">
        <f>0</f>
        <v>1020</v>
      </c>
      <c r="I1006">
        <f>G1006+H1006</f>
        <v>1209825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269</v>
      </c>
      <c r="C1007" t="s">
        <v>88</v>
      </c>
      <c r="D1007" t="s">
        <v>89</v>
      </c>
      <c r="E1007" t="s">
        <v>112</v>
      </c>
      <c r="F1007">
        <v>0</v>
      </c>
      <c r="G1007">
        <f>MAX(I1006,I996)</f>
        <v>1209825</v>
      </c>
      <c r="H1007">
        <f>0</f>
        <v>0</v>
      </c>
      <c r="I1007">
        <f>G1007+H1007</f>
        <v>1209825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270</v>
      </c>
      <c r="C1008" t="s">
        <v>88</v>
      </c>
      <c r="D1008" t="s">
        <v>89</v>
      </c>
      <c r="E1008" t="s">
        <v>112</v>
      </c>
      <c r="F1008">
        <v>0</v>
      </c>
      <c r="G1008">
        <f>MAX(I1007,I997)</f>
        <v>1209825</v>
      </c>
      <c r="H1008">
        <f>0</f>
        <v>0</v>
      </c>
      <c r="I1008">
        <f>G1008+H1008</f>
        <v>1209825</v>
      </c>
      <c r="J1008">
        <f>IF(AND(D1008&lt;&gt;"dram",D1008&lt;&gt;"control"),H1008,0)</f>
        <v>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45</v>
      </c>
      <c r="C1009" t="s">
        <v>90</v>
      </c>
      <c r="D1009" t="s">
        <v>17</v>
      </c>
      <c r="E1009" t="s">
        <v>112</v>
      </c>
      <c r="F1009">
        <v>0</v>
      </c>
      <c r="G1009">
        <f>MAX(I1008,I1002)</f>
        <v>1209825</v>
      </c>
      <c r="H1009">
        <f>'Operations'!I17</f>
        <v>2112</v>
      </c>
      <c r="I1009">
        <f>G1009+H1009</f>
        <v>1211937</v>
      </c>
      <c r="J1009">
        <f>IF(AND(D1009&lt;&gt;"dram",D1009&lt;&gt;"control"),H1009,0)</f>
        <v>2112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267</v>
      </c>
      <c r="C1010" t="s">
        <v>92</v>
      </c>
      <c r="D1010" t="s">
        <v>83</v>
      </c>
      <c r="E1010" t="s">
        <v>112</v>
      </c>
      <c r="F1010">
        <v>1024</v>
      </c>
      <c r="G1010">
        <f>MAX(I1009,I1005)</f>
        <v>1212957</v>
      </c>
      <c r="H1010">
        <f>CEILING((dram_access_latency+F1010/dram_bandwidth)*frequency,1)</f>
        <v>116</v>
      </c>
      <c r="I1010">
        <f>G1010+H1010</f>
        <v>1213073</v>
      </c>
      <c r="J1010">
        <f>IF(AND(D1010&lt;&gt;"dram",D1010&lt;&gt;"control"),H1010,0)</f>
        <v>0</v>
      </c>
      <c r="K1010">
        <f>IF(D1010="dram",H1010,0)</f>
        <v>116</v>
      </c>
      <c r="L1010">
        <v>0</v>
      </c>
      <c r="M1010">
        <v>1024</v>
      </c>
    </row>
    <row r="1011" spans="1:13">
      <c r="A1011">
        <v>1009</v>
      </c>
      <c r="B1011" t="s">
        <v>268</v>
      </c>
      <c r="C1011" t="s">
        <v>92</v>
      </c>
      <c r="D1011" t="s">
        <v>83</v>
      </c>
      <c r="E1011" t="s">
        <v>112</v>
      </c>
      <c r="F1011">
        <v>49152</v>
      </c>
      <c r="G1011">
        <f>MAX(I1009,I1010)</f>
        <v>1213073</v>
      </c>
      <c r="H1011">
        <f>CEILING((dram_access_latency+F1011/dram_bandwidth)*frequency,1)</f>
        <v>868</v>
      </c>
      <c r="I1011">
        <f>G1011+H1011</f>
        <v>1213941</v>
      </c>
      <c r="J1011">
        <f>IF(AND(D1011&lt;&gt;"dram",D1011&lt;&gt;"control"),H1011,0)</f>
        <v>0</v>
      </c>
      <c r="K1011">
        <f>IF(D1011="dram",H1011,0)</f>
        <v>868</v>
      </c>
      <c r="L1011">
        <v>0</v>
      </c>
      <c r="M1011">
        <v>49152</v>
      </c>
    </row>
    <row r="1012" spans="1:13">
      <c r="A1012">
        <v>1010</v>
      </c>
      <c r="B1012" t="s">
        <v>265</v>
      </c>
      <c r="C1012" t="s">
        <v>82</v>
      </c>
      <c r="D1012" t="s">
        <v>83</v>
      </c>
      <c r="E1012" t="s">
        <v>113</v>
      </c>
      <c r="F1012">
        <v>131072</v>
      </c>
      <c r="G1012">
        <f>MAX(I1009,I1011)</f>
        <v>1213941</v>
      </c>
      <c r="H1012">
        <f>CEILING((dram_access_latency+F1012/dram_bandwidth)*frequency,1)</f>
        <v>2148</v>
      </c>
      <c r="I1012">
        <f>G1012+H1012</f>
        <v>1216089</v>
      </c>
      <c r="J1012">
        <f>IF(AND(D1012&lt;&gt;"dram",D1012&lt;&gt;"control"),H1012,0)</f>
        <v>0</v>
      </c>
      <c r="K1012">
        <f>IF(D1012="dram",H1012,0)</f>
        <v>2148</v>
      </c>
      <c r="L1012">
        <v>131072</v>
      </c>
      <c r="M1012">
        <v>0</v>
      </c>
    </row>
    <row r="1013" spans="1:13">
      <c r="A1013">
        <v>1011</v>
      </c>
      <c r="B1013" t="s">
        <v>266</v>
      </c>
      <c r="C1013" t="s">
        <v>88</v>
      </c>
      <c r="D1013" t="s">
        <v>89</v>
      </c>
      <c r="E1013" t="s">
        <v>113</v>
      </c>
      <c r="F1013">
        <v>0</v>
      </c>
      <c r="G1013">
        <f>MAX(I1009,I1005)</f>
        <v>1211937</v>
      </c>
      <c r="H1013">
        <f>0</f>
        <v>1020</v>
      </c>
      <c r="I1013">
        <f>G1013+H1013</f>
        <v>1212957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269</v>
      </c>
      <c r="C1014" t="s">
        <v>88</v>
      </c>
      <c r="D1014" t="s">
        <v>89</v>
      </c>
      <c r="E1014" t="s">
        <v>113</v>
      </c>
      <c r="F1014">
        <v>0</v>
      </c>
      <c r="G1014">
        <f>MAX(I1013,I1003)</f>
        <v>1212957</v>
      </c>
      <c r="H1014">
        <f>0</f>
        <v>0</v>
      </c>
      <c r="I1014">
        <f>G1014+H1014</f>
        <v>1212957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270</v>
      </c>
      <c r="C1015" t="s">
        <v>88</v>
      </c>
      <c r="D1015" t="s">
        <v>89</v>
      </c>
      <c r="E1015" t="s">
        <v>113</v>
      </c>
      <c r="F1015">
        <v>0</v>
      </c>
      <c r="G1015">
        <f>MAX(I1014,I1004)</f>
        <v>1212957</v>
      </c>
      <c r="H1015">
        <f>0</f>
        <v>0</v>
      </c>
      <c r="I1015">
        <f>G1015+H1015</f>
        <v>1212957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45</v>
      </c>
      <c r="C1016" t="s">
        <v>90</v>
      </c>
      <c r="D1016" t="s">
        <v>17</v>
      </c>
      <c r="E1016" t="s">
        <v>113</v>
      </c>
      <c r="F1016">
        <v>0</v>
      </c>
      <c r="G1016">
        <f>MAX(I1015,I1009)</f>
        <v>1212957</v>
      </c>
      <c r="H1016">
        <f>'Operations'!I17</f>
        <v>2112</v>
      </c>
      <c r="I1016">
        <f>G1016+H1016</f>
        <v>1215069</v>
      </c>
      <c r="J1016">
        <f>IF(AND(D1016&lt;&gt;"dram",D1016&lt;&gt;"control"),H1016,0)</f>
        <v>2112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267</v>
      </c>
      <c r="C1017" t="s">
        <v>92</v>
      </c>
      <c r="D1017" t="s">
        <v>83</v>
      </c>
      <c r="E1017" t="s">
        <v>113</v>
      </c>
      <c r="F1017">
        <v>1024</v>
      </c>
      <c r="G1017">
        <f>MAX(I1016,I1012)</f>
        <v>1216089</v>
      </c>
      <c r="H1017">
        <f>CEILING((dram_access_latency+F1017/dram_bandwidth)*frequency,1)</f>
        <v>116</v>
      </c>
      <c r="I1017">
        <f>G1017+H1017</f>
        <v>1216205</v>
      </c>
      <c r="J1017">
        <f>IF(AND(D1017&lt;&gt;"dram",D1017&lt;&gt;"control"),H1017,0)</f>
        <v>0</v>
      </c>
      <c r="K1017">
        <f>IF(D1017="dram",H1017,0)</f>
        <v>116</v>
      </c>
      <c r="L1017">
        <v>0</v>
      </c>
      <c r="M1017">
        <v>1024</v>
      </c>
    </row>
    <row r="1018" spans="1:13">
      <c r="A1018">
        <v>1016</v>
      </c>
      <c r="B1018" t="s">
        <v>268</v>
      </c>
      <c r="C1018" t="s">
        <v>92</v>
      </c>
      <c r="D1018" t="s">
        <v>83</v>
      </c>
      <c r="E1018" t="s">
        <v>113</v>
      </c>
      <c r="F1018">
        <v>49152</v>
      </c>
      <c r="G1018">
        <f>MAX(I1016,I1017)</f>
        <v>1216205</v>
      </c>
      <c r="H1018">
        <f>CEILING((dram_access_latency+F1018/dram_bandwidth)*frequency,1)</f>
        <v>868</v>
      </c>
      <c r="I1018">
        <f>G1018+H1018</f>
        <v>1217073</v>
      </c>
      <c r="J1018">
        <f>IF(AND(D1018&lt;&gt;"dram",D1018&lt;&gt;"control"),H1018,0)</f>
        <v>0</v>
      </c>
      <c r="K1018">
        <f>IF(D1018="dram",H1018,0)</f>
        <v>868</v>
      </c>
      <c r="L1018">
        <v>0</v>
      </c>
      <c r="M1018">
        <v>49152</v>
      </c>
    </row>
    <row r="1019" spans="1:13">
      <c r="A1019">
        <v>1017</v>
      </c>
      <c r="B1019" t="s">
        <v>265</v>
      </c>
      <c r="C1019" t="s">
        <v>82</v>
      </c>
      <c r="D1019" t="s">
        <v>83</v>
      </c>
      <c r="E1019" t="s">
        <v>114</v>
      </c>
      <c r="F1019">
        <v>131072</v>
      </c>
      <c r="G1019">
        <f>MAX(I1016,I1018)</f>
        <v>1217073</v>
      </c>
      <c r="H1019">
        <f>CEILING((dram_access_latency+F1019/dram_bandwidth)*frequency,1)</f>
        <v>2148</v>
      </c>
      <c r="I1019">
        <f>G1019+H1019</f>
        <v>1219221</v>
      </c>
      <c r="J1019">
        <f>IF(AND(D1019&lt;&gt;"dram",D1019&lt;&gt;"control"),H1019,0)</f>
        <v>0</v>
      </c>
      <c r="K1019">
        <f>IF(D1019="dram",H1019,0)</f>
        <v>2148</v>
      </c>
      <c r="L1019">
        <v>131072</v>
      </c>
      <c r="M1019">
        <v>0</v>
      </c>
    </row>
    <row r="1020" spans="1:13">
      <c r="A1020">
        <v>1018</v>
      </c>
      <c r="B1020" t="s">
        <v>266</v>
      </c>
      <c r="C1020" t="s">
        <v>88</v>
      </c>
      <c r="D1020" t="s">
        <v>89</v>
      </c>
      <c r="E1020" t="s">
        <v>114</v>
      </c>
      <c r="F1020">
        <v>0</v>
      </c>
      <c r="G1020">
        <f>MAX(I1016,I1012)</f>
        <v>1215069</v>
      </c>
      <c r="H1020">
        <f>0</f>
        <v>1020</v>
      </c>
      <c r="I1020">
        <f>G1020+H1020</f>
        <v>1216089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269</v>
      </c>
      <c r="C1021" t="s">
        <v>88</v>
      </c>
      <c r="D1021" t="s">
        <v>89</v>
      </c>
      <c r="E1021" t="s">
        <v>114</v>
      </c>
      <c r="F1021">
        <v>0</v>
      </c>
      <c r="G1021">
        <f>MAX(I1020,I1010)</f>
        <v>1216089</v>
      </c>
      <c r="H1021">
        <f>0</f>
        <v>0</v>
      </c>
      <c r="I1021">
        <f>G1021+H1021</f>
        <v>1216089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270</v>
      </c>
      <c r="C1022" t="s">
        <v>88</v>
      </c>
      <c r="D1022" t="s">
        <v>89</v>
      </c>
      <c r="E1022" t="s">
        <v>114</v>
      </c>
      <c r="F1022">
        <v>0</v>
      </c>
      <c r="G1022">
        <f>MAX(I1021,I1011)</f>
        <v>1216089</v>
      </c>
      <c r="H1022">
        <f>0</f>
        <v>0</v>
      </c>
      <c r="I1022">
        <f>G1022+H1022</f>
        <v>1216089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45</v>
      </c>
      <c r="C1023" t="s">
        <v>90</v>
      </c>
      <c r="D1023" t="s">
        <v>17</v>
      </c>
      <c r="E1023" t="s">
        <v>114</v>
      </c>
      <c r="F1023">
        <v>0</v>
      </c>
      <c r="G1023">
        <f>MAX(I1022,I1016)</f>
        <v>1216089</v>
      </c>
      <c r="H1023">
        <f>'Operations'!I17</f>
        <v>2112</v>
      </c>
      <c r="I1023">
        <f>G1023+H1023</f>
        <v>1218201</v>
      </c>
      <c r="J1023">
        <f>IF(AND(D1023&lt;&gt;"dram",D1023&lt;&gt;"control"),H1023,0)</f>
        <v>2112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267</v>
      </c>
      <c r="C1024" t="s">
        <v>92</v>
      </c>
      <c r="D1024" t="s">
        <v>83</v>
      </c>
      <c r="E1024" t="s">
        <v>114</v>
      </c>
      <c r="F1024">
        <v>1024</v>
      </c>
      <c r="G1024">
        <f>MAX(I1023,I1019)</f>
        <v>1219221</v>
      </c>
      <c r="H1024">
        <f>CEILING((dram_access_latency+F1024/dram_bandwidth)*frequency,1)</f>
        <v>116</v>
      </c>
      <c r="I1024">
        <f>G1024+H1024</f>
        <v>1219337</v>
      </c>
      <c r="J1024">
        <f>IF(AND(D1024&lt;&gt;"dram",D1024&lt;&gt;"control"),H1024,0)</f>
        <v>0</v>
      </c>
      <c r="K1024">
        <f>IF(D1024="dram",H1024,0)</f>
        <v>116</v>
      </c>
      <c r="L1024">
        <v>0</v>
      </c>
      <c r="M1024">
        <v>1024</v>
      </c>
    </row>
    <row r="1025" spans="1:13">
      <c r="A1025">
        <v>1023</v>
      </c>
      <c r="B1025" t="s">
        <v>268</v>
      </c>
      <c r="C1025" t="s">
        <v>92</v>
      </c>
      <c r="D1025" t="s">
        <v>83</v>
      </c>
      <c r="E1025" t="s">
        <v>114</v>
      </c>
      <c r="F1025">
        <v>49152</v>
      </c>
      <c r="G1025">
        <f>MAX(I1023,I1024)</f>
        <v>1219337</v>
      </c>
      <c r="H1025">
        <f>CEILING((dram_access_latency+F1025/dram_bandwidth)*frequency,1)</f>
        <v>868</v>
      </c>
      <c r="I1025">
        <f>G1025+H1025</f>
        <v>1220205</v>
      </c>
      <c r="J1025">
        <f>IF(AND(D1025&lt;&gt;"dram",D1025&lt;&gt;"control"),H1025,0)</f>
        <v>0</v>
      </c>
      <c r="K1025">
        <f>IF(D1025="dram",H1025,0)</f>
        <v>868</v>
      </c>
      <c r="L1025">
        <v>0</v>
      </c>
      <c r="M1025">
        <v>49152</v>
      </c>
    </row>
    <row r="1026" spans="1:13">
      <c r="A1026">
        <v>1024</v>
      </c>
      <c r="B1026" t="s">
        <v>265</v>
      </c>
      <c r="C1026" t="s">
        <v>82</v>
      </c>
      <c r="D1026" t="s">
        <v>83</v>
      </c>
      <c r="E1026" t="s">
        <v>115</v>
      </c>
      <c r="F1026">
        <v>131072</v>
      </c>
      <c r="G1026">
        <f>MAX(I1023,I1025)</f>
        <v>1220205</v>
      </c>
      <c r="H1026">
        <f>CEILING((dram_access_latency+F1026/dram_bandwidth)*frequency,1)</f>
        <v>2148</v>
      </c>
      <c r="I1026">
        <f>G1026+H1026</f>
        <v>1222353</v>
      </c>
      <c r="J1026">
        <f>IF(AND(D1026&lt;&gt;"dram",D1026&lt;&gt;"control"),H1026,0)</f>
        <v>0</v>
      </c>
      <c r="K1026">
        <f>IF(D1026="dram",H1026,0)</f>
        <v>2148</v>
      </c>
      <c r="L1026">
        <v>131072</v>
      </c>
      <c r="M1026">
        <v>0</v>
      </c>
    </row>
    <row r="1027" spans="1:13">
      <c r="A1027">
        <v>1025</v>
      </c>
      <c r="B1027" t="s">
        <v>266</v>
      </c>
      <c r="C1027" t="s">
        <v>88</v>
      </c>
      <c r="D1027" t="s">
        <v>89</v>
      </c>
      <c r="E1027" t="s">
        <v>115</v>
      </c>
      <c r="F1027">
        <v>0</v>
      </c>
      <c r="G1027">
        <f>MAX(I1023,I1019)</f>
        <v>1218201</v>
      </c>
      <c r="H1027">
        <f>0</f>
        <v>1020</v>
      </c>
      <c r="I1027">
        <f>G1027+H1027</f>
        <v>1219221</v>
      </c>
      <c r="J1027">
        <f>IF(AND(D1027&lt;&gt;"dram",D1027&lt;&gt;"control"),H1027,0)</f>
        <v>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269</v>
      </c>
      <c r="C1028" t="s">
        <v>88</v>
      </c>
      <c r="D1028" t="s">
        <v>89</v>
      </c>
      <c r="E1028" t="s">
        <v>115</v>
      </c>
      <c r="F1028">
        <v>0</v>
      </c>
      <c r="G1028">
        <f>MAX(I1027,I1017)</f>
        <v>1219221</v>
      </c>
      <c r="H1028">
        <f>0</f>
        <v>0</v>
      </c>
      <c r="I1028">
        <f>G1028+H1028</f>
        <v>1219221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270</v>
      </c>
      <c r="C1029" t="s">
        <v>88</v>
      </c>
      <c r="D1029" t="s">
        <v>89</v>
      </c>
      <c r="E1029" t="s">
        <v>115</v>
      </c>
      <c r="F1029">
        <v>0</v>
      </c>
      <c r="G1029">
        <f>MAX(I1028,I1018)</f>
        <v>1219221</v>
      </c>
      <c r="H1029">
        <f>0</f>
        <v>0</v>
      </c>
      <c r="I1029">
        <f>G1029+H1029</f>
        <v>1219221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45</v>
      </c>
      <c r="C1030" t="s">
        <v>90</v>
      </c>
      <c r="D1030" t="s">
        <v>17</v>
      </c>
      <c r="E1030" t="s">
        <v>115</v>
      </c>
      <c r="F1030">
        <v>0</v>
      </c>
      <c r="G1030">
        <f>MAX(I1029,I1023)</f>
        <v>1219221</v>
      </c>
      <c r="H1030">
        <f>'Operations'!I17</f>
        <v>2112</v>
      </c>
      <c r="I1030">
        <f>G1030+H1030</f>
        <v>1221333</v>
      </c>
      <c r="J1030">
        <f>IF(AND(D1030&lt;&gt;"dram",D1030&lt;&gt;"control"),H1030,0)</f>
        <v>2112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267</v>
      </c>
      <c r="C1031" t="s">
        <v>92</v>
      </c>
      <c r="D1031" t="s">
        <v>83</v>
      </c>
      <c r="E1031" t="s">
        <v>115</v>
      </c>
      <c r="F1031">
        <v>1024</v>
      </c>
      <c r="G1031">
        <f>MAX(I1030,I1026)</f>
        <v>1222353</v>
      </c>
      <c r="H1031">
        <f>CEILING((dram_access_latency+F1031/dram_bandwidth)*frequency,1)</f>
        <v>116</v>
      </c>
      <c r="I1031">
        <f>G1031+H1031</f>
        <v>1222469</v>
      </c>
      <c r="J1031">
        <f>IF(AND(D1031&lt;&gt;"dram",D1031&lt;&gt;"control"),H1031,0)</f>
        <v>0</v>
      </c>
      <c r="K1031">
        <f>IF(D1031="dram",H1031,0)</f>
        <v>116</v>
      </c>
      <c r="L1031">
        <v>0</v>
      </c>
      <c r="M1031">
        <v>1024</v>
      </c>
    </row>
    <row r="1032" spans="1:13">
      <c r="A1032">
        <v>1030</v>
      </c>
      <c r="B1032" t="s">
        <v>268</v>
      </c>
      <c r="C1032" t="s">
        <v>92</v>
      </c>
      <c r="D1032" t="s">
        <v>83</v>
      </c>
      <c r="E1032" t="s">
        <v>115</v>
      </c>
      <c r="F1032">
        <v>49152</v>
      </c>
      <c r="G1032">
        <f>MAX(I1030,I1031)</f>
        <v>1222469</v>
      </c>
      <c r="H1032">
        <f>CEILING((dram_access_latency+F1032/dram_bandwidth)*frequency,1)</f>
        <v>868</v>
      </c>
      <c r="I1032">
        <f>G1032+H1032</f>
        <v>1223337</v>
      </c>
      <c r="J1032">
        <f>IF(AND(D1032&lt;&gt;"dram",D1032&lt;&gt;"control"),H1032,0)</f>
        <v>0</v>
      </c>
      <c r="K1032">
        <f>IF(D1032="dram",H1032,0)</f>
        <v>868</v>
      </c>
      <c r="L1032">
        <v>0</v>
      </c>
      <c r="M1032">
        <v>49152</v>
      </c>
    </row>
    <row r="1033" spans="1:13">
      <c r="A1033">
        <v>1031</v>
      </c>
      <c r="B1033" t="s">
        <v>266</v>
      </c>
      <c r="C1033" t="s">
        <v>88</v>
      </c>
      <c r="D1033" t="s">
        <v>89</v>
      </c>
      <c r="E1033" t="s">
        <v>116</v>
      </c>
      <c r="F1033">
        <v>0</v>
      </c>
      <c r="G1033">
        <f>MAX(I1030,I1026)</f>
        <v>1221333</v>
      </c>
      <c r="H1033">
        <f>0</f>
        <v>1020</v>
      </c>
      <c r="I1033">
        <f>G1033+H1033</f>
        <v>1222353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269</v>
      </c>
      <c r="C1034" t="s">
        <v>88</v>
      </c>
      <c r="D1034" t="s">
        <v>89</v>
      </c>
      <c r="E1034" t="s">
        <v>116</v>
      </c>
      <c r="F1034">
        <v>0</v>
      </c>
      <c r="G1034">
        <f>MAX(I1033,I1024)</f>
        <v>1222353</v>
      </c>
      <c r="H1034">
        <f>0</f>
        <v>0</v>
      </c>
      <c r="I1034">
        <f>G1034+H1034</f>
        <v>1222353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270</v>
      </c>
      <c r="C1035" t="s">
        <v>88</v>
      </c>
      <c r="D1035" t="s">
        <v>89</v>
      </c>
      <c r="E1035" t="s">
        <v>116</v>
      </c>
      <c r="F1035">
        <v>0</v>
      </c>
      <c r="G1035">
        <f>MAX(I1034,I1025)</f>
        <v>1222353</v>
      </c>
      <c r="H1035">
        <f>0</f>
        <v>0</v>
      </c>
      <c r="I1035">
        <f>G1035+H1035</f>
        <v>1222353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45</v>
      </c>
      <c r="C1036" t="s">
        <v>90</v>
      </c>
      <c r="D1036" t="s">
        <v>17</v>
      </c>
      <c r="E1036" t="s">
        <v>116</v>
      </c>
      <c r="F1036">
        <v>0</v>
      </c>
      <c r="G1036">
        <f>MAX(I1035,I1030)</f>
        <v>1222353</v>
      </c>
      <c r="H1036">
        <f>'Operations'!I17</f>
        <v>2112</v>
      </c>
      <c r="I1036">
        <f>G1036+H1036</f>
        <v>1224465</v>
      </c>
      <c r="J1036">
        <f>IF(AND(D1036&lt;&gt;"dram",D1036&lt;&gt;"control"),H1036,0)</f>
        <v>2112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267</v>
      </c>
      <c r="C1037" t="s">
        <v>92</v>
      </c>
      <c r="D1037" t="s">
        <v>83</v>
      </c>
      <c r="E1037" t="s">
        <v>116</v>
      </c>
      <c r="F1037">
        <v>1024</v>
      </c>
      <c r="G1037">
        <f>MAX(I1036,I1032)</f>
        <v>1224465</v>
      </c>
      <c r="H1037">
        <f>CEILING((dram_access_latency+F1037/dram_bandwidth)*frequency,1)</f>
        <v>116</v>
      </c>
      <c r="I1037">
        <f>G1037+H1037</f>
        <v>1224581</v>
      </c>
      <c r="J1037">
        <f>IF(AND(D1037&lt;&gt;"dram",D1037&lt;&gt;"control"),H1037,0)</f>
        <v>0</v>
      </c>
      <c r="K1037">
        <f>IF(D1037="dram",H1037,0)</f>
        <v>116</v>
      </c>
      <c r="L1037">
        <v>0</v>
      </c>
      <c r="M1037">
        <v>1024</v>
      </c>
    </row>
    <row r="1038" spans="1:13">
      <c r="A1038">
        <v>1036</v>
      </c>
      <c r="B1038" t="s">
        <v>268</v>
      </c>
      <c r="C1038" t="s">
        <v>92</v>
      </c>
      <c r="D1038" t="s">
        <v>83</v>
      </c>
      <c r="E1038" t="s">
        <v>116</v>
      </c>
      <c r="F1038">
        <v>49152</v>
      </c>
      <c r="G1038">
        <f>MAX(I1036,I1037)</f>
        <v>1224581</v>
      </c>
      <c r="H1038">
        <f>CEILING((dram_access_latency+F1038/dram_bandwidth)*frequency,1)</f>
        <v>868</v>
      </c>
      <c r="I1038">
        <f>G1038+H1038</f>
        <v>1225449</v>
      </c>
      <c r="J1038">
        <f>IF(AND(D1038&lt;&gt;"dram",D1038&lt;&gt;"control"),H1038,0)</f>
        <v>0</v>
      </c>
      <c r="K1038">
        <f>IF(D1038="dram",H1038,0)</f>
        <v>868</v>
      </c>
      <c r="L1038">
        <v>0</v>
      </c>
      <c r="M1038">
        <v>49152</v>
      </c>
    </row>
    <row r="1039" spans="1:13">
      <c r="A1039">
        <v>1037</v>
      </c>
      <c r="B1039" t="s">
        <v>271</v>
      </c>
      <c r="C1039" t="s">
        <v>88</v>
      </c>
      <c r="D1039" t="s">
        <v>89</v>
      </c>
      <c r="E1039" t="s">
        <v>84</v>
      </c>
      <c r="F1039">
        <v>0</v>
      </c>
      <c r="G1039">
        <f>MAX(I1036,I1031)</f>
        <v>1224465</v>
      </c>
      <c r="H1039">
        <f>0</f>
        <v>0</v>
      </c>
      <c r="I1039">
        <f>G1039+H1039</f>
        <v>1224465</v>
      </c>
      <c r="J1039">
        <f>IF(AND(D1039&lt;&gt;"dram",D1039&lt;&gt;"control"),H1039,0)</f>
        <v>0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272</v>
      </c>
      <c r="C1040" t="s">
        <v>88</v>
      </c>
      <c r="D1040" t="s">
        <v>89</v>
      </c>
      <c r="E1040" t="s">
        <v>84</v>
      </c>
      <c r="F1040">
        <v>0</v>
      </c>
      <c r="G1040">
        <f>MAX(I1039,I1037)</f>
        <v>1224465</v>
      </c>
      <c r="H1040">
        <f>0</f>
        <v>116</v>
      </c>
      <c r="I1040">
        <f>G1040+H1040</f>
        <v>1224581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273</v>
      </c>
      <c r="C1041" t="s">
        <v>88</v>
      </c>
      <c r="D1041" t="s">
        <v>89</v>
      </c>
      <c r="E1041" t="s">
        <v>84</v>
      </c>
      <c r="F1041">
        <v>0</v>
      </c>
      <c r="G1041">
        <f>MAX(I1040,I1032)</f>
        <v>1224581</v>
      </c>
      <c r="H1041">
        <f>0</f>
        <v>0</v>
      </c>
      <c r="I1041">
        <f>G1041+H1041</f>
        <v>1224581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274</v>
      </c>
      <c r="C1042" t="s">
        <v>88</v>
      </c>
      <c r="D1042" t="s">
        <v>89</v>
      </c>
      <c r="E1042" t="s">
        <v>84</v>
      </c>
      <c r="F1042">
        <v>0</v>
      </c>
      <c r="G1042">
        <f>MAX(I1041,I1038)</f>
        <v>1224581</v>
      </c>
      <c r="H1042">
        <f>0</f>
        <v>868</v>
      </c>
      <c r="I1042">
        <f>G1042+H1042</f>
        <v>1225449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275</v>
      </c>
      <c r="C1043" t="s">
        <v>82</v>
      </c>
      <c r="D1043" t="s">
        <v>83</v>
      </c>
      <c r="E1043" t="s">
        <v>84</v>
      </c>
      <c r="F1043">
        <v>49152</v>
      </c>
      <c r="G1043">
        <f>MAX(I1042,I1038)</f>
        <v>1225449</v>
      </c>
      <c r="H1043">
        <f>CEILING((dram_access_latency+F1043/dram_bandwidth)*frequency,1)</f>
        <v>868</v>
      </c>
      <c r="I1043">
        <f>G1043+H1043</f>
        <v>1226317</v>
      </c>
      <c r="J1043">
        <f>IF(AND(D1043&lt;&gt;"dram",D1043&lt;&gt;"control"),H1043,0)</f>
        <v>0</v>
      </c>
      <c r="K1043">
        <f>IF(D1043="dram",H1043,0)</f>
        <v>868</v>
      </c>
      <c r="L1043">
        <v>49152</v>
      </c>
      <c r="M1043">
        <v>0</v>
      </c>
    </row>
    <row r="1044" spans="1:13">
      <c r="A1044">
        <v>1042</v>
      </c>
      <c r="B1044" t="s">
        <v>275</v>
      </c>
      <c r="C1044" t="s">
        <v>92</v>
      </c>
      <c r="D1044" t="s">
        <v>83</v>
      </c>
      <c r="E1044" t="s">
        <v>84</v>
      </c>
      <c r="F1044">
        <v>49152</v>
      </c>
      <c r="G1044">
        <f>MAX(I1043,I1043)</f>
        <v>1226317</v>
      </c>
      <c r="H1044">
        <f>CEILING((dram_access_latency+F1044/dram_bandwidth)*frequency,1)</f>
        <v>868</v>
      </c>
      <c r="I1044">
        <f>G1044+H1044</f>
        <v>1227185</v>
      </c>
      <c r="J1044">
        <f>IF(AND(D1044&lt;&gt;"dram",D1044&lt;&gt;"control"),H1044,0)</f>
        <v>0</v>
      </c>
      <c r="K1044">
        <f>IF(D1044="dram",H1044,0)</f>
        <v>868</v>
      </c>
      <c r="L1044">
        <v>0</v>
      </c>
      <c r="M1044">
        <v>49152</v>
      </c>
    </row>
    <row r="1045" spans="1:13">
      <c r="A1045">
        <v>1043</v>
      </c>
      <c r="B1045" t="s">
        <v>276</v>
      </c>
      <c r="C1045" t="s">
        <v>82</v>
      </c>
      <c r="D1045" t="s">
        <v>83</v>
      </c>
      <c r="E1045" t="s">
        <v>84</v>
      </c>
      <c r="F1045">
        <v>1572864</v>
      </c>
      <c r="G1045">
        <f>MAX(I1044,I1044)</f>
        <v>1227185</v>
      </c>
      <c r="H1045">
        <f>CEILING((dram_access_latency+F1045/dram_bandwidth)*frequency,1)</f>
        <v>24676</v>
      </c>
      <c r="I1045">
        <f>G1045+H1045</f>
        <v>1251861</v>
      </c>
      <c r="J1045">
        <f>IF(AND(D1045&lt;&gt;"dram",D1045&lt;&gt;"control"),H1045,0)</f>
        <v>0</v>
      </c>
      <c r="K1045">
        <f>IF(D1045="dram",H1045,0)</f>
        <v>24676</v>
      </c>
      <c r="L1045">
        <v>1572864</v>
      </c>
      <c r="M1045">
        <v>0</v>
      </c>
    </row>
    <row r="1046" spans="1:13">
      <c r="A1046">
        <v>1044</v>
      </c>
      <c r="B1046" t="s">
        <v>276</v>
      </c>
      <c r="C1046" t="s">
        <v>92</v>
      </c>
      <c r="D1046" t="s">
        <v>83</v>
      </c>
      <c r="E1046" t="s">
        <v>84</v>
      </c>
      <c r="F1046">
        <v>1572864</v>
      </c>
      <c r="G1046">
        <f>MAX(I1045,I1045)</f>
        <v>1251861</v>
      </c>
      <c r="H1046">
        <f>CEILING((dram_access_latency+F1046/dram_bandwidth)*frequency,1)</f>
        <v>24676</v>
      </c>
      <c r="I1046">
        <f>G1046+H1046</f>
        <v>1276537</v>
      </c>
      <c r="J1046">
        <f>IF(AND(D1046&lt;&gt;"dram",D1046&lt;&gt;"control"),H1046,0)</f>
        <v>0</v>
      </c>
      <c r="K1046">
        <f>IF(D1046="dram",H1046,0)</f>
        <v>24676</v>
      </c>
      <c r="L1046">
        <v>0</v>
      </c>
      <c r="M1046">
        <v>1572864</v>
      </c>
    </row>
    <row r="1047" spans="1:13">
      <c r="A1047">
        <v>1045</v>
      </c>
      <c r="B1047" t="s">
        <v>277</v>
      </c>
      <c r="C1047" t="s">
        <v>82</v>
      </c>
      <c r="D1047" t="s">
        <v>83</v>
      </c>
      <c r="E1047" t="s">
        <v>84</v>
      </c>
      <c r="F1047">
        <v>1024</v>
      </c>
      <c r="G1047">
        <f>MAX(I1046,I1046)</f>
        <v>1276537</v>
      </c>
      <c r="H1047">
        <f>CEILING((dram_access_latency+F1047/dram_bandwidth)*frequency,1)</f>
        <v>116</v>
      </c>
      <c r="I1047">
        <f>G1047+H1047</f>
        <v>1276653</v>
      </c>
      <c r="J1047">
        <f>IF(AND(D1047&lt;&gt;"dram",D1047&lt;&gt;"control"),H1047,0)</f>
        <v>0</v>
      </c>
      <c r="K1047">
        <f>IF(D1047="dram",H1047,0)</f>
        <v>116</v>
      </c>
      <c r="L1047">
        <v>1024</v>
      </c>
      <c r="M1047">
        <v>0</v>
      </c>
    </row>
    <row r="1048" spans="1:13">
      <c r="A1048">
        <v>1046</v>
      </c>
      <c r="B1048" t="s">
        <v>277</v>
      </c>
      <c r="C1048" t="s">
        <v>92</v>
      </c>
      <c r="D1048" t="s">
        <v>83</v>
      </c>
      <c r="E1048" t="s">
        <v>84</v>
      </c>
      <c r="F1048">
        <v>1024</v>
      </c>
      <c r="G1048">
        <f>MAX(I1047,I1047)</f>
        <v>1276653</v>
      </c>
      <c r="H1048">
        <f>CEILING((dram_access_latency+F1048/dram_bandwidth)*frequency,1)</f>
        <v>116</v>
      </c>
      <c r="I1048">
        <f>G1048+H1048</f>
        <v>1276769</v>
      </c>
      <c r="J1048">
        <f>IF(AND(D1048&lt;&gt;"dram",D1048&lt;&gt;"control"),H1048,0)</f>
        <v>0</v>
      </c>
      <c r="K1048">
        <f>IF(D1048="dram",H1048,0)</f>
        <v>116</v>
      </c>
      <c r="L1048">
        <v>0</v>
      </c>
      <c r="M1048">
        <v>1024</v>
      </c>
    </row>
    <row r="1049" spans="1:13">
      <c r="A1049">
        <v>1047</v>
      </c>
      <c r="B1049" t="s">
        <v>278</v>
      </c>
      <c r="C1049" t="s">
        <v>82</v>
      </c>
      <c r="D1049" t="s">
        <v>83</v>
      </c>
      <c r="E1049" t="s">
        <v>84</v>
      </c>
      <c r="F1049">
        <v>32768</v>
      </c>
      <c r="G1049">
        <f>MAX(I1048,I1048)</f>
        <v>1276769</v>
      </c>
      <c r="H1049">
        <f>CEILING((dram_access_latency+F1049/dram_bandwidth)*frequency,1)</f>
        <v>612</v>
      </c>
      <c r="I1049">
        <f>G1049+H1049</f>
        <v>1277381</v>
      </c>
      <c r="J1049">
        <f>IF(AND(D1049&lt;&gt;"dram",D1049&lt;&gt;"control"),H1049,0)</f>
        <v>0</v>
      </c>
      <c r="K1049">
        <f>IF(D1049="dram",H1049,0)</f>
        <v>612</v>
      </c>
      <c r="L1049">
        <v>32768</v>
      </c>
      <c r="M1049">
        <v>0</v>
      </c>
    </row>
    <row r="1050" spans="1:13">
      <c r="A1050">
        <v>1048</v>
      </c>
      <c r="B1050" t="s">
        <v>278</v>
      </c>
      <c r="C1050" t="s">
        <v>92</v>
      </c>
      <c r="D1050" t="s">
        <v>83</v>
      </c>
      <c r="E1050" t="s">
        <v>84</v>
      </c>
      <c r="F1050">
        <v>32768</v>
      </c>
      <c r="G1050">
        <f>MAX(I1049,I1049)</f>
        <v>1277381</v>
      </c>
      <c r="H1050">
        <f>CEILING((dram_access_latency+F1050/dram_bandwidth)*frequency,1)</f>
        <v>612</v>
      </c>
      <c r="I1050">
        <f>G1050+H1050</f>
        <v>1277993</v>
      </c>
      <c r="J1050">
        <f>IF(AND(D1050&lt;&gt;"dram",D1050&lt;&gt;"control"),H1050,0)</f>
        <v>0</v>
      </c>
      <c r="K1050">
        <f>IF(D1050="dram",H1050,0)</f>
        <v>612</v>
      </c>
      <c r="L1050">
        <v>0</v>
      </c>
      <c r="M1050">
        <v>32768</v>
      </c>
    </row>
    <row r="1051" spans="1:13">
      <c r="A1051">
        <v>1049</v>
      </c>
      <c r="B1051" t="s">
        <v>279</v>
      </c>
      <c r="C1051" t="s">
        <v>82</v>
      </c>
      <c r="D1051" t="s">
        <v>83</v>
      </c>
      <c r="E1051" t="s">
        <v>84</v>
      </c>
      <c r="F1051">
        <v>12288</v>
      </c>
      <c r="G1051">
        <f>MAX(I1050,I1050)</f>
        <v>1277993</v>
      </c>
      <c r="H1051">
        <f>CEILING((dram_access_latency+F1051/dram_bandwidth)*frequency,1)</f>
        <v>292</v>
      </c>
      <c r="I1051">
        <f>G1051+H1051</f>
        <v>1278285</v>
      </c>
      <c r="J1051">
        <f>IF(AND(D1051&lt;&gt;"dram",D1051&lt;&gt;"control"),H1051,0)</f>
        <v>0</v>
      </c>
      <c r="K1051">
        <f>IF(D1051="dram",H1051,0)</f>
        <v>292</v>
      </c>
      <c r="L1051">
        <v>12288</v>
      </c>
      <c r="M1051">
        <v>0</v>
      </c>
    </row>
    <row r="1052" spans="1:13">
      <c r="A1052">
        <v>1050</v>
      </c>
      <c r="B1052" t="s">
        <v>279</v>
      </c>
      <c r="C1052" t="s">
        <v>92</v>
      </c>
      <c r="D1052" t="s">
        <v>83</v>
      </c>
      <c r="E1052" t="s">
        <v>84</v>
      </c>
      <c r="F1052">
        <v>12288</v>
      </c>
      <c r="G1052">
        <f>MAX(I1051,I1051)</f>
        <v>1278285</v>
      </c>
      <c r="H1052">
        <f>CEILING((dram_access_latency+F1052/dram_bandwidth)*frequency,1)</f>
        <v>292</v>
      </c>
      <c r="I1052">
        <f>G1052+H1052</f>
        <v>1278577</v>
      </c>
      <c r="J1052">
        <f>IF(AND(D1052&lt;&gt;"dram",D1052&lt;&gt;"control"),H1052,0)</f>
        <v>0</v>
      </c>
      <c r="K1052">
        <f>IF(D1052="dram",H1052,0)</f>
        <v>292</v>
      </c>
      <c r="L1052">
        <v>0</v>
      </c>
      <c r="M1052">
        <v>12288</v>
      </c>
    </row>
    <row r="1053" spans="1:13">
      <c r="A1053">
        <v>1051</v>
      </c>
      <c r="B1053" t="s">
        <v>280</v>
      </c>
      <c r="C1053" t="s">
        <v>82</v>
      </c>
      <c r="D1053" t="s">
        <v>83</v>
      </c>
      <c r="E1053" t="s">
        <v>84</v>
      </c>
      <c r="F1053">
        <v>393216</v>
      </c>
      <c r="G1053">
        <f>MAX(I1052,I1052)</f>
        <v>1278577</v>
      </c>
      <c r="H1053">
        <f>CEILING((dram_access_latency+F1053/dram_bandwidth)*frequency,1)</f>
        <v>6244</v>
      </c>
      <c r="I1053">
        <f>G1053+H1053</f>
        <v>1284821</v>
      </c>
      <c r="J1053">
        <f>IF(AND(D1053&lt;&gt;"dram",D1053&lt;&gt;"control"),H1053,0)</f>
        <v>0</v>
      </c>
      <c r="K1053">
        <f>IF(D1053="dram",H1053,0)</f>
        <v>6244</v>
      </c>
      <c r="L1053">
        <v>393216</v>
      </c>
      <c r="M1053">
        <v>0</v>
      </c>
    </row>
    <row r="1054" spans="1:13">
      <c r="A1054">
        <v>1052</v>
      </c>
      <c r="B1054" t="s">
        <v>280</v>
      </c>
      <c r="C1054" t="s">
        <v>92</v>
      </c>
      <c r="D1054" t="s">
        <v>83</v>
      </c>
      <c r="E1054" t="s">
        <v>84</v>
      </c>
      <c r="F1054">
        <v>393216</v>
      </c>
      <c r="G1054">
        <f>MAX(I1053,I1053)</f>
        <v>1284821</v>
      </c>
      <c r="H1054">
        <f>CEILING((dram_access_latency+F1054/dram_bandwidth)*frequency,1)</f>
        <v>6244</v>
      </c>
      <c r="I1054">
        <f>G1054+H1054</f>
        <v>1291065</v>
      </c>
      <c r="J1054">
        <f>IF(AND(D1054&lt;&gt;"dram",D1054&lt;&gt;"control"),H1054,0)</f>
        <v>0</v>
      </c>
      <c r="K1054">
        <f>IF(D1054="dram",H1054,0)</f>
        <v>6244</v>
      </c>
      <c r="L1054">
        <v>0</v>
      </c>
      <c r="M1054">
        <v>393216</v>
      </c>
    </row>
    <row r="1055" spans="1:13">
      <c r="A1055">
        <v>1053</v>
      </c>
      <c r="B1055" t="s">
        <v>281</v>
      </c>
      <c r="C1055" t="s">
        <v>82</v>
      </c>
      <c r="D1055" t="s">
        <v>83</v>
      </c>
      <c r="E1055" t="s">
        <v>84</v>
      </c>
      <c r="F1055">
        <v>256</v>
      </c>
      <c r="G1055">
        <f>MAX(I1054,I1054)</f>
        <v>1291065</v>
      </c>
      <c r="H1055">
        <f>CEILING((dram_access_latency+F1055/dram_bandwidth)*frequency,1)</f>
        <v>104</v>
      </c>
      <c r="I1055">
        <f>G1055+H1055</f>
        <v>1291169</v>
      </c>
      <c r="J1055">
        <f>IF(AND(D1055&lt;&gt;"dram",D1055&lt;&gt;"control"),H1055,0)</f>
        <v>0</v>
      </c>
      <c r="K1055">
        <f>IF(D1055="dram",H1055,0)</f>
        <v>104</v>
      </c>
      <c r="L1055">
        <v>256</v>
      </c>
      <c r="M1055">
        <v>0</v>
      </c>
    </row>
    <row r="1056" spans="1:13">
      <c r="A1056">
        <v>1054</v>
      </c>
      <c r="B1056" t="s">
        <v>281</v>
      </c>
      <c r="C1056" t="s">
        <v>92</v>
      </c>
      <c r="D1056" t="s">
        <v>83</v>
      </c>
      <c r="E1056" t="s">
        <v>84</v>
      </c>
      <c r="F1056">
        <v>256</v>
      </c>
      <c r="G1056">
        <f>MAX(I1055,I1055)</f>
        <v>1291169</v>
      </c>
      <c r="H1056">
        <f>CEILING((dram_access_latency+F1056/dram_bandwidth)*frequency,1)</f>
        <v>104</v>
      </c>
      <c r="I1056">
        <f>G1056+H1056</f>
        <v>1291273</v>
      </c>
      <c r="J1056">
        <f>IF(AND(D1056&lt;&gt;"dram",D1056&lt;&gt;"control"),H1056,0)</f>
        <v>0</v>
      </c>
      <c r="K1056">
        <f>IF(D1056="dram",H1056,0)</f>
        <v>104</v>
      </c>
      <c r="L1056">
        <v>0</v>
      </c>
      <c r="M1056">
        <v>256</v>
      </c>
    </row>
    <row r="1057" spans="1:13">
      <c r="A1057">
        <v>1055</v>
      </c>
      <c r="B1057" t="s">
        <v>282</v>
      </c>
      <c r="C1057" t="s">
        <v>82</v>
      </c>
      <c r="D1057" t="s">
        <v>83</v>
      </c>
      <c r="E1057" t="s">
        <v>84</v>
      </c>
      <c r="F1057">
        <v>8192</v>
      </c>
      <c r="G1057">
        <f>MAX(I1056,I1056)</f>
        <v>1291273</v>
      </c>
      <c r="H1057">
        <f>CEILING((dram_access_latency+F1057/dram_bandwidth)*frequency,1)</f>
        <v>228</v>
      </c>
      <c r="I1057">
        <f>G1057+H1057</f>
        <v>1291501</v>
      </c>
      <c r="J1057">
        <f>IF(AND(D1057&lt;&gt;"dram",D1057&lt;&gt;"control"),H1057,0)</f>
        <v>0</v>
      </c>
      <c r="K1057">
        <f>IF(D1057="dram",H1057,0)</f>
        <v>228</v>
      </c>
      <c r="L1057">
        <v>8192</v>
      </c>
      <c r="M1057">
        <v>0</v>
      </c>
    </row>
    <row r="1058" spans="1:13">
      <c r="A1058">
        <v>1056</v>
      </c>
      <c r="B1058" t="s">
        <v>282</v>
      </c>
      <c r="C1058" t="s">
        <v>92</v>
      </c>
      <c r="D1058" t="s">
        <v>83</v>
      </c>
      <c r="E1058" t="s">
        <v>84</v>
      </c>
      <c r="F1058">
        <v>8192</v>
      </c>
      <c r="G1058">
        <f>MAX(I1057,I1057)</f>
        <v>1291501</v>
      </c>
      <c r="H1058">
        <f>CEILING((dram_access_latency+F1058/dram_bandwidth)*frequency,1)</f>
        <v>228</v>
      </c>
      <c r="I1058">
        <f>G1058+H1058</f>
        <v>1291729</v>
      </c>
      <c r="J1058">
        <f>IF(AND(D1058&lt;&gt;"dram",D1058&lt;&gt;"control"),H1058,0)</f>
        <v>0</v>
      </c>
      <c r="K1058">
        <f>IF(D1058="dram",H1058,0)</f>
        <v>228</v>
      </c>
      <c r="L1058">
        <v>0</v>
      </c>
      <c r="M1058">
        <v>8192</v>
      </c>
    </row>
    <row r="1059" spans="1:13">
      <c r="A1059">
        <v>1057</v>
      </c>
      <c r="B1059" t="s">
        <v>283</v>
      </c>
      <c r="C1059" t="s">
        <v>82</v>
      </c>
      <c r="D1059" t="s">
        <v>83</v>
      </c>
      <c r="E1059" t="s">
        <v>86</v>
      </c>
      <c r="F1059">
        <v>12288</v>
      </c>
      <c r="G1059">
        <f>MAX(I1058,I1058)</f>
        <v>1291729</v>
      </c>
      <c r="H1059">
        <f>CEILING((dram_access_latency+F1059/dram_bandwidth)*frequency,1)</f>
        <v>292</v>
      </c>
      <c r="I1059">
        <f>G1059+H1059</f>
        <v>1292021</v>
      </c>
      <c r="J1059">
        <f>IF(AND(D1059&lt;&gt;"dram",D1059&lt;&gt;"control"),H1059,0)</f>
        <v>0</v>
      </c>
      <c r="K1059">
        <f>IF(D1059="dram",H1059,0)</f>
        <v>292</v>
      </c>
      <c r="L1059">
        <v>12288</v>
      </c>
      <c r="M1059">
        <v>0</v>
      </c>
    </row>
    <row r="1060" spans="1:13">
      <c r="A1060">
        <v>1058</v>
      </c>
      <c r="B1060" t="s">
        <v>284</v>
      </c>
      <c r="C1060" t="s">
        <v>82</v>
      </c>
      <c r="D1060" t="s">
        <v>83</v>
      </c>
      <c r="E1060" t="s">
        <v>86</v>
      </c>
      <c r="F1060">
        <v>256</v>
      </c>
      <c r="G1060">
        <f>MAX(I1058,I1059)</f>
        <v>1292021</v>
      </c>
      <c r="H1060">
        <f>CEILING((dram_access_latency+F1060/dram_bandwidth)*frequency,1)</f>
        <v>104</v>
      </c>
      <c r="I1060">
        <f>G1060+H1060</f>
        <v>1292125</v>
      </c>
      <c r="J1060">
        <f>IF(AND(D1060&lt;&gt;"dram",D1060&lt;&gt;"control"),H1060,0)</f>
        <v>0</v>
      </c>
      <c r="K1060">
        <f>IF(D1060="dram",H1060,0)</f>
        <v>104</v>
      </c>
      <c r="L1060">
        <v>256</v>
      </c>
      <c r="M1060">
        <v>0</v>
      </c>
    </row>
    <row r="1061" spans="1:13">
      <c r="A1061">
        <v>1059</v>
      </c>
      <c r="B1061" t="s">
        <v>285</v>
      </c>
      <c r="C1061" t="s">
        <v>82</v>
      </c>
      <c r="D1061" t="s">
        <v>83</v>
      </c>
      <c r="E1061" t="s">
        <v>86</v>
      </c>
      <c r="F1061">
        <v>384</v>
      </c>
      <c r="G1061">
        <f>MAX(I1058,I1060)</f>
        <v>1292125</v>
      </c>
      <c r="H1061">
        <f>CEILING((dram_access_latency+F1061/dram_bandwidth)*frequency,1)</f>
        <v>106</v>
      </c>
      <c r="I1061">
        <f>G1061+H1061</f>
        <v>1292231</v>
      </c>
      <c r="J1061">
        <f>IF(AND(D1061&lt;&gt;"dram",D1061&lt;&gt;"control"),H1061,0)</f>
        <v>0</v>
      </c>
      <c r="K1061">
        <f>IF(D1061="dram",H1061,0)</f>
        <v>106</v>
      </c>
      <c r="L1061">
        <v>384</v>
      </c>
      <c r="M1061">
        <v>0</v>
      </c>
    </row>
    <row r="1062" spans="1:13">
      <c r="A1062">
        <v>1060</v>
      </c>
      <c r="B1062" t="s">
        <v>286</v>
      </c>
      <c r="C1062" t="s">
        <v>82</v>
      </c>
      <c r="D1062" t="s">
        <v>83</v>
      </c>
      <c r="E1062" t="s">
        <v>86</v>
      </c>
      <c r="F1062">
        <v>8</v>
      </c>
      <c r="G1062">
        <f>MAX(I1058,I1061)</f>
        <v>1292231</v>
      </c>
      <c r="H1062">
        <f>CEILING((dram_access_latency+F1062/dram_bandwidth)*frequency,1)</f>
        <v>101</v>
      </c>
      <c r="I1062">
        <f>G1062+H1062</f>
        <v>1292332</v>
      </c>
      <c r="J1062">
        <f>IF(AND(D1062&lt;&gt;"dram",D1062&lt;&gt;"control"),H1062,0)</f>
        <v>0</v>
      </c>
      <c r="K1062">
        <f>IF(D1062="dram",H1062,0)</f>
        <v>101</v>
      </c>
      <c r="L1062">
        <v>8</v>
      </c>
      <c r="M1062">
        <v>0</v>
      </c>
    </row>
    <row r="1063" spans="1:13">
      <c r="A1063">
        <v>1061</v>
      </c>
      <c r="B1063" t="s">
        <v>47</v>
      </c>
      <c r="C1063" t="s">
        <v>90</v>
      </c>
      <c r="D1063" t="s">
        <v>287</v>
      </c>
      <c r="E1063" t="s">
        <v>86</v>
      </c>
      <c r="F1063">
        <v>0</v>
      </c>
      <c r="G1063">
        <f>MAX(I944,I1059,I1060,I1061,I1062)</f>
        <v>1292332</v>
      </c>
      <c r="H1063">
        <f>'Operations'!I18</f>
        <v>400</v>
      </c>
      <c r="I1063">
        <f>G1063+H1063</f>
        <v>1292732</v>
      </c>
      <c r="J1063">
        <f>IF(AND(D1063&lt;&gt;"dram",D1063&lt;&gt;"control"),H1063,0)</f>
        <v>400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283</v>
      </c>
      <c r="C1064" t="s">
        <v>82</v>
      </c>
      <c r="D1064" t="s">
        <v>83</v>
      </c>
      <c r="E1064" t="s">
        <v>93</v>
      </c>
      <c r="F1064">
        <v>12288</v>
      </c>
      <c r="G1064">
        <f>MAX(I1058,I1062)</f>
        <v>1292332</v>
      </c>
      <c r="H1064">
        <f>CEILING((dram_access_latency+F1064/dram_bandwidth)*frequency,1)</f>
        <v>292</v>
      </c>
      <c r="I1064">
        <f>G1064+H1064</f>
        <v>1292624</v>
      </c>
      <c r="J1064">
        <f>IF(AND(D1064&lt;&gt;"dram",D1064&lt;&gt;"control"),H1064,0)</f>
        <v>0</v>
      </c>
      <c r="K1064">
        <f>IF(D1064="dram",H1064,0)</f>
        <v>292</v>
      </c>
      <c r="L1064">
        <v>12288</v>
      </c>
      <c r="M1064">
        <v>0</v>
      </c>
    </row>
    <row r="1065" spans="1:13">
      <c r="A1065">
        <v>1063</v>
      </c>
      <c r="B1065" t="s">
        <v>284</v>
      </c>
      <c r="C1065" t="s">
        <v>82</v>
      </c>
      <c r="D1065" t="s">
        <v>83</v>
      </c>
      <c r="E1065" t="s">
        <v>93</v>
      </c>
      <c r="F1065">
        <v>256</v>
      </c>
      <c r="G1065">
        <f>MAX(I1058,I1064)</f>
        <v>1292624</v>
      </c>
      <c r="H1065">
        <f>CEILING((dram_access_latency+F1065/dram_bandwidth)*frequency,1)</f>
        <v>104</v>
      </c>
      <c r="I1065">
        <f>G1065+H1065</f>
        <v>1292728</v>
      </c>
      <c r="J1065">
        <f>IF(AND(D1065&lt;&gt;"dram",D1065&lt;&gt;"control"),H1065,0)</f>
        <v>0</v>
      </c>
      <c r="K1065">
        <f>IF(D1065="dram",H1065,0)</f>
        <v>104</v>
      </c>
      <c r="L1065">
        <v>256</v>
      </c>
      <c r="M1065">
        <v>0</v>
      </c>
    </row>
    <row r="1066" spans="1:13">
      <c r="A1066">
        <v>1064</v>
      </c>
      <c r="B1066" t="s">
        <v>285</v>
      </c>
      <c r="C1066" t="s">
        <v>82</v>
      </c>
      <c r="D1066" t="s">
        <v>83</v>
      </c>
      <c r="E1066" t="s">
        <v>93</v>
      </c>
      <c r="F1066">
        <v>384</v>
      </c>
      <c r="G1066">
        <f>MAX(I1058,I1065)</f>
        <v>1292728</v>
      </c>
      <c r="H1066">
        <f>CEILING((dram_access_latency+F1066/dram_bandwidth)*frequency,1)</f>
        <v>106</v>
      </c>
      <c r="I1066">
        <f>G1066+H1066</f>
        <v>1292834</v>
      </c>
      <c r="J1066">
        <f>IF(AND(D1066&lt;&gt;"dram",D1066&lt;&gt;"control"),H1066,0)</f>
        <v>0</v>
      </c>
      <c r="K1066">
        <f>IF(D1066="dram",H1066,0)</f>
        <v>106</v>
      </c>
      <c r="L1066">
        <v>384</v>
      </c>
      <c r="M1066">
        <v>0</v>
      </c>
    </row>
    <row r="1067" spans="1:13">
      <c r="A1067">
        <v>1065</v>
      </c>
      <c r="B1067" t="s">
        <v>286</v>
      </c>
      <c r="C1067" t="s">
        <v>82</v>
      </c>
      <c r="D1067" t="s">
        <v>83</v>
      </c>
      <c r="E1067" t="s">
        <v>93</v>
      </c>
      <c r="F1067">
        <v>8</v>
      </c>
      <c r="G1067">
        <f>MAX(I1058,I1066)</f>
        <v>1292834</v>
      </c>
      <c r="H1067">
        <f>CEILING((dram_access_latency+F1067/dram_bandwidth)*frequency,1)</f>
        <v>101</v>
      </c>
      <c r="I1067">
        <f>G1067+H1067</f>
        <v>1292935</v>
      </c>
      <c r="J1067">
        <f>IF(AND(D1067&lt;&gt;"dram",D1067&lt;&gt;"control"),H1067,0)</f>
        <v>0</v>
      </c>
      <c r="K1067">
        <f>IF(D1067="dram",H1067,0)</f>
        <v>101</v>
      </c>
      <c r="L1067">
        <v>8</v>
      </c>
      <c r="M1067">
        <v>0</v>
      </c>
    </row>
    <row r="1068" spans="1:13">
      <c r="A1068">
        <v>1066</v>
      </c>
      <c r="B1068" t="s">
        <v>47</v>
      </c>
      <c r="C1068" t="s">
        <v>90</v>
      </c>
      <c r="D1068" t="s">
        <v>287</v>
      </c>
      <c r="E1068" t="s">
        <v>93</v>
      </c>
      <c r="F1068">
        <v>0</v>
      </c>
      <c r="G1068">
        <f>MAX(I1063,I1064,I1065,I1066,I1067)</f>
        <v>1292935</v>
      </c>
      <c r="H1068">
        <f>'Operations'!I18</f>
        <v>400</v>
      </c>
      <c r="I1068">
        <f>G1068+H1068</f>
        <v>1293335</v>
      </c>
      <c r="J1068">
        <f>IF(AND(D1068&lt;&gt;"dram",D1068&lt;&gt;"control"),H1068,0)</f>
        <v>400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288</v>
      </c>
      <c r="C1069" t="s">
        <v>88</v>
      </c>
      <c r="D1069" t="s">
        <v>89</v>
      </c>
      <c r="E1069" t="s">
        <v>93</v>
      </c>
      <c r="F1069">
        <v>0</v>
      </c>
      <c r="G1069">
        <f>MAX(I1058,I1063)</f>
        <v>1291729</v>
      </c>
      <c r="H1069">
        <f>0</f>
        <v>1003</v>
      </c>
      <c r="I1069">
        <f>G1069+H1069</f>
        <v>1292732</v>
      </c>
      <c r="J1069">
        <f>IF(AND(D1069&lt;&gt;"dram",D1069&lt;&gt;"control"),H1069,0)</f>
        <v>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289</v>
      </c>
      <c r="C1070" t="s">
        <v>92</v>
      </c>
      <c r="D1070" t="s">
        <v>83</v>
      </c>
      <c r="E1070" t="s">
        <v>93</v>
      </c>
      <c r="F1070">
        <v>1024</v>
      </c>
      <c r="G1070">
        <f>MAX(I1069,I1067)</f>
        <v>1292935</v>
      </c>
      <c r="H1070">
        <f>CEILING((dram_access_latency+F1070/dram_bandwidth)*frequency,1)</f>
        <v>116</v>
      </c>
      <c r="I1070">
        <f>G1070+H1070</f>
        <v>1293051</v>
      </c>
      <c r="J1070">
        <f>IF(AND(D1070&lt;&gt;"dram",D1070&lt;&gt;"control"),H1070,0)</f>
        <v>0</v>
      </c>
      <c r="K1070">
        <f>IF(D1070="dram",H1070,0)</f>
        <v>116</v>
      </c>
      <c r="L1070">
        <v>0</v>
      </c>
      <c r="M1070">
        <v>1024</v>
      </c>
    </row>
    <row r="1071" spans="1:13">
      <c r="A1071">
        <v>1069</v>
      </c>
      <c r="B1071" t="s">
        <v>283</v>
      </c>
      <c r="C1071" t="s">
        <v>82</v>
      </c>
      <c r="D1071" t="s">
        <v>83</v>
      </c>
      <c r="E1071" t="s">
        <v>111</v>
      </c>
      <c r="F1071">
        <v>12288</v>
      </c>
      <c r="G1071">
        <f>MAX(I1069,I1070)</f>
        <v>1293051</v>
      </c>
      <c r="H1071">
        <f>CEILING((dram_access_latency+F1071/dram_bandwidth)*frequency,1)</f>
        <v>292</v>
      </c>
      <c r="I1071">
        <f>G1071+H1071</f>
        <v>1293343</v>
      </c>
      <c r="J1071">
        <f>IF(AND(D1071&lt;&gt;"dram",D1071&lt;&gt;"control"),H1071,0)</f>
        <v>0</v>
      </c>
      <c r="K1071">
        <f>IF(D1071="dram",H1071,0)</f>
        <v>292</v>
      </c>
      <c r="L1071">
        <v>12288</v>
      </c>
      <c r="M1071">
        <v>0</v>
      </c>
    </row>
    <row r="1072" spans="1:13">
      <c r="A1072">
        <v>1070</v>
      </c>
      <c r="B1072" t="s">
        <v>284</v>
      </c>
      <c r="C1072" t="s">
        <v>82</v>
      </c>
      <c r="D1072" t="s">
        <v>83</v>
      </c>
      <c r="E1072" t="s">
        <v>111</v>
      </c>
      <c r="F1072">
        <v>256</v>
      </c>
      <c r="G1072">
        <f>MAX(I1069,I1071)</f>
        <v>1293343</v>
      </c>
      <c r="H1072">
        <f>CEILING((dram_access_latency+F1072/dram_bandwidth)*frequency,1)</f>
        <v>104</v>
      </c>
      <c r="I1072">
        <f>G1072+H1072</f>
        <v>1293447</v>
      </c>
      <c r="J1072">
        <f>IF(AND(D1072&lt;&gt;"dram",D1072&lt;&gt;"control"),H1072,0)</f>
        <v>0</v>
      </c>
      <c r="K1072">
        <f>IF(D1072="dram",H1072,0)</f>
        <v>104</v>
      </c>
      <c r="L1072">
        <v>256</v>
      </c>
      <c r="M1072">
        <v>0</v>
      </c>
    </row>
    <row r="1073" spans="1:13">
      <c r="A1073">
        <v>1071</v>
      </c>
      <c r="B1073" t="s">
        <v>285</v>
      </c>
      <c r="C1073" t="s">
        <v>82</v>
      </c>
      <c r="D1073" t="s">
        <v>83</v>
      </c>
      <c r="E1073" t="s">
        <v>111</v>
      </c>
      <c r="F1073">
        <v>384</v>
      </c>
      <c r="G1073">
        <f>MAX(I1069,I1072)</f>
        <v>1293447</v>
      </c>
      <c r="H1073">
        <f>CEILING((dram_access_latency+F1073/dram_bandwidth)*frequency,1)</f>
        <v>106</v>
      </c>
      <c r="I1073">
        <f>G1073+H1073</f>
        <v>1293553</v>
      </c>
      <c r="J1073">
        <f>IF(AND(D1073&lt;&gt;"dram",D1073&lt;&gt;"control"),H1073,0)</f>
        <v>0</v>
      </c>
      <c r="K1073">
        <f>IF(D1073="dram",H1073,0)</f>
        <v>106</v>
      </c>
      <c r="L1073">
        <v>384</v>
      </c>
      <c r="M1073">
        <v>0</v>
      </c>
    </row>
    <row r="1074" spans="1:13">
      <c r="A1074">
        <v>1072</v>
      </c>
      <c r="B1074" t="s">
        <v>286</v>
      </c>
      <c r="C1074" t="s">
        <v>82</v>
      </c>
      <c r="D1074" t="s">
        <v>83</v>
      </c>
      <c r="E1074" t="s">
        <v>111</v>
      </c>
      <c r="F1074">
        <v>8</v>
      </c>
      <c r="G1074">
        <f>MAX(I1069,I1073)</f>
        <v>1293553</v>
      </c>
      <c r="H1074">
        <f>CEILING((dram_access_latency+F1074/dram_bandwidth)*frequency,1)</f>
        <v>101</v>
      </c>
      <c r="I1074">
        <f>G1074+H1074</f>
        <v>1293654</v>
      </c>
      <c r="J1074">
        <f>IF(AND(D1074&lt;&gt;"dram",D1074&lt;&gt;"control"),H1074,0)</f>
        <v>0</v>
      </c>
      <c r="K1074">
        <f>IF(D1074="dram",H1074,0)</f>
        <v>101</v>
      </c>
      <c r="L1074">
        <v>8</v>
      </c>
      <c r="M1074">
        <v>0</v>
      </c>
    </row>
    <row r="1075" spans="1:13">
      <c r="A1075">
        <v>1073</v>
      </c>
      <c r="B1075" t="s">
        <v>47</v>
      </c>
      <c r="C1075" t="s">
        <v>90</v>
      </c>
      <c r="D1075" t="s">
        <v>287</v>
      </c>
      <c r="E1075" t="s">
        <v>111</v>
      </c>
      <c r="F1075">
        <v>0</v>
      </c>
      <c r="G1075">
        <f>MAX(I1068,I1071,I1072,I1073,I1074,I1070)</f>
        <v>1293654</v>
      </c>
      <c r="H1075">
        <f>'Operations'!I18</f>
        <v>400</v>
      </c>
      <c r="I1075">
        <f>G1075+H1075</f>
        <v>1294054</v>
      </c>
      <c r="J1075">
        <f>IF(AND(D1075&lt;&gt;"dram",D1075&lt;&gt;"control"),H1075,0)</f>
        <v>400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288</v>
      </c>
      <c r="C1076" t="s">
        <v>88</v>
      </c>
      <c r="D1076" t="s">
        <v>89</v>
      </c>
      <c r="E1076" t="s">
        <v>111</v>
      </c>
      <c r="F1076">
        <v>0</v>
      </c>
      <c r="G1076">
        <f>MAX(I1069,I1068)</f>
        <v>1292732</v>
      </c>
      <c r="H1076">
        <f>0</f>
        <v>603</v>
      </c>
      <c r="I1076">
        <f>G1076+H1076</f>
        <v>1293335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289</v>
      </c>
      <c r="C1077" t="s">
        <v>92</v>
      </c>
      <c r="D1077" t="s">
        <v>83</v>
      </c>
      <c r="E1077" t="s">
        <v>111</v>
      </c>
      <c r="F1077">
        <v>1024</v>
      </c>
      <c r="G1077">
        <f>MAX(I1076,I1074)</f>
        <v>1293654</v>
      </c>
      <c r="H1077">
        <f>CEILING((dram_access_latency+F1077/dram_bandwidth)*frequency,1)</f>
        <v>116</v>
      </c>
      <c r="I1077">
        <f>G1077+H1077</f>
        <v>1293770</v>
      </c>
      <c r="J1077">
        <f>IF(AND(D1077&lt;&gt;"dram",D1077&lt;&gt;"control"),H1077,0)</f>
        <v>0</v>
      </c>
      <c r="K1077">
        <f>IF(D1077="dram",H1077,0)</f>
        <v>116</v>
      </c>
      <c r="L1077">
        <v>0</v>
      </c>
      <c r="M1077">
        <v>1024</v>
      </c>
    </row>
    <row r="1078" spans="1:13">
      <c r="A1078">
        <v>1076</v>
      </c>
      <c r="B1078" t="s">
        <v>283</v>
      </c>
      <c r="C1078" t="s">
        <v>82</v>
      </c>
      <c r="D1078" t="s">
        <v>83</v>
      </c>
      <c r="E1078" t="s">
        <v>112</v>
      </c>
      <c r="F1078">
        <v>12288</v>
      </c>
      <c r="G1078">
        <f>MAX(I1076,I1077)</f>
        <v>1293770</v>
      </c>
      <c r="H1078">
        <f>CEILING((dram_access_latency+F1078/dram_bandwidth)*frequency,1)</f>
        <v>292</v>
      </c>
      <c r="I1078">
        <f>G1078+H1078</f>
        <v>1294062</v>
      </c>
      <c r="J1078">
        <f>IF(AND(D1078&lt;&gt;"dram",D1078&lt;&gt;"control"),H1078,0)</f>
        <v>0</v>
      </c>
      <c r="K1078">
        <f>IF(D1078="dram",H1078,0)</f>
        <v>292</v>
      </c>
      <c r="L1078">
        <v>12288</v>
      </c>
      <c r="M1078">
        <v>0</v>
      </c>
    </row>
    <row r="1079" spans="1:13">
      <c r="A1079">
        <v>1077</v>
      </c>
      <c r="B1079" t="s">
        <v>284</v>
      </c>
      <c r="C1079" t="s">
        <v>82</v>
      </c>
      <c r="D1079" t="s">
        <v>83</v>
      </c>
      <c r="E1079" t="s">
        <v>112</v>
      </c>
      <c r="F1079">
        <v>256</v>
      </c>
      <c r="G1079">
        <f>MAX(I1076,I1078)</f>
        <v>1294062</v>
      </c>
      <c r="H1079">
        <f>CEILING((dram_access_latency+F1079/dram_bandwidth)*frequency,1)</f>
        <v>104</v>
      </c>
      <c r="I1079">
        <f>G1079+H1079</f>
        <v>1294166</v>
      </c>
      <c r="J1079">
        <f>IF(AND(D1079&lt;&gt;"dram",D1079&lt;&gt;"control"),H1079,0)</f>
        <v>0</v>
      </c>
      <c r="K1079">
        <f>IF(D1079="dram",H1079,0)</f>
        <v>104</v>
      </c>
      <c r="L1079">
        <v>256</v>
      </c>
      <c r="M1079">
        <v>0</v>
      </c>
    </row>
    <row r="1080" spans="1:13">
      <c r="A1080">
        <v>1078</v>
      </c>
      <c r="B1080" t="s">
        <v>285</v>
      </c>
      <c r="C1080" t="s">
        <v>82</v>
      </c>
      <c r="D1080" t="s">
        <v>83</v>
      </c>
      <c r="E1080" t="s">
        <v>112</v>
      </c>
      <c r="F1080">
        <v>384</v>
      </c>
      <c r="G1080">
        <f>MAX(I1076,I1079)</f>
        <v>1294166</v>
      </c>
      <c r="H1080">
        <f>CEILING((dram_access_latency+F1080/dram_bandwidth)*frequency,1)</f>
        <v>106</v>
      </c>
      <c r="I1080">
        <f>G1080+H1080</f>
        <v>1294272</v>
      </c>
      <c r="J1080">
        <f>IF(AND(D1080&lt;&gt;"dram",D1080&lt;&gt;"control"),H1080,0)</f>
        <v>0</v>
      </c>
      <c r="K1080">
        <f>IF(D1080="dram",H1080,0)</f>
        <v>106</v>
      </c>
      <c r="L1080">
        <v>384</v>
      </c>
      <c r="M1080">
        <v>0</v>
      </c>
    </row>
    <row r="1081" spans="1:13">
      <c r="A1081">
        <v>1079</v>
      </c>
      <c r="B1081" t="s">
        <v>286</v>
      </c>
      <c r="C1081" t="s">
        <v>82</v>
      </c>
      <c r="D1081" t="s">
        <v>83</v>
      </c>
      <c r="E1081" t="s">
        <v>112</v>
      </c>
      <c r="F1081">
        <v>8</v>
      </c>
      <c r="G1081">
        <f>MAX(I1076,I1080)</f>
        <v>1294272</v>
      </c>
      <c r="H1081">
        <f>CEILING((dram_access_latency+F1081/dram_bandwidth)*frequency,1)</f>
        <v>101</v>
      </c>
      <c r="I1081">
        <f>G1081+H1081</f>
        <v>1294373</v>
      </c>
      <c r="J1081">
        <f>IF(AND(D1081&lt;&gt;"dram",D1081&lt;&gt;"control"),H1081,0)</f>
        <v>0</v>
      </c>
      <c r="K1081">
        <f>IF(D1081="dram",H1081,0)</f>
        <v>101</v>
      </c>
      <c r="L1081">
        <v>8</v>
      </c>
      <c r="M1081">
        <v>0</v>
      </c>
    </row>
    <row r="1082" spans="1:13">
      <c r="A1082">
        <v>1080</v>
      </c>
      <c r="B1082" t="s">
        <v>47</v>
      </c>
      <c r="C1082" t="s">
        <v>90</v>
      </c>
      <c r="D1082" t="s">
        <v>287</v>
      </c>
      <c r="E1082" t="s">
        <v>112</v>
      </c>
      <c r="F1082">
        <v>0</v>
      </c>
      <c r="G1082">
        <f>MAX(I1075,I1078,I1079,I1080,I1081,I1077)</f>
        <v>1294373</v>
      </c>
      <c r="H1082">
        <f>'Operations'!I18</f>
        <v>400</v>
      </c>
      <c r="I1082">
        <f>G1082+H1082</f>
        <v>1294773</v>
      </c>
      <c r="J1082">
        <f>IF(AND(D1082&lt;&gt;"dram",D1082&lt;&gt;"control"),H1082,0)</f>
        <v>400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288</v>
      </c>
      <c r="C1083" t="s">
        <v>88</v>
      </c>
      <c r="D1083" t="s">
        <v>89</v>
      </c>
      <c r="E1083" t="s">
        <v>112</v>
      </c>
      <c r="F1083">
        <v>0</v>
      </c>
      <c r="G1083">
        <f>MAX(I1076,I1075)</f>
        <v>1293335</v>
      </c>
      <c r="H1083">
        <f>0</f>
        <v>719</v>
      </c>
      <c r="I1083">
        <f>G1083+H1083</f>
        <v>1294054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289</v>
      </c>
      <c r="C1084" t="s">
        <v>92</v>
      </c>
      <c r="D1084" t="s">
        <v>83</v>
      </c>
      <c r="E1084" t="s">
        <v>112</v>
      </c>
      <c r="F1084">
        <v>1024</v>
      </c>
      <c r="G1084">
        <f>MAX(I1083,I1081)</f>
        <v>1294373</v>
      </c>
      <c r="H1084">
        <f>CEILING((dram_access_latency+F1084/dram_bandwidth)*frequency,1)</f>
        <v>116</v>
      </c>
      <c r="I1084">
        <f>G1084+H1084</f>
        <v>1294489</v>
      </c>
      <c r="J1084">
        <f>IF(AND(D1084&lt;&gt;"dram",D1084&lt;&gt;"control"),H1084,0)</f>
        <v>0</v>
      </c>
      <c r="K1084">
        <f>IF(D1084="dram",H1084,0)</f>
        <v>116</v>
      </c>
      <c r="L1084">
        <v>0</v>
      </c>
      <c r="M1084">
        <v>1024</v>
      </c>
    </row>
    <row r="1085" spans="1:13">
      <c r="A1085">
        <v>1083</v>
      </c>
      <c r="B1085" t="s">
        <v>283</v>
      </c>
      <c r="C1085" t="s">
        <v>82</v>
      </c>
      <c r="D1085" t="s">
        <v>83</v>
      </c>
      <c r="E1085" t="s">
        <v>113</v>
      </c>
      <c r="F1085">
        <v>12288</v>
      </c>
      <c r="G1085">
        <f>MAX(I1083,I1084)</f>
        <v>1294489</v>
      </c>
      <c r="H1085">
        <f>CEILING((dram_access_latency+F1085/dram_bandwidth)*frequency,1)</f>
        <v>292</v>
      </c>
      <c r="I1085">
        <f>G1085+H1085</f>
        <v>1294781</v>
      </c>
      <c r="J1085">
        <f>IF(AND(D1085&lt;&gt;"dram",D1085&lt;&gt;"control"),H1085,0)</f>
        <v>0</v>
      </c>
      <c r="K1085">
        <f>IF(D1085="dram",H1085,0)</f>
        <v>292</v>
      </c>
      <c r="L1085">
        <v>12288</v>
      </c>
      <c r="M1085">
        <v>0</v>
      </c>
    </row>
    <row r="1086" spans="1:13">
      <c r="A1086">
        <v>1084</v>
      </c>
      <c r="B1086" t="s">
        <v>284</v>
      </c>
      <c r="C1086" t="s">
        <v>82</v>
      </c>
      <c r="D1086" t="s">
        <v>83</v>
      </c>
      <c r="E1086" t="s">
        <v>113</v>
      </c>
      <c r="F1086">
        <v>256</v>
      </c>
      <c r="G1086">
        <f>MAX(I1083,I1085)</f>
        <v>1294781</v>
      </c>
      <c r="H1086">
        <f>CEILING((dram_access_latency+F1086/dram_bandwidth)*frequency,1)</f>
        <v>104</v>
      </c>
      <c r="I1086">
        <f>G1086+H1086</f>
        <v>1294885</v>
      </c>
      <c r="J1086">
        <f>IF(AND(D1086&lt;&gt;"dram",D1086&lt;&gt;"control"),H1086,0)</f>
        <v>0</v>
      </c>
      <c r="K1086">
        <f>IF(D1086="dram",H1086,0)</f>
        <v>104</v>
      </c>
      <c r="L1086">
        <v>256</v>
      </c>
      <c r="M1086">
        <v>0</v>
      </c>
    </row>
    <row r="1087" spans="1:13">
      <c r="A1087">
        <v>1085</v>
      </c>
      <c r="B1087" t="s">
        <v>285</v>
      </c>
      <c r="C1087" t="s">
        <v>82</v>
      </c>
      <c r="D1087" t="s">
        <v>83</v>
      </c>
      <c r="E1087" t="s">
        <v>113</v>
      </c>
      <c r="F1087">
        <v>384</v>
      </c>
      <c r="G1087">
        <f>MAX(I1083,I1086)</f>
        <v>1294885</v>
      </c>
      <c r="H1087">
        <f>CEILING((dram_access_latency+F1087/dram_bandwidth)*frequency,1)</f>
        <v>106</v>
      </c>
      <c r="I1087">
        <f>G1087+H1087</f>
        <v>1294991</v>
      </c>
      <c r="J1087">
        <f>IF(AND(D1087&lt;&gt;"dram",D1087&lt;&gt;"control"),H1087,0)</f>
        <v>0</v>
      </c>
      <c r="K1087">
        <f>IF(D1087="dram",H1087,0)</f>
        <v>106</v>
      </c>
      <c r="L1087">
        <v>384</v>
      </c>
      <c r="M1087">
        <v>0</v>
      </c>
    </row>
    <row r="1088" spans="1:13">
      <c r="A1088">
        <v>1086</v>
      </c>
      <c r="B1088" t="s">
        <v>286</v>
      </c>
      <c r="C1088" t="s">
        <v>82</v>
      </c>
      <c r="D1088" t="s">
        <v>83</v>
      </c>
      <c r="E1088" t="s">
        <v>113</v>
      </c>
      <c r="F1088">
        <v>8</v>
      </c>
      <c r="G1088">
        <f>MAX(I1083,I1087)</f>
        <v>1294991</v>
      </c>
      <c r="H1088">
        <f>CEILING((dram_access_latency+F1088/dram_bandwidth)*frequency,1)</f>
        <v>101</v>
      </c>
      <c r="I1088">
        <f>G1088+H1088</f>
        <v>1295092</v>
      </c>
      <c r="J1088">
        <f>IF(AND(D1088&lt;&gt;"dram",D1088&lt;&gt;"control"),H1088,0)</f>
        <v>0</v>
      </c>
      <c r="K1088">
        <f>IF(D1088="dram",H1088,0)</f>
        <v>101</v>
      </c>
      <c r="L1088">
        <v>8</v>
      </c>
      <c r="M1088">
        <v>0</v>
      </c>
    </row>
    <row r="1089" spans="1:13">
      <c r="A1089">
        <v>1087</v>
      </c>
      <c r="B1089" t="s">
        <v>47</v>
      </c>
      <c r="C1089" t="s">
        <v>90</v>
      </c>
      <c r="D1089" t="s">
        <v>287</v>
      </c>
      <c r="E1089" t="s">
        <v>113</v>
      </c>
      <c r="F1089">
        <v>0</v>
      </c>
      <c r="G1089">
        <f>MAX(I1082,I1085,I1086,I1087,I1088,I1084)</f>
        <v>1295092</v>
      </c>
      <c r="H1089">
        <f>'Operations'!I18</f>
        <v>400</v>
      </c>
      <c r="I1089">
        <f>G1089+H1089</f>
        <v>1295492</v>
      </c>
      <c r="J1089">
        <f>IF(AND(D1089&lt;&gt;"dram",D1089&lt;&gt;"control"),H1089,0)</f>
        <v>400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288</v>
      </c>
      <c r="C1090" t="s">
        <v>88</v>
      </c>
      <c r="D1090" t="s">
        <v>89</v>
      </c>
      <c r="E1090" t="s">
        <v>113</v>
      </c>
      <c r="F1090">
        <v>0</v>
      </c>
      <c r="G1090">
        <f>MAX(I1083,I1082)</f>
        <v>1294054</v>
      </c>
      <c r="H1090">
        <f>0</f>
        <v>719</v>
      </c>
      <c r="I1090">
        <f>G1090+H1090</f>
        <v>1294773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289</v>
      </c>
      <c r="C1091" t="s">
        <v>92</v>
      </c>
      <c r="D1091" t="s">
        <v>83</v>
      </c>
      <c r="E1091" t="s">
        <v>113</v>
      </c>
      <c r="F1091">
        <v>1024</v>
      </c>
      <c r="G1091">
        <f>MAX(I1090,I1088)</f>
        <v>1295092</v>
      </c>
      <c r="H1091">
        <f>CEILING((dram_access_latency+F1091/dram_bandwidth)*frequency,1)</f>
        <v>116</v>
      </c>
      <c r="I1091">
        <f>G1091+H1091</f>
        <v>1295208</v>
      </c>
      <c r="J1091">
        <f>IF(AND(D1091&lt;&gt;"dram",D1091&lt;&gt;"control"),H1091,0)</f>
        <v>0</v>
      </c>
      <c r="K1091">
        <f>IF(D1091="dram",H1091,0)</f>
        <v>116</v>
      </c>
      <c r="L1091">
        <v>0</v>
      </c>
      <c r="M1091">
        <v>1024</v>
      </c>
    </row>
    <row r="1092" spans="1:13">
      <c r="A1092">
        <v>1090</v>
      </c>
      <c r="B1092" t="s">
        <v>283</v>
      </c>
      <c r="C1092" t="s">
        <v>82</v>
      </c>
      <c r="D1092" t="s">
        <v>83</v>
      </c>
      <c r="E1092" t="s">
        <v>114</v>
      </c>
      <c r="F1092">
        <v>12288</v>
      </c>
      <c r="G1092">
        <f>MAX(I1090,I1091)</f>
        <v>1295208</v>
      </c>
      <c r="H1092">
        <f>CEILING((dram_access_latency+F1092/dram_bandwidth)*frequency,1)</f>
        <v>292</v>
      </c>
      <c r="I1092">
        <f>G1092+H1092</f>
        <v>1295500</v>
      </c>
      <c r="J1092">
        <f>IF(AND(D1092&lt;&gt;"dram",D1092&lt;&gt;"control"),H1092,0)</f>
        <v>0</v>
      </c>
      <c r="K1092">
        <f>IF(D1092="dram",H1092,0)</f>
        <v>292</v>
      </c>
      <c r="L1092">
        <v>12288</v>
      </c>
      <c r="M1092">
        <v>0</v>
      </c>
    </row>
    <row r="1093" spans="1:13">
      <c r="A1093">
        <v>1091</v>
      </c>
      <c r="B1093" t="s">
        <v>284</v>
      </c>
      <c r="C1093" t="s">
        <v>82</v>
      </c>
      <c r="D1093" t="s">
        <v>83</v>
      </c>
      <c r="E1093" t="s">
        <v>114</v>
      </c>
      <c r="F1093">
        <v>256</v>
      </c>
      <c r="G1093">
        <f>MAX(I1090,I1092)</f>
        <v>1295500</v>
      </c>
      <c r="H1093">
        <f>CEILING((dram_access_latency+F1093/dram_bandwidth)*frequency,1)</f>
        <v>104</v>
      </c>
      <c r="I1093">
        <f>G1093+H1093</f>
        <v>1295604</v>
      </c>
      <c r="J1093">
        <f>IF(AND(D1093&lt;&gt;"dram",D1093&lt;&gt;"control"),H1093,0)</f>
        <v>0</v>
      </c>
      <c r="K1093">
        <f>IF(D1093="dram",H1093,0)</f>
        <v>104</v>
      </c>
      <c r="L1093">
        <v>256</v>
      </c>
      <c r="M1093">
        <v>0</v>
      </c>
    </row>
    <row r="1094" spans="1:13">
      <c r="A1094">
        <v>1092</v>
      </c>
      <c r="B1094" t="s">
        <v>285</v>
      </c>
      <c r="C1094" t="s">
        <v>82</v>
      </c>
      <c r="D1094" t="s">
        <v>83</v>
      </c>
      <c r="E1094" t="s">
        <v>114</v>
      </c>
      <c r="F1094">
        <v>384</v>
      </c>
      <c r="G1094">
        <f>MAX(I1090,I1093)</f>
        <v>1295604</v>
      </c>
      <c r="H1094">
        <f>CEILING((dram_access_latency+F1094/dram_bandwidth)*frequency,1)</f>
        <v>106</v>
      </c>
      <c r="I1094">
        <f>G1094+H1094</f>
        <v>1295710</v>
      </c>
      <c r="J1094">
        <f>IF(AND(D1094&lt;&gt;"dram",D1094&lt;&gt;"control"),H1094,0)</f>
        <v>0</v>
      </c>
      <c r="K1094">
        <f>IF(D1094="dram",H1094,0)</f>
        <v>106</v>
      </c>
      <c r="L1094">
        <v>384</v>
      </c>
      <c r="M1094">
        <v>0</v>
      </c>
    </row>
    <row r="1095" spans="1:13">
      <c r="A1095">
        <v>1093</v>
      </c>
      <c r="B1095" t="s">
        <v>286</v>
      </c>
      <c r="C1095" t="s">
        <v>82</v>
      </c>
      <c r="D1095" t="s">
        <v>83</v>
      </c>
      <c r="E1095" t="s">
        <v>114</v>
      </c>
      <c r="F1095">
        <v>8</v>
      </c>
      <c r="G1095">
        <f>MAX(I1090,I1094)</f>
        <v>1295710</v>
      </c>
      <c r="H1095">
        <f>CEILING((dram_access_latency+F1095/dram_bandwidth)*frequency,1)</f>
        <v>101</v>
      </c>
      <c r="I1095">
        <f>G1095+H1095</f>
        <v>1295811</v>
      </c>
      <c r="J1095">
        <f>IF(AND(D1095&lt;&gt;"dram",D1095&lt;&gt;"control"),H1095,0)</f>
        <v>0</v>
      </c>
      <c r="K1095">
        <f>IF(D1095="dram",H1095,0)</f>
        <v>101</v>
      </c>
      <c r="L1095">
        <v>8</v>
      </c>
      <c r="M1095">
        <v>0</v>
      </c>
    </row>
    <row r="1096" spans="1:13">
      <c r="A1096">
        <v>1094</v>
      </c>
      <c r="B1096" t="s">
        <v>47</v>
      </c>
      <c r="C1096" t="s">
        <v>90</v>
      </c>
      <c r="D1096" t="s">
        <v>287</v>
      </c>
      <c r="E1096" t="s">
        <v>114</v>
      </c>
      <c r="F1096">
        <v>0</v>
      </c>
      <c r="G1096">
        <f>MAX(I1089,I1092,I1093,I1094,I1095,I1091)</f>
        <v>1295811</v>
      </c>
      <c r="H1096">
        <f>'Operations'!I18</f>
        <v>400</v>
      </c>
      <c r="I1096">
        <f>G1096+H1096</f>
        <v>1296211</v>
      </c>
      <c r="J1096">
        <f>IF(AND(D1096&lt;&gt;"dram",D1096&lt;&gt;"control"),H1096,0)</f>
        <v>400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288</v>
      </c>
      <c r="C1097" t="s">
        <v>88</v>
      </c>
      <c r="D1097" t="s">
        <v>89</v>
      </c>
      <c r="E1097" t="s">
        <v>114</v>
      </c>
      <c r="F1097">
        <v>0</v>
      </c>
      <c r="G1097">
        <f>MAX(I1090,I1089)</f>
        <v>1294773</v>
      </c>
      <c r="H1097">
        <f>0</f>
        <v>719</v>
      </c>
      <c r="I1097">
        <f>G1097+H1097</f>
        <v>1295492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289</v>
      </c>
      <c r="C1098" t="s">
        <v>92</v>
      </c>
      <c r="D1098" t="s">
        <v>83</v>
      </c>
      <c r="E1098" t="s">
        <v>114</v>
      </c>
      <c r="F1098">
        <v>1024</v>
      </c>
      <c r="G1098">
        <f>MAX(I1097,I1095)</f>
        <v>1295811</v>
      </c>
      <c r="H1098">
        <f>CEILING((dram_access_latency+F1098/dram_bandwidth)*frequency,1)</f>
        <v>116</v>
      </c>
      <c r="I1098">
        <f>G1098+H1098</f>
        <v>1295927</v>
      </c>
      <c r="J1098">
        <f>IF(AND(D1098&lt;&gt;"dram",D1098&lt;&gt;"control"),H1098,0)</f>
        <v>0</v>
      </c>
      <c r="K1098">
        <f>IF(D1098="dram",H1098,0)</f>
        <v>116</v>
      </c>
      <c r="L1098">
        <v>0</v>
      </c>
      <c r="M1098">
        <v>1024</v>
      </c>
    </row>
    <row r="1099" spans="1:13">
      <c r="A1099">
        <v>1097</v>
      </c>
      <c r="B1099" t="s">
        <v>283</v>
      </c>
      <c r="C1099" t="s">
        <v>82</v>
      </c>
      <c r="D1099" t="s">
        <v>83</v>
      </c>
      <c r="E1099" t="s">
        <v>115</v>
      </c>
      <c r="F1099">
        <v>12288</v>
      </c>
      <c r="G1099">
        <f>MAX(I1097,I1098)</f>
        <v>1295927</v>
      </c>
      <c r="H1099">
        <f>CEILING((dram_access_latency+F1099/dram_bandwidth)*frequency,1)</f>
        <v>292</v>
      </c>
      <c r="I1099">
        <f>G1099+H1099</f>
        <v>1296219</v>
      </c>
      <c r="J1099">
        <f>IF(AND(D1099&lt;&gt;"dram",D1099&lt;&gt;"control"),H1099,0)</f>
        <v>0</v>
      </c>
      <c r="K1099">
        <f>IF(D1099="dram",H1099,0)</f>
        <v>292</v>
      </c>
      <c r="L1099">
        <v>12288</v>
      </c>
      <c r="M1099">
        <v>0</v>
      </c>
    </row>
    <row r="1100" spans="1:13">
      <c r="A1100">
        <v>1098</v>
      </c>
      <c r="B1100" t="s">
        <v>284</v>
      </c>
      <c r="C1100" t="s">
        <v>82</v>
      </c>
      <c r="D1100" t="s">
        <v>83</v>
      </c>
      <c r="E1100" t="s">
        <v>115</v>
      </c>
      <c r="F1100">
        <v>256</v>
      </c>
      <c r="G1100">
        <f>MAX(I1097,I1099)</f>
        <v>1296219</v>
      </c>
      <c r="H1100">
        <f>CEILING((dram_access_latency+F1100/dram_bandwidth)*frequency,1)</f>
        <v>104</v>
      </c>
      <c r="I1100">
        <f>G1100+H1100</f>
        <v>1296323</v>
      </c>
      <c r="J1100">
        <f>IF(AND(D1100&lt;&gt;"dram",D1100&lt;&gt;"control"),H1100,0)</f>
        <v>0</v>
      </c>
      <c r="K1100">
        <f>IF(D1100="dram",H1100,0)</f>
        <v>104</v>
      </c>
      <c r="L1100">
        <v>256</v>
      </c>
      <c r="M1100">
        <v>0</v>
      </c>
    </row>
    <row r="1101" spans="1:13">
      <c r="A1101">
        <v>1099</v>
      </c>
      <c r="B1101" t="s">
        <v>285</v>
      </c>
      <c r="C1101" t="s">
        <v>82</v>
      </c>
      <c r="D1101" t="s">
        <v>83</v>
      </c>
      <c r="E1101" t="s">
        <v>115</v>
      </c>
      <c r="F1101">
        <v>384</v>
      </c>
      <c r="G1101">
        <f>MAX(I1097,I1100)</f>
        <v>1296323</v>
      </c>
      <c r="H1101">
        <f>CEILING((dram_access_latency+F1101/dram_bandwidth)*frequency,1)</f>
        <v>106</v>
      </c>
      <c r="I1101">
        <f>G1101+H1101</f>
        <v>1296429</v>
      </c>
      <c r="J1101">
        <f>IF(AND(D1101&lt;&gt;"dram",D1101&lt;&gt;"control"),H1101,0)</f>
        <v>0</v>
      </c>
      <c r="K1101">
        <f>IF(D1101="dram",H1101,0)</f>
        <v>106</v>
      </c>
      <c r="L1101">
        <v>384</v>
      </c>
      <c r="M1101">
        <v>0</v>
      </c>
    </row>
    <row r="1102" spans="1:13">
      <c r="A1102">
        <v>1100</v>
      </c>
      <c r="B1102" t="s">
        <v>286</v>
      </c>
      <c r="C1102" t="s">
        <v>82</v>
      </c>
      <c r="D1102" t="s">
        <v>83</v>
      </c>
      <c r="E1102" t="s">
        <v>115</v>
      </c>
      <c r="F1102">
        <v>8</v>
      </c>
      <c r="G1102">
        <f>MAX(I1097,I1101)</f>
        <v>1296429</v>
      </c>
      <c r="H1102">
        <f>CEILING((dram_access_latency+F1102/dram_bandwidth)*frequency,1)</f>
        <v>101</v>
      </c>
      <c r="I1102">
        <f>G1102+H1102</f>
        <v>1296530</v>
      </c>
      <c r="J1102">
        <f>IF(AND(D1102&lt;&gt;"dram",D1102&lt;&gt;"control"),H1102,0)</f>
        <v>0</v>
      </c>
      <c r="K1102">
        <f>IF(D1102="dram",H1102,0)</f>
        <v>101</v>
      </c>
      <c r="L1102">
        <v>8</v>
      </c>
      <c r="M1102">
        <v>0</v>
      </c>
    </row>
    <row r="1103" spans="1:13">
      <c r="A1103">
        <v>1101</v>
      </c>
      <c r="B1103" t="s">
        <v>47</v>
      </c>
      <c r="C1103" t="s">
        <v>90</v>
      </c>
      <c r="D1103" t="s">
        <v>287</v>
      </c>
      <c r="E1103" t="s">
        <v>115</v>
      </c>
      <c r="F1103">
        <v>0</v>
      </c>
      <c r="G1103">
        <f>MAX(I1096,I1099,I1100,I1101,I1102,I1098)</f>
        <v>1296530</v>
      </c>
      <c r="H1103">
        <f>'Operations'!I18</f>
        <v>400</v>
      </c>
      <c r="I1103">
        <f>G1103+H1103</f>
        <v>1296930</v>
      </c>
      <c r="J1103">
        <f>IF(AND(D1103&lt;&gt;"dram",D1103&lt;&gt;"control"),H1103,0)</f>
        <v>400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288</v>
      </c>
      <c r="C1104" t="s">
        <v>88</v>
      </c>
      <c r="D1104" t="s">
        <v>89</v>
      </c>
      <c r="E1104" t="s">
        <v>115</v>
      </c>
      <c r="F1104">
        <v>0</v>
      </c>
      <c r="G1104">
        <f>MAX(I1097,I1096)</f>
        <v>1295492</v>
      </c>
      <c r="H1104">
        <f>0</f>
        <v>719</v>
      </c>
      <c r="I1104">
        <f>G1104+H1104</f>
        <v>1296211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289</v>
      </c>
      <c r="C1105" t="s">
        <v>92</v>
      </c>
      <c r="D1105" t="s">
        <v>83</v>
      </c>
      <c r="E1105" t="s">
        <v>115</v>
      </c>
      <c r="F1105">
        <v>1024</v>
      </c>
      <c r="G1105">
        <f>MAX(I1104,I1102)</f>
        <v>1296530</v>
      </c>
      <c r="H1105">
        <f>CEILING((dram_access_latency+F1105/dram_bandwidth)*frequency,1)</f>
        <v>116</v>
      </c>
      <c r="I1105">
        <f>G1105+H1105</f>
        <v>1296646</v>
      </c>
      <c r="J1105">
        <f>IF(AND(D1105&lt;&gt;"dram",D1105&lt;&gt;"control"),H1105,0)</f>
        <v>0</v>
      </c>
      <c r="K1105">
        <f>IF(D1105="dram",H1105,0)</f>
        <v>116</v>
      </c>
      <c r="L1105">
        <v>0</v>
      </c>
      <c r="M1105">
        <v>1024</v>
      </c>
    </row>
    <row r="1106" spans="1:13">
      <c r="A1106">
        <v>1104</v>
      </c>
      <c r="B1106" t="s">
        <v>283</v>
      </c>
      <c r="C1106" t="s">
        <v>82</v>
      </c>
      <c r="D1106" t="s">
        <v>83</v>
      </c>
      <c r="E1106" t="s">
        <v>116</v>
      </c>
      <c r="F1106">
        <v>12288</v>
      </c>
      <c r="G1106">
        <f>MAX(I1104,I1105)</f>
        <v>1296646</v>
      </c>
      <c r="H1106">
        <f>CEILING((dram_access_latency+F1106/dram_bandwidth)*frequency,1)</f>
        <v>292</v>
      </c>
      <c r="I1106">
        <f>G1106+H1106</f>
        <v>1296938</v>
      </c>
      <c r="J1106">
        <f>IF(AND(D1106&lt;&gt;"dram",D1106&lt;&gt;"control"),H1106,0)</f>
        <v>0</v>
      </c>
      <c r="K1106">
        <f>IF(D1106="dram",H1106,0)</f>
        <v>292</v>
      </c>
      <c r="L1106">
        <v>12288</v>
      </c>
      <c r="M1106">
        <v>0</v>
      </c>
    </row>
    <row r="1107" spans="1:13">
      <c r="A1107">
        <v>1105</v>
      </c>
      <c r="B1107" t="s">
        <v>284</v>
      </c>
      <c r="C1107" t="s">
        <v>82</v>
      </c>
      <c r="D1107" t="s">
        <v>83</v>
      </c>
      <c r="E1107" t="s">
        <v>116</v>
      </c>
      <c r="F1107">
        <v>256</v>
      </c>
      <c r="G1107">
        <f>MAX(I1104,I1106)</f>
        <v>1296938</v>
      </c>
      <c r="H1107">
        <f>CEILING((dram_access_latency+F1107/dram_bandwidth)*frequency,1)</f>
        <v>104</v>
      </c>
      <c r="I1107">
        <f>G1107+H1107</f>
        <v>1297042</v>
      </c>
      <c r="J1107">
        <f>IF(AND(D1107&lt;&gt;"dram",D1107&lt;&gt;"control"),H1107,0)</f>
        <v>0</v>
      </c>
      <c r="K1107">
        <f>IF(D1107="dram",H1107,0)</f>
        <v>104</v>
      </c>
      <c r="L1107">
        <v>256</v>
      </c>
      <c r="M1107">
        <v>0</v>
      </c>
    </row>
    <row r="1108" spans="1:13">
      <c r="A1108">
        <v>1106</v>
      </c>
      <c r="B1108" t="s">
        <v>285</v>
      </c>
      <c r="C1108" t="s">
        <v>82</v>
      </c>
      <c r="D1108" t="s">
        <v>83</v>
      </c>
      <c r="E1108" t="s">
        <v>116</v>
      </c>
      <c r="F1108">
        <v>384</v>
      </c>
      <c r="G1108">
        <f>MAX(I1104,I1107)</f>
        <v>1297042</v>
      </c>
      <c r="H1108">
        <f>CEILING((dram_access_latency+F1108/dram_bandwidth)*frequency,1)</f>
        <v>106</v>
      </c>
      <c r="I1108">
        <f>G1108+H1108</f>
        <v>1297148</v>
      </c>
      <c r="J1108">
        <f>IF(AND(D1108&lt;&gt;"dram",D1108&lt;&gt;"control"),H1108,0)</f>
        <v>0</v>
      </c>
      <c r="K1108">
        <f>IF(D1108="dram",H1108,0)</f>
        <v>106</v>
      </c>
      <c r="L1108">
        <v>384</v>
      </c>
      <c r="M1108">
        <v>0</v>
      </c>
    </row>
    <row r="1109" spans="1:13">
      <c r="A1109">
        <v>1107</v>
      </c>
      <c r="B1109" t="s">
        <v>286</v>
      </c>
      <c r="C1109" t="s">
        <v>82</v>
      </c>
      <c r="D1109" t="s">
        <v>83</v>
      </c>
      <c r="E1109" t="s">
        <v>116</v>
      </c>
      <c r="F1109">
        <v>8</v>
      </c>
      <c r="G1109">
        <f>MAX(I1104,I1108)</f>
        <v>1297148</v>
      </c>
      <c r="H1109">
        <f>CEILING((dram_access_latency+F1109/dram_bandwidth)*frequency,1)</f>
        <v>101</v>
      </c>
      <c r="I1109">
        <f>G1109+H1109</f>
        <v>1297249</v>
      </c>
      <c r="J1109">
        <f>IF(AND(D1109&lt;&gt;"dram",D1109&lt;&gt;"control"),H1109,0)</f>
        <v>0</v>
      </c>
      <c r="K1109">
        <f>IF(D1109="dram",H1109,0)</f>
        <v>101</v>
      </c>
      <c r="L1109">
        <v>8</v>
      </c>
      <c r="M1109">
        <v>0</v>
      </c>
    </row>
    <row r="1110" spans="1:13">
      <c r="A1110">
        <v>1108</v>
      </c>
      <c r="B1110" t="s">
        <v>47</v>
      </c>
      <c r="C1110" t="s">
        <v>90</v>
      </c>
      <c r="D1110" t="s">
        <v>287</v>
      </c>
      <c r="E1110" t="s">
        <v>116</v>
      </c>
      <c r="F1110">
        <v>0</v>
      </c>
      <c r="G1110">
        <f>MAX(I1103,I1106,I1107,I1108,I1109,I1105)</f>
        <v>1297249</v>
      </c>
      <c r="H1110">
        <f>'Operations'!I18</f>
        <v>400</v>
      </c>
      <c r="I1110">
        <f>G1110+H1110</f>
        <v>1297649</v>
      </c>
      <c r="J1110">
        <f>IF(AND(D1110&lt;&gt;"dram",D1110&lt;&gt;"control"),H1110,0)</f>
        <v>400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288</v>
      </c>
      <c r="C1111" t="s">
        <v>88</v>
      </c>
      <c r="D1111" t="s">
        <v>89</v>
      </c>
      <c r="E1111" t="s">
        <v>116</v>
      </c>
      <c r="F1111">
        <v>0</v>
      </c>
      <c r="G1111">
        <f>MAX(I1104,I1103)</f>
        <v>1296211</v>
      </c>
      <c r="H1111">
        <f>0</f>
        <v>719</v>
      </c>
      <c r="I1111">
        <f>G1111+H1111</f>
        <v>1296930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289</v>
      </c>
      <c r="C1112" t="s">
        <v>92</v>
      </c>
      <c r="D1112" t="s">
        <v>83</v>
      </c>
      <c r="E1112" t="s">
        <v>116</v>
      </c>
      <c r="F1112">
        <v>1024</v>
      </c>
      <c r="G1112">
        <f>MAX(I1111,I1109)</f>
        <v>1297249</v>
      </c>
      <c r="H1112">
        <f>CEILING((dram_access_latency+F1112/dram_bandwidth)*frequency,1)</f>
        <v>116</v>
      </c>
      <c r="I1112">
        <f>G1112+H1112</f>
        <v>1297365</v>
      </c>
      <c r="J1112">
        <f>IF(AND(D1112&lt;&gt;"dram",D1112&lt;&gt;"control"),H1112,0)</f>
        <v>0</v>
      </c>
      <c r="K1112">
        <f>IF(D1112="dram",H1112,0)</f>
        <v>116</v>
      </c>
      <c r="L1112">
        <v>0</v>
      </c>
      <c r="M1112">
        <v>1024</v>
      </c>
    </row>
    <row r="1113" spans="1:13">
      <c r="A1113">
        <v>1111</v>
      </c>
      <c r="B1113" t="s">
        <v>283</v>
      </c>
      <c r="C1113" t="s">
        <v>82</v>
      </c>
      <c r="D1113" t="s">
        <v>83</v>
      </c>
      <c r="E1113" t="s">
        <v>117</v>
      </c>
      <c r="F1113">
        <v>12288</v>
      </c>
      <c r="G1113">
        <f>MAX(I1111,I1112)</f>
        <v>1297365</v>
      </c>
      <c r="H1113">
        <f>CEILING((dram_access_latency+F1113/dram_bandwidth)*frequency,1)</f>
        <v>292</v>
      </c>
      <c r="I1113">
        <f>G1113+H1113</f>
        <v>1297657</v>
      </c>
      <c r="J1113">
        <f>IF(AND(D1113&lt;&gt;"dram",D1113&lt;&gt;"control"),H1113,0)</f>
        <v>0</v>
      </c>
      <c r="K1113">
        <f>IF(D1113="dram",H1113,0)</f>
        <v>292</v>
      </c>
      <c r="L1113">
        <v>12288</v>
      </c>
      <c r="M1113">
        <v>0</v>
      </c>
    </row>
    <row r="1114" spans="1:13">
      <c r="A1114">
        <v>1112</v>
      </c>
      <c r="B1114" t="s">
        <v>284</v>
      </c>
      <c r="C1114" t="s">
        <v>82</v>
      </c>
      <c r="D1114" t="s">
        <v>83</v>
      </c>
      <c r="E1114" t="s">
        <v>117</v>
      </c>
      <c r="F1114">
        <v>256</v>
      </c>
      <c r="G1114">
        <f>MAX(I1111,I1113)</f>
        <v>1297657</v>
      </c>
      <c r="H1114">
        <f>CEILING((dram_access_latency+F1114/dram_bandwidth)*frequency,1)</f>
        <v>104</v>
      </c>
      <c r="I1114">
        <f>G1114+H1114</f>
        <v>1297761</v>
      </c>
      <c r="J1114">
        <f>IF(AND(D1114&lt;&gt;"dram",D1114&lt;&gt;"control"),H1114,0)</f>
        <v>0</v>
      </c>
      <c r="K1114">
        <f>IF(D1114="dram",H1114,0)</f>
        <v>104</v>
      </c>
      <c r="L1114">
        <v>256</v>
      </c>
      <c r="M1114">
        <v>0</v>
      </c>
    </row>
    <row r="1115" spans="1:13">
      <c r="A1115">
        <v>1113</v>
      </c>
      <c r="B1115" t="s">
        <v>285</v>
      </c>
      <c r="C1115" t="s">
        <v>82</v>
      </c>
      <c r="D1115" t="s">
        <v>83</v>
      </c>
      <c r="E1115" t="s">
        <v>117</v>
      </c>
      <c r="F1115">
        <v>384</v>
      </c>
      <c r="G1115">
        <f>MAX(I1111,I1114)</f>
        <v>1297761</v>
      </c>
      <c r="H1115">
        <f>CEILING((dram_access_latency+F1115/dram_bandwidth)*frequency,1)</f>
        <v>106</v>
      </c>
      <c r="I1115">
        <f>G1115+H1115</f>
        <v>1297867</v>
      </c>
      <c r="J1115">
        <f>IF(AND(D1115&lt;&gt;"dram",D1115&lt;&gt;"control"),H1115,0)</f>
        <v>0</v>
      </c>
      <c r="K1115">
        <f>IF(D1115="dram",H1115,0)</f>
        <v>106</v>
      </c>
      <c r="L1115">
        <v>384</v>
      </c>
      <c r="M1115">
        <v>0</v>
      </c>
    </row>
    <row r="1116" spans="1:13">
      <c r="A1116">
        <v>1114</v>
      </c>
      <c r="B1116" t="s">
        <v>286</v>
      </c>
      <c r="C1116" t="s">
        <v>82</v>
      </c>
      <c r="D1116" t="s">
        <v>83</v>
      </c>
      <c r="E1116" t="s">
        <v>117</v>
      </c>
      <c r="F1116">
        <v>8</v>
      </c>
      <c r="G1116">
        <f>MAX(I1111,I1115)</f>
        <v>1297867</v>
      </c>
      <c r="H1116">
        <f>CEILING((dram_access_latency+F1116/dram_bandwidth)*frequency,1)</f>
        <v>101</v>
      </c>
      <c r="I1116">
        <f>G1116+H1116</f>
        <v>1297968</v>
      </c>
      <c r="J1116">
        <f>IF(AND(D1116&lt;&gt;"dram",D1116&lt;&gt;"control"),H1116,0)</f>
        <v>0</v>
      </c>
      <c r="K1116">
        <f>IF(D1116="dram",H1116,0)</f>
        <v>101</v>
      </c>
      <c r="L1116">
        <v>8</v>
      </c>
      <c r="M1116">
        <v>0</v>
      </c>
    </row>
    <row r="1117" spans="1:13">
      <c r="A1117">
        <v>1115</v>
      </c>
      <c r="B1117" t="s">
        <v>47</v>
      </c>
      <c r="C1117" t="s">
        <v>90</v>
      </c>
      <c r="D1117" t="s">
        <v>287</v>
      </c>
      <c r="E1117" t="s">
        <v>117</v>
      </c>
      <c r="F1117">
        <v>0</v>
      </c>
      <c r="G1117">
        <f>MAX(I1110,I1113,I1114,I1115,I1116,I1112)</f>
        <v>1297968</v>
      </c>
      <c r="H1117">
        <f>'Operations'!I18</f>
        <v>400</v>
      </c>
      <c r="I1117">
        <f>G1117+H1117</f>
        <v>1298368</v>
      </c>
      <c r="J1117">
        <f>IF(AND(D1117&lt;&gt;"dram",D1117&lt;&gt;"control"),H1117,0)</f>
        <v>400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288</v>
      </c>
      <c r="C1118" t="s">
        <v>88</v>
      </c>
      <c r="D1118" t="s">
        <v>89</v>
      </c>
      <c r="E1118" t="s">
        <v>117</v>
      </c>
      <c r="F1118">
        <v>0</v>
      </c>
      <c r="G1118">
        <f>MAX(I1111,I1110)</f>
        <v>1296930</v>
      </c>
      <c r="H1118">
        <f>0</f>
        <v>719</v>
      </c>
      <c r="I1118">
        <f>G1118+H1118</f>
        <v>1297649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289</v>
      </c>
      <c r="C1119" t="s">
        <v>92</v>
      </c>
      <c r="D1119" t="s">
        <v>83</v>
      </c>
      <c r="E1119" t="s">
        <v>117</v>
      </c>
      <c r="F1119">
        <v>1024</v>
      </c>
      <c r="G1119">
        <f>MAX(I1118,I1116)</f>
        <v>1297968</v>
      </c>
      <c r="H1119">
        <f>CEILING((dram_access_latency+F1119/dram_bandwidth)*frequency,1)</f>
        <v>116</v>
      </c>
      <c r="I1119">
        <f>G1119+H1119</f>
        <v>1298084</v>
      </c>
      <c r="J1119">
        <f>IF(AND(D1119&lt;&gt;"dram",D1119&lt;&gt;"control"),H1119,0)</f>
        <v>0</v>
      </c>
      <c r="K1119">
        <f>IF(D1119="dram",H1119,0)</f>
        <v>116</v>
      </c>
      <c r="L1119">
        <v>0</v>
      </c>
      <c r="M1119">
        <v>1024</v>
      </c>
    </row>
    <row r="1120" spans="1:13">
      <c r="A1120">
        <v>1118</v>
      </c>
      <c r="B1120" t="s">
        <v>283</v>
      </c>
      <c r="C1120" t="s">
        <v>82</v>
      </c>
      <c r="D1120" t="s">
        <v>83</v>
      </c>
      <c r="E1120" t="s">
        <v>118</v>
      </c>
      <c r="F1120">
        <v>12288</v>
      </c>
      <c r="G1120">
        <f>MAX(I1118,I1119)</f>
        <v>1298084</v>
      </c>
      <c r="H1120">
        <f>CEILING((dram_access_latency+F1120/dram_bandwidth)*frequency,1)</f>
        <v>292</v>
      </c>
      <c r="I1120">
        <f>G1120+H1120</f>
        <v>1298376</v>
      </c>
      <c r="J1120">
        <f>IF(AND(D1120&lt;&gt;"dram",D1120&lt;&gt;"control"),H1120,0)</f>
        <v>0</v>
      </c>
      <c r="K1120">
        <f>IF(D1120="dram",H1120,0)</f>
        <v>292</v>
      </c>
      <c r="L1120">
        <v>12288</v>
      </c>
      <c r="M1120">
        <v>0</v>
      </c>
    </row>
    <row r="1121" spans="1:13">
      <c r="A1121">
        <v>1119</v>
      </c>
      <c r="B1121" t="s">
        <v>284</v>
      </c>
      <c r="C1121" t="s">
        <v>82</v>
      </c>
      <c r="D1121" t="s">
        <v>83</v>
      </c>
      <c r="E1121" t="s">
        <v>118</v>
      </c>
      <c r="F1121">
        <v>256</v>
      </c>
      <c r="G1121">
        <f>MAX(I1118,I1120)</f>
        <v>1298376</v>
      </c>
      <c r="H1121">
        <f>CEILING((dram_access_latency+F1121/dram_bandwidth)*frequency,1)</f>
        <v>104</v>
      </c>
      <c r="I1121">
        <f>G1121+H1121</f>
        <v>1298480</v>
      </c>
      <c r="J1121">
        <f>IF(AND(D1121&lt;&gt;"dram",D1121&lt;&gt;"control"),H1121,0)</f>
        <v>0</v>
      </c>
      <c r="K1121">
        <f>IF(D1121="dram",H1121,0)</f>
        <v>104</v>
      </c>
      <c r="L1121">
        <v>256</v>
      </c>
      <c r="M1121">
        <v>0</v>
      </c>
    </row>
    <row r="1122" spans="1:13">
      <c r="A1122">
        <v>1120</v>
      </c>
      <c r="B1122" t="s">
        <v>285</v>
      </c>
      <c r="C1122" t="s">
        <v>82</v>
      </c>
      <c r="D1122" t="s">
        <v>83</v>
      </c>
      <c r="E1122" t="s">
        <v>118</v>
      </c>
      <c r="F1122">
        <v>384</v>
      </c>
      <c r="G1122">
        <f>MAX(I1118,I1121)</f>
        <v>1298480</v>
      </c>
      <c r="H1122">
        <f>CEILING((dram_access_latency+F1122/dram_bandwidth)*frequency,1)</f>
        <v>106</v>
      </c>
      <c r="I1122">
        <f>G1122+H1122</f>
        <v>1298586</v>
      </c>
      <c r="J1122">
        <f>IF(AND(D1122&lt;&gt;"dram",D1122&lt;&gt;"control"),H1122,0)</f>
        <v>0</v>
      </c>
      <c r="K1122">
        <f>IF(D1122="dram",H1122,0)</f>
        <v>106</v>
      </c>
      <c r="L1122">
        <v>384</v>
      </c>
      <c r="M1122">
        <v>0</v>
      </c>
    </row>
    <row r="1123" spans="1:13">
      <c r="A1123">
        <v>1121</v>
      </c>
      <c r="B1123" t="s">
        <v>286</v>
      </c>
      <c r="C1123" t="s">
        <v>82</v>
      </c>
      <c r="D1123" t="s">
        <v>83</v>
      </c>
      <c r="E1123" t="s">
        <v>118</v>
      </c>
      <c r="F1123">
        <v>8</v>
      </c>
      <c r="G1123">
        <f>MAX(I1118,I1122)</f>
        <v>1298586</v>
      </c>
      <c r="H1123">
        <f>CEILING((dram_access_latency+F1123/dram_bandwidth)*frequency,1)</f>
        <v>101</v>
      </c>
      <c r="I1123">
        <f>G1123+H1123</f>
        <v>1298687</v>
      </c>
      <c r="J1123">
        <f>IF(AND(D1123&lt;&gt;"dram",D1123&lt;&gt;"control"),H1123,0)</f>
        <v>0</v>
      </c>
      <c r="K1123">
        <f>IF(D1123="dram",H1123,0)</f>
        <v>101</v>
      </c>
      <c r="L1123">
        <v>8</v>
      </c>
      <c r="M1123">
        <v>0</v>
      </c>
    </row>
    <row r="1124" spans="1:13">
      <c r="A1124">
        <v>1122</v>
      </c>
      <c r="B1124" t="s">
        <v>47</v>
      </c>
      <c r="C1124" t="s">
        <v>90</v>
      </c>
      <c r="D1124" t="s">
        <v>287</v>
      </c>
      <c r="E1124" t="s">
        <v>118</v>
      </c>
      <c r="F1124">
        <v>0</v>
      </c>
      <c r="G1124">
        <f>MAX(I1117,I1120,I1121,I1122,I1123,I1119)</f>
        <v>1298687</v>
      </c>
      <c r="H1124">
        <f>'Operations'!I18</f>
        <v>400</v>
      </c>
      <c r="I1124">
        <f>G1124+H1124</f>
        <v>1299087</v>
      </c>
      <c r="J1124">
        <f>IF(AND(D1124&lt;&gt;"dram",D1124&lt;&gt;"control"),H1124,0)</f>
        <v>400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288</v>
      </c>
      <c r="C1125" t="s">
        <v>88</v>
      </c>
      <c r="D1125" t="s">
        <v>89</v>
      </c>
      <c r="E1125" t="s">
        <v>118</v>
      </c>
      <c r="F1125">
        <v>0</v>
      </c>
      <c r="G1125">
        <f>MAX(I1118,I1117)</f>
        <v>1297649</v>
      </c>
      <c r="H1125">
        <f>0</f>
        <v>719</v>
      </c>
      <c r="I1125">
        <f>G1125+H1125</f>
        <v>1298368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289</v>
      </c>
      <c r="C1126" t="s">
        <v>92</v>
      </c>
      <c r="D1126" t="s">
        <v>83</v>
      </c>
      <c r="E1126" t="s">
        <v>118</v>
      </c>
      <c r="F1126">
        <v>1024</v>
      </c>
      <c r="G1126">
        <f>MAX(I1125,I1123)</f>
        <v>1298687</v>
      </c>
      <c r="H1126">
        <f>CEILING((dram_access_latency+F1126/dram_bandwidth)*frequency,1)</f>
        <v>116</v>
      </c>
      <c r="I1126">
        <f>G1126+H1126</f>
        <v>1298803</v>
      </c>
      <c r="J1126">
        <f>IF(AND(D1126&lt;&gt;"dram",D1126&lt;&gt;"control"),H1126,0)</f>
        <v>0</v>
      </c>
      <c r="K1126">
        <f>IF(D1126="dram",H1126,0)</f>
        <v>116</v>
      </c>
      <c r="L1126">
        <v>0</v>
      </c>
      <c r="M1126">
        <v>1024</v>
      </c>
    </row>
    <row r="1127" spans="1:13">
      <c r="A1127">
        <v>1125</v>
      </c>
      <c r="B1127" t="s">
        <v>283</v>
      </c>
      <c r="C1127" t="s">
        <v>82</v>
      </c>
      <c r="D1127" t="s">
        <v>83</v>
      </c>
      <c r="E1127" t="s">
        <v>119</v>
      </c>
      <c r="F1127">
        <v>12288</v>
      </c>
      <c r="G1127">
        <f>MAX(I1125,I1126)</f>
        <v>1298803</v>
      </c>
      <c r="H1127">
        <f>CEILING((dram_access_latency+F1127/dram_bandwidth)*frequency,1)</f>
        <v>292</v>
      </c>
      <c r="I1127">
        <f>G1127+H1127</f>
        <v>1299095</v>
      </c>
      <c r="J1127">
        <f>IF(AND(D1127&lt;&gt;"dram",D1127&lt;&gt;"control"),H1127,0)</f>
        <v>0</v>
      </c>
      <c r="K1127">
        <f>IF(D1127="dram",H1127,0)</f>
        <v>292</v>
      </c>
      <c r="L1127">
        <v>12288</v>
      </c>
      <c r="M1127">
        <v>0</v>
      </c>
    </row>
    <row r="1128" spans="1:13">
      <c r="A1128">
        <v>1126</v>
      </c>
      <c r="B1128" t="s">
        <v>284</v>
      </c>
      <c r="C1128" t="s">
        <v>82</v>
      </c>
      <c r="D1128" t="s">
        <v>83</v>
      </c>
      <c r="E1128" t="s">
        <v>119</v>
      </c>
      <c r="F1128">
        <v>256</v>
      </c>
      <c r="G1128">
        <f>MAX(I1125,I1127)</f>
        <v>1299095</v>
      </c>
      <c r="H1128">
        <f>CEILING((dram_access_latency+F1128/dram_bandwidth)*frequency,1)</f>
        <v>104</v>
      </c>
      <c r="I1128">
        <f>G1128+H1128</f>
        <v>1299199</v>
      </c>
      <c r="J1128">
        <f>IF(AND(D1128&lt;&gt;"dram",D1128&lt;&gt;"control"),H1128,0)</f>
        <v>0</v>
      </c>
      <c r="K1128">
        <f>IF(D1128="dram",H1128,0)</f>
        <v>104</v>
      </c>
      <c r="L1128">
        <v>256</v>
      </c>
      <c r="M1128">
        <v>0</v>
      </c>
    </row>
    <row r="1129" spans="1:13">
      <c r="A1129">
        <v>1127</v>
      </c>
      <c r="B1129" t="s">
        <v>285</v>
      </c>
      <c r="C1129" t="s">
        <v>82</v>
      </c>
      <c r="D1129" t="s">
        <v>83</v>
      </c>
      <c r="E1129" t="s">
        <v>119</v>
      </c>
      <c r="F1129">
        <v>384</v>
      </c>
      <c r="G1129">
        <f>MAX(I1125,I1128)</f>
        <v>1299199</v>
      </c>
      <c r="H1129">
        <f>CEILING((dram_access_latency+F1129/dram_bandwidth)*frequency,1)</f>
        <v>106</v>
      </c>
      <c r="I1129">
        <f>G1129+H1129</f>
        <v>1299305</v>
      </c>
      <c r="J1129">
        <f>IF(AND(D1129&lt;&gt;"dram",D1129&lt;&gt;"control"),H1129,0)</f>
        <v>0</v>
      </c>
      <c r="K1129">
        <f>IF(D1129="dram",H1129,0)</f>
        <v>106</v>
      </c>
      <c r="L1129">
        <v>384</v>
      </c>
      <c r="M1129">
        <v>0</v>
      </c>
    </row>
    <row r="1130" spans="1:13">
      <c r="A1130">
        <v>1128</v>
      </c>
      <c r="B1130" t="s">
        <v>286</v>
      </c>
      <c r="C1130" t="s">
        <v>82</v>
      </c>
      <c r="D1130" t="s">
        <v>83</v>
      </c>
      <c r="E1130" t="s">
        <v>119</v>
      </c>
      <c r="F1130">
        <v>8</v>
      </c>
      <c r="G1130">
        <f>MAX(I1125,I1129)</f>
        <v>1299305</v>
      </c>
      <c r="H1130">
        <f>CEILING((dram_access_latency+F1130/dram_bandwidth)*frequency,1)</f>
        <v>101</v>
      </c>
      <c r="I1130">
        <f>G1130+H1130</f>
        <v>1299406</v>
      </c>
      <c r="J1130">
        <f>IF(AND(D1130&lt;&gt;"dram",D1130&lt;&gt;"control"),H1130,0)</f>
        <v>0</v>
      </c>
      <c r="K1130">
        <f>IF(D1130="dram",H1130,0)</f>
        <v>101</v>
      </c>
      <c r="L1130">
        <v>8</v>
      </c>
      <c r="M1130">
        <v>0</v>
      </c>
    </row>
    <row r="1131" spans="1:13">
      <c r="A1131">
        <v>1129</v>
      </c>
      <c r="B1131" t="s">
        <v>47</v>
      </c>
      <c r="C1131" t="s">
        <v>90</v>
      </c>
      <c r="D1131" t="s">
        <v>287</v>
      </c>
      <c r="E1131" t="s">
        <v>119</v>
      </c>
      <c r="F1131">
        <v>0</v>
      </c>
      <c r="G1131">
        <f>MAX(I1124,I1127,I1128,I1129,I1130,I1126)</f>
        <v>1299406</v>
      </c>
      <c r="H1131">
        <f>'Operations'!I18</f>
        <v>400</v>
      </c>
      <c r="I1131">
        <f>G1131+H1131</f>
        <v>1299806</v>
      </c>
      <c r="J1131">
        <f>IF(AND(D1131&lt;&gt;"dram",D1131&lt;&gt;"control"),H1131,0)</f>
        <v>400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288</v>
      </c>
      <c r="C1132" t="s">
        <v>88</v>
      </c>
      <c r="D1132" t="s">
        <v>89</v>
      </c>
      <c r="E1132" t="s">
        <v>119</v>
      </c>
      <c r="F1132">
        <v>0</v>
      </c>
      <c r="G1132">
        <f>MAX(I1125,I1124)</f>
        <v>1298368</v>
      </c>
      <c r="H1132">
        <f>0</f>
        <v>719</v>
      </c>
      <c r="I1132">
        <f>G1132+H1132</f>
        <v>1299087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289</v>
      </c>
      <c r="C1133" t="s">
        <v>92</v>
      </c>
      <c r="D1133" t="s">
        <v>83</v>
      </c>
      <c r="E1133" t="s">
        <v>119</v>
      </c>
      <c r="F1133">
        <v>1024</v>
      </c>
      <c r="G1133">
        <f>MAX(I1132,I1130)</f>
        <v>1299406</v>
      </c>
      <c r="H1133">
        <f>CEILING((dram_access_latency+F1133/dram_bandwidth)*frequency,1)</f>
        <v>116</v>
      </c>
      <c r="I1133">
        <f>G1133+H1133</f>
        <v>1299522</v>
      </c>
      <c r="J1133">
        <f>IF(AND(D1133&lt;&gt;"dram",D1133&lt;&gt;"control"),H1133,0)</f>
        <v>0</v>
      </c>
      <c r="K1133">
        <f>IF(D1133="dram",H1133,0)</f>
        <v>116</v>
      </c>
      <c r="L1133">
        <v>0</v>
      </c>
      <c r="M1133">
        <v>1024</v>
      </c>
    </row>
    <row r="1134" spans="1:13">
      <c r="A1134">
        <v>1132</v>
      </c>
      <c r="B1134" t="s">
        <v>283</v>
      </c>
      <c r="C1134" t="s">
        <v>82</v>
      </c>
      <c r="D1134" t="s">
        <v>83</v>
      </c>
      <c r="E1134" t="s">
        <v>120</v>
      </c>
      <c r="F1134">
        <v>12288</v>
      </c>
      <c r="G1134">
        <f>MAX(I1132,I1133)</f>
        <v>1299522</v>
      </c>
      <c r="H1134">
        <f>CEILING((dram_access_latency+F1134/dram_bandwidth)*frequency,1)</f>
        <v>292</v>
      </c>
      <c r="I1134">
        <f>G1134+H1134</f>
        <v>1299814</v>
      </c>
      <c r="J1134">
        <f>IF(AND(D1134&lt;&gt;"dram",D1134&lt;&gt;"control"),H1134,0)</f>
        <v>0</v>
      </c>
      <c r="K1134">
        <f>IF(D1134="dram",H1134,0)</f>
        <v>292</v>
      </c>
      <c r="L1134">
        <v>12288</v>
      </c>
      <c r="M1134">
        <v>0</v>
      </c>
    </row>
    <row r="1135" spans="1:13">
      <c r="A1135">
        <v>1133</v>
      </c>
      <c r="B1135" t="s">
        <v>284</v>
      </c>
      <c r="C1135" t="s">
        <v>82</v>
      </c>
      <c r="D1135" t="s">
        <v>83</v>
      </c>
      <c r="E1135" t="s">
        <v>120</v>
      </c>
      <c r="F1135">
        <v>256</v>
      </c>
      <c r="G1135">
        <f>MAX(I1132,I1134)</f>
        <v>1299814</v>
      </c>
      <c r="H1135">
        <f>CEILING((dram_access_latency+F1135/dram_bandwidth)*frequency,1)</f>
        <v>104</v>
      </c>
      <c r="I1135">
        <f>G1135+H1135</f>
        <v>1299918</v>
      </c>
      <c r="J1135">
        <f>IF(AND(D1135&lt;&gt;"dram",D1135&lt;&gt;"control"),H1135,0)</f>
        <v>0</v>
      </c>
      <c r="K1135">
        <f>IF(D1135="dram",H1135,0)</f>
        <v>104</v>
      </c>
      <c r="L1135">
        <v>256</v>
      </c>
      <c r="M1135">
        <v>0</v>
      </c>
    </row>
    <row r="1136" spans="1:13">
      <c r="A1136">
        <v>1134</v>
      </c>
      <c r="B1136" t="s">
        <v>285</v>
      </c>
      <c r="C1136" t="s">
        <v>82</v>
      </c>
      <c r="D1136" t="s">
        <v>83</v>
      </c>
      <c r="E1136" t="s">
        <v>120</v>
      </c>
      <c r="F1136">
        <v>384</v>
      </c>
      <c r="G1136">
        <f>MAX(I1132,I1135)</f>
        <v>1299918</v>
      </c>
      <c r="H1136">
        <f>CEILING((dram_access_latency+F1136/dram_bandwidth)*frequency,1)</f>
        <v>106</v>
      </c>
      <c r="I1136">
        <f>G1136+H1136</f>
        <v>1300024</v>
      </c>
      <c r="J1136">
        <f>IF(AND(D1136&lt;&gt;"dram",D1136&lt;&gt;"control"),H1136,0)</f>
        <v>0</v>
      </c>
      <c r="K1136">
        <f>IF(D1136="dram",H1136,0)</f>
        <v>106</v>
      </c>
      <c r="L1136">
        <v>384</v>
      </c>
      <c r="M1136">
        <v>0</v>
      </c>
    </row>
    <row r="1137" spans="1:13">
      <c r="A1137">
        <v>1135</v>
      </c>
      <c r="B1137" t="s">
        <v>286</v>
      </c>
      <c r="C1137" t="s">
        <v>82</v>
      </c>
      <c r="D1137" t="s">
        <v>83</v>
      </c>
      <c r="E1137" t="s">
        <v>120</v>
      </c>
      <c r="F1137">
        <v>8</v>
      </c>
      <c r="G1137">
        <f>MAX(I1132,I1136)</f>
        <v>1300024</v>
      </c>
      <c r="H1137">
        <f>CEILING((dram_access_latency+F1137/dram_bandwidth)*frequency,1)</f>
        <v>101</v>
      </c>
      <c r="I1137">
        <f>G1137+H1137</f>
        <v>1300125</v>
      </c>
      <c r="J1137">
        <f>IF(AND(D1137&lt;&gt;"dram",D1137&lt;&gt;"control"),H1137,0)</f>
        <v>0</v>
      </c>
      <c r="K1137">
        <f>IF(D1137="dram",H1137,0)</f>
        <v>101</v>
      </c>
      <c r="L1137">
        <v>8</v>
      </c>
      <c r="M1137">
        <v>0</v>
      </c>
    </row>
    <row r="1138" spans="1:13">
      <c r="A1138">
        <v>1136</v>
      </c>
      <c r="B1138" t="s">
        <v>47</v>
      </c>
      <c r="C1138" t="s">
        <v>90</v>
      </c>
      <c r="D1138" t="s">
        <v>287</v>
      </c>
      <c r="E1138" t="s">
        <v>120</v>
      </c>
      <c r="F1138">
        <v>0</v>
      </c>
      <c r="G1138">
        <f>MAX(I1131,I1134,I1135,I1136,I1137,I1133)</f>
        <v>1300125</v>
      </c>
      <c r="H1138">
        <f>'Operations'!I18</f>
        <v>400</v>
      </c>
      <c r="I1138">
        <f>G1138+H1138</f>
        <v>1300525</v>
      </c>
      <c r="J1138">
        <f>IF(AND(D1138&lt;&gt;"dram",D1138&lt;&gt;"control"),H1138,0)</f>
        <v>400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288</v>
      </c>
      <c r="C1139" t="s">
        <v>88</v>
      </c>
      <c r="D1139" t="s">
        <v>89</v>
      </c>
      <c r="E1139" t="s">
        <v>120</v>
      </c>
      <c r="F1139">
        <v>0</v>
      </c>
      <c r="G1139">
        <f>MAX(I1132,I1131)</f>
        <v>1299087</v>
      </c>
      <c r="H1139">
        <f>0</f>
        <v>719</v>
      </c>
      <c r="I1139">
        <f>G1139+H1139</f>
        <v>1299806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289</v>
      </c>
      <c r="C1140" t="s">
        <v>92</v>
      </c>
      <c r="D1140" t="s">
        <v>83</v>
      </c>
      <c r="E1140" t="s">
        <v>120</v>
      </c>
      <c r="F1140">
        <v>1024</v>
      </c>
      <c r="G1140">
        <f>MAX(I1139,I1137)</f>
        <v>1300125</v>
      </c>
      <c r="H1140">
        <f>CEILING((dram_access_latency+F1140/dram_bandwidth)*frequency,1)</f>
        <v>116</v>
      </c>
      <c r="I1140">
        <f>G1140+H1140</f>
        <v>1300241</v>
      </c>
      <c r="J1140">
        <f>IF(AND(D1140&lt;&gt;"dram",D1140&lt;&gt;"control"),H1140,0)</f>
        <v>0</v>
      </c>
      <c r="K1140">
        <f>IF(D1140="dram",H1140,0)</f>
        <v>116</v>
      </c>
      <c r="L1140">
        <v>0</v>
      </c>
      <c r="M1140">
        <v>1024</v>
      </c>
    </row>
    <row r="1141" spans="1:13">
      <c r="A1141">
        <v>1139</v>
      </c>
      <c r="B1141" t="s">
        <v>283</v>
      </c>
      <c r="C1141" t="s">
        <v>82</v>
      </c>
      <c r="D1141" t="s">
        <v>83</v>
      </c>
      <c r="E1141" t="s">
        <v>121</v>
      </c>
      <c r="F1141">
        <v>12288</v>
      </c>
      <c r="G1141">
        <f>MAX(I1139,I1140)</f>
        <v>1300241</v>
      </c>
      <c r="H1141">
        <f>CEILING((dram_access_latency+F1141/dram_bandwidth)*frequency,1)</f>
        <v>292</v>
      </c>
      <c r="I1141">
        <f>G1141+H1141</f>
        <v>1300533</v>
      </c>
      <c r="J1141">
        <f>IF(AND(D1141&lt;&gt;"dram",D1141&lt;&gt;"control"),H1141,0)</f>
        <v>0</v>
      </c>
      <c r="K1141">
        <f>IF(D1141="dram",H1141,0)</f>
        <v>292</v>
      </c>
      <c r="L1141">
        <v>12288</v>
      </c>
      <c r="M1141">
        <v>0</v>
      </c>
    </row>
    <row r="1142" spans="1:13">
      <c r="A1142">
        <v>1140</v>
      </c>
      <c r="B1142" t="s">
        <v>284</v>
      </c>
      <c r="C1142" t="s">
        <v>82</v>
      </c>
      <c r="D1142" t="s">
        <v>83</v>
      </c>
      <c r="E1142" t="s">
        <v>121</v>
      </c>
      <c r="F1142">
        <v>256</v>
      </c>
      <c r="G1142">
        <f>MAX(I1139,I1141)</f>
        <v>1300533</v>
      </c>
      <c r="H1142">
        <f>CEILING((dram_access_latency+F1142/dram_bandwidth)*frequency,1)</f>
        <v>104</v>
      </c>
      <c r="I1142">
        <f>G1142+H1142</f>
        <v>1300637</v>
      </c>
      <c r="J1142">
        <f>IF(AND(D1142&lt;&gt;"dram",D1142&lt;&gt;"control"),H1142,0)</f>
        <v>0</v>
      </c>
      <c r="K1142">
        <f>IF(D1142="dram",H1142,0)</f>
        <v>104</v>
      </c>
      <c r="L1142">
        <v>256</v>
      </c>
      <c r="M1142">
        <v>0</v>
      </c>
    </row>
    <row r="1143" spans="1:13">
      <c r="A1143">
        <v>1141</v>
      </c>
      <c r="B1143" t="s">
        <v>285</v>
      </c>
      <c r="C1143" t="s">
        <v>82</v>
      </c>
      <c r="D1143" t="s">
        <v>83</v>
      </c>
      <c r="E1143" t="s">
        <v>121</v>
      </c>
      <c r="F1143">
        <v>384</v>
      </c>
      <c r="G1143">
        <f>MAX(I1139,I1142)</f>
        <v>1300637</v>
      </c>
      <c r="H1143">
        <f>CEILING((dram_access_latency+F1143/dram_bandwidth)*frequency,1)</f>
        <v>106</v>
      </c>
      <c r="I1143">
        <f>G1143+H1143</f>
        <v>1300743</v>
      </c>
      <c r="J1143">
        <f>IF(AND(D1143&lt;&gt;"dram",D1143&lt;&gt;"control"),H1143,0)</f>
        <v>0</v>
      </c>
      <c r="K1143">
        <f>IF(D1143="dram",H1143,0)</f>
        <v>106</v>
      </c>
      <c r="L1143">
        <v>384</v>
      </c>
      <c r="M1143">
        <v>0</v>
      </c>
    </row>
    <row r="1144" spans="1:13">
      <c r="A1144">
        <v>1142</v>
      </c>
      <c r="B1144" t="s">
        <v>286</v>
      </c>
      <c r="C1144" t="s">
        <v>82</v>
      </c>
      <c r="D1144" t="s">
        <v>83</v>
      </c>
      <c r="E1144" t="s">
        <v>121</v>
      </c>
      <c r="F1144">
        <v>8</v>
      </c>
      <c r="G1144">
        <f>MAX(I1139,I1143)</f>
        <v>1300743</v>
      </c>
      <c r="H1144">
        <f>CEILING((dram_access_latency+F1144/dram_bandwidth)*frequency,1)</f>
        <v>101</v>
      </c>
      <c r="I1144">
        <f>G1144+H1144</f>
        <v>1300844</v>
      </c>
      <c r="J1144">
        <f>IF(AND(D1144&lt;&gt;"dram",D1144&lt;&gt;"control"),H1144,0)</f>
        <v>0</v>
      </c>
      <c r="K1144">
        <f>IF(D1144="dram",H1144,0)</f>
        <v>101</v>
      </c>
      <c r="L1144">
        <v>8</v>
      </c>
      <c r="M1144">
        <v>0</v>
      </c>
    </row>
    <row r="1145" spans="1:13">
      <c r="A1145">
        <v>1143</v>
      </c>
      <c r="B1145" t="s">
        <v>47</v>
      </c>
      <c r="C1145" t="s">
        <v>90</v>
      </c>
      <c r="D1145" t="s">
        <v>287</v>
      </c>
      <c r="E1145" t="s">
        <v>121</v>
      </c>
      <c r="F1145">
        <v>0</v>
      </c>
      <c r="G1145">
        <f>MAX(I1138,I1141,I1142,I1143,I1144,I1140)</f>
        <v>1300844</v>
      </c>
      <c r="H1145">
        <f>'Operations'!I18</f>
        <v>400</v>
      </c>
      <c r="I1145">
        <f>G1145+H1145</f>
        <v>1301244</v>
      </c>
      <c r="J1145">
        <f>IF(AND(D1145&lt;&gt;"dram",D1145&lt;&gt;"control"),H1145,0)</f>
        <v>400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288</v>
      </c>
      <c r="C1146" t="s">
        <v>88</v>
      </c>
      <c r="D1146" t="s">
        <v>89</v>
      </c>
      <c r="E1146" t="s">
        <v>121</v>
      </c>
      <c r="F1146">
        <v>0</v>
      </c>
      <c r="G1146">
        <f>MAX(I1139,I1138)</f>
        <v>1299806</v>
      </c>
      <c r="H1146">
        <f>0</f>
        <v>719</v>
      </c>
      <c r="I1146">
        <f>G1146+H1146</f>
        <v>1300525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289</v>
      </c>
      <c r="C1147" t="s">
        <v>92</v>
      </c>
      <c r="D1147" t="s">
        <v>83</v>
      </c>
      <c r="E1147" t="s">
        <v>121</v>
      </c>
      <c r="F1147">
        <v>1024</v>
      </c>
      <c r="G1147">
        <f>MAX(I1146,I1144)</f>
        <v>1300844</v>
      </c>
      <c r="H1147">
        <f>CEILING((dram_access_latency+F1147/dram_bandwidth)*frequency,1)</f>
        <v>116</v>
      </c>
      <c r="I1147">
        <f>G1147+H1147</f>
        <v>1300960</v>
      </c>
      <c r="J1147">
        <f>IF(AND(D1147&lt;&gt;"dram",D1147&lt;&gt;"control"),H1147,0)</f>
        <v>0</v>
      </c>
      <c r="K1147">
        <f>IF(D1147="dram",H1147,0)</f>
        <v>116</v>
      </c>
      <c r="L1147">
        <v>0</v>
      </c>
      <c r="M1147">
        <v>1024</v>
      </c>
    </row>
    <row r="1148" spans="1:13">
      <c r="A1148">
        <v>1146</v>
      </c>
      <c r="B1148" t="s">
        <v>283</v>
      </c>
      <c r="C1148" t="s">
        <v>82</v>
      </c>
      <c r="D1148" t="s">
        <v>83</v>
      </c>
      <c r="E1148" t="s">
        <v>122</v>
      </c>
      <c r="F1148">
        <v>12288</v>
      </c>
      <c r="G1148">
        <f>MAX(I1146,I1147)</f>
        <v>1300960</v>
      </c>
      <c r="H1148">
        <f>CEILING((dram_access_latency+F1148/dram_bandwidth)*frequency,1)</f>
        <v>292</v>
      </c>
      <c r="I1148">
        <f>G1148+H1148</f>
        <v>1301252</v>
      </c>
      <c r="J1148">
        <f>IF(AND(D1148&lt;&gt;"dram",D1148&lt;&gt;"control"),H1148,0)</f>
        <v>0</v>
      </c>
      <c r="K1148">
        <f>IF(D1148="dram",H1148,0)</f>
        <v>292</v>
      </c>
      <c r="L1148">
        <v>12288</v>
      </c>
      <c r="M1148">
        <v>0</v>
      </c>
    </row>
    <row r="1149" spans="1:13">
      <c r="A1149">
        <v>1147</v>
      </c>
      <c r="B1149" t="s">
        <v>284</v>
      </c>
      <c r="C1149" t="s">
        <v>82</v>
      </c>
      <c r="D1149" t="s">
        <v>83</v>
      </c>
      <c r="E1149" t="s">
        <v>122</v>
      </c>
      <c r="F1149">
        <v>256</v>
      </c>
      <c r="G1149">
        <f>MAX(I1146,I1148)</f>
        <v>1301252</v>
      </c>
      <c r="H1149">
        <f>CEILING((dram_access_latency+F1149/dram_bandwidth)*frequency,1)</f>
        <v>104</v>
      </c>
      <c r="I1149">
        <f>G1149+H1149</f>
        <v>1301356</v>
      </c>
      <c r="J1149">
        <f>IF(AND(D1149&lt;&gt;"dram",D1149&lt;&gt;"control"),H1149,0)</f>
        <v>0</v>
      </c>
      <c r="K1149">
        <f>IF(D1149="dram",H1149,0)</f>
        <v>104</v>
      </c>
      <c r="L1149">
        <v>256</v>
      </c>
      <c r="M1149">
        <v>0</v>
      </c>
    </row>
    <row r="1150" spans="1:13">
      <c r="A1150">
        <v>1148</v>
      </c>
      <c r="B1150" t="s">
        <v>285</v>
      </c>
      <c r="C1150" t="s">
        <v>82</v>
      </c>
      <c r="D1150" t="s">
        <v>83</v>
      </c>
      <c r="E1150" t="s">
        <v>122</v>
      </c>
      <c r="F1150">
        <v>384</v>
      </c>
      <c r="G1150">
        <f>MAX(I1146,I1149)</f>
        <v>1301356</v>
      </c>
      <c r="H1150">
        <f>CEILING((dram_access_latency+F1150/dram_bandwidth)*frequency,1)</f>
        <v>106</v>
      </c>
      <c r="I1150">
        <f>G1150+H1150</f>
        <v>1301462</v>
      </c>
      <c r="J1150">
        <f>IF(AND(D1150&lt;&gt;"dram",D1150&lt;&gt;"control"),H1150,0)</f>
        <v>0</v>
      </c>
      <c r="K1150">
        <f>IF(D1150="dram",H1150,0)</f>
        <v>106</v>
      </c>
      <c r="L1150">
        <v>384</v>
      </c>
      <c r="M1150">
        <v>0</v>
      </c>
    </row>
    <row r="1151" spans="1:13">
      <c r="A1151">
        <v>1149</v>
      </c>
      <c r="B1151" t="s">
        <v>286</v>
      </c>
      <c r="C1151" t="s">
        <v>82</v>
      </c>
      <c r="D1151" t="s">
        <v>83</v>
      </c>
      <c r="E1151" t="s">
        <v>122</v>
      </c>
      <c r="F1151">
        <v>8</v>
      </c>
      <c r="G1151">
        <f>MAX(I1146,I1150)</f>
        <v>1301462</v>
      </c>
      <c r="H1151">
        <f>CEILING((dram_access_latency+F1151/dram_bandwidth)*frequency,1)</f>
        <v>101</v>
      </c>
      <c r="I1151">
        <f>G1151+H1151</f>
        <v>1301563</v>
      </c>
      <c r="J1151">
        <f>IF(AND(D1151&lt;&gt;"dram",D1151&lt;&gt;"control"),H1151,0)</f>
        <v>0</v>
      </c>
      <c r="K1151">
        <f>IF(D1151="dram",H1151,0)</f>
        <v>101</v>
      </c>
      <c r="L1151">
        <v>8</v>
      </c>
      <c r="M1151">
        <v>0</v>
      </c>
    </row>
    <row r="1152" spans="1:13">
      <c r="A1152">
        <v>1150</v>
      </c>
      <c r="B1152" t="s">
        <v>47</v>
      </c>
      <c r="C1152" t="s">
        <v>90</v>
      </c>
      <c r="D1152" t="s">
        <v>287</v>
      </c>
      <c r="E1152" t="s">
        <v>122</v>
      </c>
      <c r="F1152">
        <v>0</v>
      </c>
      <c r="G1152">
        <f>MAX(I1145,I1148,I1149,I1150,I1151,I1147)</f>
        <v>1301563</v>
      </c>
      <c r="H1152">
        <f>'Operations'!I18</f>
        <v>400</v>
      </c>
      <c r="I1152">
        <f>G1152+H1152</f>
        <v>1301963</v>
      </c>
      <c r="J1152">
        <f>IF(AND(D1152&lt;&gt;"dram",D1152&lt;&gt;"control"),H1152,0)</f>
        <v>400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288</v>
      </c>
      <c r="C1153" t="s">
        <v>88</v>
      </c>
      <c r="D1153" t="s">
        <v>89</v>
      </c>
      <c r="E1153" t="s">
        <v>122</v>
      </c>
      <c r="F1153">
        <v>0</v>
      </c>
      <c r="G1153">
        <f>MAX(I1146,I1145)</f>
        <v>1300525</v>
      </c>
      <c r="H1153">
        <f>0</f>
        <v>719</v>
      </c>
      <c r="I1153">
        <f>G1153+H1153</f>
        <v>1301244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289</v>
      </c>
      <c r="C1154" t="s">
        <v>92</v>
      </c>
      <c r="D1154" t="s">
        <v>83</v>
      </c>
      <c r="E1154" t="s">
        <v>122</v>
      </c>
      <c r="F1154">
        <v>1024</v>
      </c>
      <c r="G1154">
        <f>MAX(I1153,I1151)</f>
        <v>1301563</v>
      </c>
      <c r="H1154">
        <f>CEILING((dram_access_latency+F1154/dram_bandwidth)*frequency,1)</f>
        <v>116</v>
      </c>
      <c r="I1154">
        <f>G1154+H1154</f>
        <v>1301679</v>
      </c>
      <c r="J1154">
        <f>IF(AND(D1154&lt;&gt;"dram",D1154&lt;&gt;"control"),H1154,0)</f>
        <v>0</v>
      </c>
      <c r="K1154">
        <f>IF(D1154="dram",H1154,0)</f>
        <v>116</v>
      </c>
      <c r="L1154">
        <v>0</v>
      </c>
      <c r="M1154">
        <v>1024</v>
      </c>
    </row>
    <row r="1155" spans="1:13">
      <c r="A1155">
        <v>1153</v>
      </c>
      <c r="B1155" t="s">
        <v>283</v>
      </c>
      <c r="C1155" t="s">
        <v>82</v>
      </c>
      <c r="D1155" t="s">
        <v>83</v>
      </c>
      <c r="E1155" t="s">
        <v>123</v>
      </c>
      <c r="F1155">
        <v>12288</v>
      </c>
      <c r="G1155">
        <f>MAX(I1153,I1154)</f>
        <v>1301679</v>
      </c>
      <c r="H1155">
        <f>CEILING((dram_access_latency+F1155/dram_bandwidth)*frequency,1)</f>
        <v>292</v>
      </c>
      <c r="I1155">
        <f>G1155+H1155</f>
        <v>1301971</v>
      </c>
      <c r="J1155">
        <f>IF(AND(D1155&lt;&gt;"dram",D1155&lt;&gt;"control"),H1155,0)</f>
        <v>0</v>
      </c>
      <c r="K1155">
        <f>IF(D1155="dram",H1155,0)</f>
        <v>292</v>
      </c>
      <c r="L1155">
        <v>12288</v>
      </c>
      <c r="M1155">
        <v>0</v>
      </c>
    </row>
    <row r="1156" spans="1:13">
      <c r="A1156">
        <v>1154</v>
      </c>
      <c r="B1156" t="s">
        <v>284</v>
      </c>
      <c r="C1156" t="s">
        <v>82</v>
      </c>
      <c r="D1156" t="s">
        <v>83</v>
      </c>
      <c r="E1156" t="s">
        <v>123</v>
      </c>
      <c r="F1156">
        <v>256</v>
      </c>
      <c r="G1156">
        <f>MAX(I1153,I1155)</f>
        <v>1301971</v>
      </c>
      <c r="H1156">
        <f>CEILING((dram_access_latency+F1156/dram_bandwidth)*frequency,1)</f>
        <v>104</v>
      </c>
      <c r="I1156">
        <f>G1156+H1156</f>
        <v>1302075</v>
      </c>
      <c r="J1156">
        <f>IF(AND(D1156&lt;&gt;"dram",D1156&lt;&gt;"control"),H1156,0)</f>
        <v>0</v>
      </c>
      <c r="K1156">
        <f>IF(D1156="dram",H1156,0)</f>
        <v>104</v>
      </c>
      <c r="L1156">
        <v>256</v>
      </c>
      <c r="M1156">
        <v>0</v>
      </c>
    </row>
    <row r="1157" spans="1:13">
      <c r="A1157">
        <v>1155</v>
      </c>
      <c r="B1157" t="s">
        <v>285</v>
      </c>
      <c r="C1157" t="s">
        <v>82</v>
      </c>
      <c r="D1157" t="s">
        <v>83</v>
      </c>
      <c r="E1157" t="s">
        <v>123</v>
      </c>
      <c r="F1157">
        <v>384</v>
      </c>
      <c r="G1157">
        <f>MAX(I1153,I1156)</f>
        <v>1302075</v>
      </c>
      <c r="H1157">
        <f>CEILING((dram_access_latency+F1157/dram_bandwidth)*frequency,1)</f>
        <v>106</v>
      </c>
      <c r="I1157">
        <f>G1157+H1157</f>
        <v>1302181</v>
      </c>
      <c r="J1157">
        <f>IF(AND(D1157&lt;&gt;"dram",D1157&lt;&gt;"control"),H1157,0)</f>
        <v>0</v>
      </c>
      <c r="K1157">
        <f>IF(D1157="dram",H1157,0)</f>
        <v>106</v>
      </c>
      <c r="L1157">
        <v>384</v>
      </c>
      <c r="M1157">
        <v>0</v>
      </c>
    </row>
    <row r="1158" spans="1:13">
      <c r="A1158">
        <v>1156</v>
      </c>
      <c r="B1158" t="s">
        <v>286</v>
      </c>
      <c r="C1158" t="s">
        <v>82</v>
      </c>
      <c r="D1158" t="s">
        <v>83</v>
      </c>
      <c r="E1158" t="s">
        <v>123</v>
      </c>
      <c r="F1158">
        <v>8</v>
      </c>
      <c r="G1158">
        <f>MAX(I1153,I1157)</f>
        <v>1302181</v>
      </c>
      <c r="H1158">
        <f>CEILING((dram_access_latency+F1158/dram_bandwidth)*frequency,1)</f>
        <v>101</v>
      </c>
      <c r="I1158">
        <f>G1158+H1158</f>
        <v>1302282</v>
      </c>
      <c r="J1158">
        <f>IF(AND(D1158&lt;&gt;"dram",D1158&lt;&gt;"control"),H1158,0)</f>
        <v>0</v>
      </c>
      <c r="K1158">
        <f>IF(D1158="dram",H1158,0)</f>
        <v>101</v>
      </c>
      <c r="L1158">
        <v>8</v>
      </c>
      <c r="M1158">
        <v>0</v>
      </c>
    </row>
    <row r="1159" spans="1:13">
      <c r="A1159">
        <v>1157</v>
      </c>
      <c r="B1159" t="s">
        <v>47</v>
      </c>
      <c r="C1159" t="s">
        <v>90</v>
      </c>
      <c r="D1159" t="s">
        <v>287</v>
      </c>
      <c r="E1159" t="s">
        <v>123</v>
      </c>
      <c r="F1159">
        <v>0</v>
      </c>
      <c r="G1159">
        <f>MAX(I1152,I1155,I1156,I1157,I1158,I1154)</f>
        <v>1302282</v>
      </c>
      <c r="H1159">
        <f>'Operations'!I18</f>
        <v>400</v>
      </c>
      <c r="I1159">
        <f>G1159+H1159</f>
        <v>1302682</v>
      </c>
      <c r="J1159">
        <f>IF(AND(D1159&lt;&gt;"dram",D1159&lt;&gt;"control"),H1159,0)</f>
        <v>400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288</v>
      </c>
      <c r="C1160" t="s">
        <v>88</v>
      </c>
      <c r="D1160" t="s">
        <v>89</v>
      </c>
      <c r="E1160" t="s">
        <v>123</v>
      </c>
      <c r="F1160">
        <v>0</v>
      </c>
      <c r="G1160">
        <f>MAX(I1153,I1152)</f>
        <v>1301244</v>
      </c>
      <c r="H1160">
        <f>0</f>
        <v>719</v>
      </c>
      <c r="I1160">
        <f>G1160+H1160</f>
        <v>1301963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289</v>
      </c>
      <c r="C1161" t="s">
        <v>92</v>
      </c>
      <c r="D1161" t="s">
        <v>83</v>
      </c>
      <c r="E1161" t="s">
        <v>123</v>
      </c>
      <c r="F1161">
        <v>1024</v>
      </c>
      <c r="G1161">
        <f>MAX(I1160,I1158)</f>
        <v>1302282</v>
      </c>
      <c r="H1161">
        <f>CEILING((dram_access_latency+F1161/dram_bandwidth)*frequency,1)</f>
        <v>116</v>
      </c>
      <c r="I1161">
        <f>G1161+H1161</f>
        <v>1302398</v>
      </c>
      <c r="J1161">
        <f>IF(AND(D1161&lt;&gt;"dram",D1161&lt;&gt;"control"),H1161,0)</f>
        <v>0</v>
      </c>
      <c r="K1161">
        <f>IF(D1161="dram",H1161,0)</f>
        <v>116</v>
      </c>
      <c r="L1161">
        <v>0</v>
      </c>
      <c r="M1161">
        <v>1024</v>
      </c>
    </row>
    <row r="1162" spans="1:13">
      <c r="A1162">
        <v>1160</v>
      </c>
      <c r="B1162" t="s">
        <v>283</v>
      </c>
      <c r="C1162" t="s">
        <v>82</v>
      </c>
      <c r="D1162" t="s">
        <v>83</v>
      </c>
      <c r="E1162" t="s">
        <v>124</v>
      </c>
      <c r="F1162">
        <v>12288</v>
      </c>
      <c r="G1162">
        <f>MAX(I1160,I1161)</f>
        <v>1302398</v>
      </c>
      <c r="H1162">
        <f>CEILING((dram_access_latency+F1162/dram_bandwidth)*frequency,1)</f>
        <v>292</v>
      </c>
      <c r="I1162">
        <f>G1162+H1162</f>
        <v>1302690</v>
      </c>
      <c r="J1162">
        <f>IF(AND(D1162&lt;&gt;"dram",D1162&lt;&gt;"control"),H1162,0)</f>
        <v>0</v>
      </c>
      <c r="K1162">
        <f>IF(D1162="dram",H1162,0)</f>
        <v>292</v>
      </c>
      <c r="L1162">
        <v>12288</v>
      </c>
      <c r="M1162">
        <v>0</v>
      </c>
    </row>
    <row r="1163" spans="1:13">
      <c r="A1163">
        <v>1161</v>
      </c>
      <c r="B1163" t="s">
        <v>284</v>
      </c>
      <c r="C1163" t="s">
        <v>82</v>
      </c>
      <c r="D1163" t="s">
        <v>83</v>
      </c>
      <c r="E1163" t="s">
        <v>124</v>
      </c>
      <c r="F1163">
        <v>256</v>
      </c>
      <c r="G1163">
        <f>MAX(I1160,I1162)</f>
        <v>1302690</v>
      </c>
      <c r="H1163">
        <f>CEILING((dram_access_latency+F1163/dram_bandwidth)*frequency,1)</f>
        <v>104</v>
      </c>
      <c r="I1163">
        <f>G1163+H1163</f>
        <v>1302794</v>
      </c>
      <c r="J1163">
        <f>IF(AND(D1163&lt;&gt;"dram",D1163&lt;&gt;"control"),H1163,0)</f>
        <v>0</v>
      </c>
      <c r="K1163">
        <f>IF(D1163="dram",H1163,0)</f>
        <v>104</v>
      </c>
      <c r="L1163">
        <v>256</v>
      </c>
      <c r="M1163">
        <v>0</v>
      </c>
    </row>
    <row r="1164" spans="1:13">
      <c r="A1164">
        <v>1162</v>
      </c>
      <c r="B1164" t="s">
        <v>285</v>
      </c>
      <c r="C1164" t="s">
        <v>82</v>
      </c>
      <c r="D1164" t="s">
        <v>83</v>
      </c>
      <c r="E1164" t="s">
        <v>124</v>
      </c>
      <c r="F1164">
        <v>384</v>
      </c>
      <c r="G1164">
        <f>MAX(I1160,I1163)</f>
        <v>1302794</v>
      </c>
      <c r="H1164">
        <f>CEILING((dram_access_latency+F1164/dram_bandwidth)*frequency,1)</f>
        <v>106</v>
      </c>
      <c r="I1164">
        <f>G1164+H1164</f>
        <v>1302900</v>
      </c>
      <c r="J1164">
        <f>IF(AND(D1164&lt;&gt;"dram",D1164&lt;&gt;"control"),H1164,0)</f>
        <v>0</v>
      </c>
      <c r="K1164">
        <f>IF(D1164="dram",H1164,0)</f>
        <v>106</v>
      </c>
      <c r="L1164">
        <v>384</v>
      </c>
      <c r="M1164">
        <v>0</v>
      </c>
    </row>
    <row r="1165" spans="1:13">
      <c r="A1165">
        <v>1163</v>
      </c>
      <c r="B1165" t="s">
        <v>286</v>
      </c>
      <c r="C1165" t="s">
        <v>82</v>
      </c>
      <c r="D1165" t="s">
        <v>83</v>
      </c>
      <c r="E1165" t="s">
        <v>124</v>
      </c>
      <c r="F1165">
        <v>8</v>
      </c>
      <c r="G1165">
        <f>MAX(I1160,I1164)</f>
        <v>1302900</v>
      </c>
      <c r="H1165">
        <f>CEILING((dram_access_latency+F1165/dram_bandwidth)*frequency,1)</f>
        <v>101</v>
      </c>
      <c r="I1165">
        <f>G1165+H1165</f>
        <v>1303001</v>
      </c>
      <c r="J1165">
        <f>IF(AND(D1165&lt;&gt;"dram",D1165&lt;&gt;"control"),H1165,0)</f>
        <v>0</v>
      </c>
      <c r="K1165">
        <f>IF(D1165="dram",H1165,0)</f>
        <v>101</v>
      </c>
      <c r="L1165">
        <v>8</v>
      </c>
      <c r="M1165">
        <v>0</v>
      </c>
    </row>
    <row r="1166" spans="1:13">
      <c r="A1166">
        <v>1164</v>
      </c>
      <c r="B1166" t="s">
        <v>47</v>
      </c>
      <c r="C1166" t="s">
        <v>90</v>
      </c>
      <c r="D1166" t="s">
        <v>287</v>
      </c>
      <c r="E1166" t="s">
        <v>124</v>
      </c>
      <c r="F1166">
        <v>0</v>
      </c>
      <c r="G1166">
        <f>MAX(I1159,I1162,I1163,I1164,I1165,I1161)</f>
        <v>1303001</v>
      </c>
      <c r="H1166">
        <f>'Operations'!I18</f>
        <v>400</v>
      </c>
      <c r="I1166">
        <f>G1166+H1166</f>
        <v>1303401</v>
      </c>
      <c r="J1166">
        <f>IF(AND(D1166&lt;&gt;"dram",D1166&lt;&gt;"control"),H1166,0)</f>
        <v>400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288</v>
      </c>
      <c r="C1167" t="s">
        <v>88</v>
      </c>
      <c r="D1167" t="s">
        <v>89</v>
      </c>
      <c r="E1167" t="s">
        <v>124</v>
      </c>
      <c r="F1167">
        <v>0</v>
      </c>
      <c r="G1167">
        <f>MAX(I1160,I1159)</f>
        <v>1301963</v>
      </c>
      <c r="H1167">
        <f>0</f>
        <v>719</v>
      </c>
      <c r="I1167">
        <f>G1167+H1167</f>
        <v>1302682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289</v>
      </c>
      <c r="C1168" t="s">
        <v>92</v>
      </c>
      <c r="D1168" t="s">
        <v>83</v>
      </c>
      <c r="E1168" t="s">
        <v>124</v>
      </c>
      <c r="F1168">
        <v>1024</v>
      </c>
      <c r="G1168">
        <f>MAX(I1167,I1165)</f>
        <v>1303001</v>
      </c>
      <c r="H1168">
        <f>CEILING((dram_access_latency+F1168/dram_bandwidth)*frequency,1)</f>
        <v>116</v>
      </c>
      <c r="I1168">
        <f>G1168+H1168</f>
        <v>1303117</v>
      </c>
      <c r="J1168">
        <f>IF(AND(D1168&lt;&gt;"dram",D1168&lt;&gt;"control"),H1168,0)</f>
        <v>0</v>
      </c>
      <c r="K1168">
        <f>IF(D1168="dram",H1168,0)</f>
        <v>116</v>
      </c>
      <c r="L1168">
        <v>0</v>
      </c>
      <c r="M1168">
        <v>1024</v>
      </c>
    </row>
    <row r="1169" spans="1:13">
      <c r="A1169">
        <v>1167</v>
      </c>
      <c r="B1169" t="s">
        <v>283</v>
      </c>
      <c r="C1169" t="s">
        <v>82</v>
      </c>
      <c r="D1169" t="s">
        <v>83</v>
      </c>
      <c r="E1169" t="s">
        <v>125</v>
      </c>
      <c r="F1169">
        <v>12288</v>
      </c>
      <c r="G1169">
        <f>MAX(I1167,I1168)</f>
        <v>1303117</v>
      </c>
      <c r="H1169">
        <f>CEILING((dram_access_latency+F1169/dram_bandwidth)*frequency,1)</f>
        <v>292</v>
      </c>
      <c r="I1169">
        <f>G1169+H1169</f>
        <v>1303409</v>
      </c>
      <c r="J1169">
        <f>IF(AND(D1169&lt;&gt;"dram",D1169&lt;&gt;"control"),H1169,0)</f>
        <v>0</v>
      </c>
      <c r="K1169">
        <f>IF(D1169="dram",H1169,0)</f>
        <v>292</v>
      </c>
      <c r="L1169">
        <v>12288</v>
      </c>
      <c r="M1169">
        <v>0</v>
      </c>
    </row>
    <row r="1170" spans="1:13">
      <c r="A1170">
        <v>1168</v>
      </c>
      <c r="B1170" t="s">
        <v>284</v>
      </c>
      <c r="C1170" t="s">
        <v>82</v>
      </c>
      <c r="D1170" t="s">
        <v>83</v>
      </c>
      <c r="E1170" t="s">
        <v>125</v>
      </c>
      <c r="F1170">
        <v>256</v>
      </c>
      <c r="G1170">
        <f>MAX(I1167,I1169)</f>
        <v>1303409</v>
      </c>
      <c r="H1170">
        <f>CEILING((dram_access_latency+F1170/dram_bandwidth)*frequency,1)</f>
        <v>104</v>
      </c>
      <c r="I1170">
        <f>G1170+H1170</f>
        <v>1303513</v>
      </c>
      <c r="J1170">
        <f>IF(AND(D1170&lt;&gt;"dram",D1170&lt;&gt;"control"),H1170,0)</f>
        <v>0</v>
      </c>
      <c r="K1170">
        <f>IF(D1170="dram",H1170,0)</f>
        <v>104</v>
      </c>
      <c r="L1170">
        <v>256</v>
      </c>
      <c r="M1170">
        <v>0</v>
      </c>
    </row>
    <row r="1171" spans="1:13">
      <c r="A1171">
        <v>1169</v>
      </c>
      <c r="B1171" t="s">
        <v>285</v>
      </c>
      <c r="C1171" t="s">
        <v>82</v>
      </c>
      <c r="D1171" t="s">
        <v>83</v>
      </c>
      <c r="E1171" t="s">
        <v>125</v>
      </c>
      <c r="F1171">
        <v>384</v>
      </c>
      <c r="G1171">
        <f>MAX(I1167,I1170)</f>
        <v>1303513</v>
      </c>
      <c r="H1171">
        <f>CEILING((dram_access_latency+F1171/dram_bandwidth)*frequency,1)</f>
        <v>106</v>
      </c>
      <c r="I1171">
        <f>G1171+H1171</f>
        <v>1303619</v>
      </c>
      <c r="J1171">
        <f>IF(AND(D1171&lt;&gt;"dram",D1171&lt;&gt;"control"),H1171,0)</f>
        <v>0</v>
      </c>
      <c r="K1171">
        <f>IF(D1171="dram",H1171,0)</f>
        <v>106</v>
      </c>
      <c r="L1171">
        <v>384</v>
      </c>
      <c r="M1171">
        <v>0</v>
      </c>
    </row>
    <row r="1172" spans="1:13">
      <c r="A1172">
        <v>1170</v>
      </c>
      <c r="B1172" t="s">
        <v>286</v>
      </c>
      <c r="C1172" t="s">
        <v>82</v>
      </c>
      <c r="D1172" t="s">
        <v>83</v>
      </c>
      <c r="E1172" t="s">
        <v>125</v>
      </c>
      <c r="F1172">
        <v>8</v>
      </c>
      <c r="G1172">
        <f>MAX(I1167,I1171)</f>
        <v>1303619</v>
      </c>
      <c r="H1172">
        <f>CEILING((dram_access_latency+F1172/dram_bandwidth)*frequency,1)</f>
        <v>101</v>
      </c>
      <c r="I1172">
        <f>G1172+H1172</f>
        <v>1303720</v>
      </c>
      <c r="J1172">
        <f>IF(AND(D1172&lt;&gt;"dram",D1172&lt;&gt;"control"),H1172,0)</f>
        <v>0</v>
      </c>
      <c r="K1172">
        <f>IF(D1172="dram",H1172,0)</f>
        <v>101</v>
      </c>
      <c r="L1172">
        <v>8</v>
      </c>
      <c r="M1172">
        <v>0</v>
      </c>
    </row>
    <row r="1173" spans="1:13">
      <c r="A1173">
        <v>1171</v>
      </c>
      <c r="B1173" t="s">
        <v>47</v>
      </c>
      <c r="C1173" t="s">
        <v>90</v>
      </c>
      <c r="D1173" t="s">
        <v>287</v>
      </c>
      <c r="E1173" t="s">
        <v>125</v>
      </c>
      <c r="F1173">
        <v>0</v>
      </c>
      <c r="G1173">
        <f>MAX(I1166,I1169,I1170,I1171,I1172,I1168)</f>
        <v>1303720</v>
      </c>
      <c r="H1173">
        <f>'Operations'!I18</f>
        <v>400</v>
      </c>
      <c r="I1173">
        <f>G1173+H1173</f>
        <v>1304120</v>
      </c>
      <c r="J1173">
        <f>IF(AND(D1173&lt;&gt;"dram",D1173&lt;&gt;"control"),H1173,0)</f>
        <v>400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288</v>
      </c>
      <c r="C1174" t="s">
        <v>88</v>
      </c>
      <c r="D1174" t="s">
        <v>89</v>
      </c>
      <c r="E1174" t="s">
        <v>125</v>
      </c>
      <c r="F1174">
        <v>0</v>
      </c>
      <c r="G1174">
        <f>MAX(I1167,I1166)</f>
        <v>1302682</v>
      </c>
      <c r="H1174">
        <f>0</f>
        <v>719</v>
      </c>
      <c r="I1174">
        <f>G1174+H1174</f>
        <v>1303401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289</v>
      </c>
      <c r="C1175" t="s">
        <v>92</v>
      </c>
      <c r="D1175" t="s">
        <v>83</v>
      </c>
      <c r="E1175" t="s">
        <v>125</v>
      </c>
      <c r="F1175">
        <v>1024</v>
      </c>
      <c r="G1175">
        <f>MAX(I1174,I1172)</f>
        <v>1303720</v>
      </c>
      <c r="H1175">
        <f>CEILING((dram_access_latency+F1175/dram_bandwidth)*frequency,1)</f>
        <v>116</v>
      </c>
      <c r="I1175">
        <f>G1175+H1175</f>
        <v>1303836</v>
      </c>
      <c r="J1175">
        <f>IF(AND(D1175&lt;&gt;"dram",D1175&lt;&gt;"control"),H1175,0)</f>
        <v>0</v>
      </c>
      <c r="K1175">
        <f>IF(D1175="dram",H1175,0)</f>
        <v>116</v>
      </c>
      <c r="L1175">
        <v>0</v>
      </c>
      <c r="M1175">
        <v>1024</v>
      </c>
    </row>
    <row r="1176" spans="1:13">
      <c r="A1176">
        <v>1174</v>
      </c>
      <c r="B1176" t="s">
        <v>283</v>
      </c>
      <c r="C1176" t="s">
        <v>82</v>
      </c>
      <c r="D1176" t="s">
        <v>83</v>
      </c>
      <c r="E1176" t="s">
        <v>126</v>
      </c>
      <c r="F1176">
        <v>12288</v>
      </c>
      <c r="G1176">
        <f>MAX(I1174,I1175)</f>
        <v>1303836</v>
      </c>
      <c r="H1176">
        <f>CEILING((dram_access_latency+F1176/dram_bandwidth)*frequency,1)</f>
        <v>292</v>
      </c>
      <c r="I1176">
        <f>G1176+H1176</f>
        <v>1304128</v>
      </c>
      <c r="J1176">
        <f>IF(AND(D1176&lt;&gt;"dram",D1176&lt;&gt;"control"),H1176,0)</f>
        <v>0</v>
      </c>
      <c r="K1176">
        <f>IF(D1176="dram",H1176,0)</f>
        <v>292</v>
      </c>
      <c r="L1176">
        <v>12288</v>
      </c>
      <c r="M1176">
        <v>0</v>
      </c>
    </row>
    <row r="1177" spans="1:13">
      <c r="A1177">
        <v>1175</v>
      </c>
      <c r="B1177" t="s">
        <v>284</v>
      </c>
      <c r="C1177" t="s">
        <v>82</v>
      </c>
      <c r="D1177" t="s">
        <v>83</v>
      </c>
      <c r="E1177" t="s">
        <v>126</v>
      </c>
      <c r="F1177">
        <v>256</v>
      </c>
      <c r="G1177">
        <f>MAX(I1174,I1176)</f>
        <v>1304128</v>
      </c>
      <c r="H1177">
        <f>CEILING((dram_access_latency+F1177/dram_bandwidth)*frequency,1)</f>
        <v>104</v>
      </c>
      <c r="I1177">
        <f>G1177+H1177</f>
        <v>1304232</v>
      </c>
      <c r="J1177">
        <f>IF(AND(D1177&lt;&gt;"dram",D1177&lt;&gt;"control"),H1177,0)</f>
        <v>0</v>
      </c>
      <c r="K1177">
        <f>IF(D1177="dram",H1177,0)</f>
        <v>104</v>
      </c>
      <c r="L1177">
        <v>256</v>
      </c>
      <c r="M1177">
        <v>0</v>
      </c>
    </row>
    <row r="1178" spans="1:13">
      <c r="A1178">
        <v>1176</v>
      </c>
      <c r="B1178" t="s">
        <v>285</v>
      </c>
      <c r="C1178" t="s">
        <v>82</v>
      </c>
      <c r="D1178" t="s">
        <v>83</v>
      </c>
      <c r="E1178" t="s">
        <v>126</v>
      </c>
      <c r="F1178">
        <v>384</v>
      </c>
      <c r="G1178">
        <f>MAX(I1174,I1177)</f>
        <v>1304232</v>
      </c>
      <c r="H1178">
        <f>CEILING((dram_access_latency+F1178/dram_bandwidth)*frequency,1)</f>
        <v>106</v>
      </c>
      <c r="I1178">
        <f>G1178+H1178</f>
        <v>1304338</v>
      </c>
      <c r="J1178">
        <f>IF(AND(D1178&lt;&gt;"dram",D1178&lt;&gt;"control"),H1178,0)</f>
        <v>0</v>
      </c>
      <c r="K1178">
        <f>IF(D1178="dram",H1178,0)</f>
        <v>106</v>
      </c>
      <c r="L1178">
        <v>384</v>
      </c>
      <c r="M1178">
        <v>0</v>
      </c>
    </row>
    <row r="1179" spans="1:13">
      <c r="A1179">
        <v>1177</v>
      </c>
      <c r="B1179" t="s">
        <v>286</v>
      </c>
      <c r="C1179" t="s">
        <v>82</v>
      </c>
      <c r="D1179" t="s">
        <v>83</v>
      </c>
      <c r="E1179" t="s">
        <v>126</v>
      </c>
      <c r="F1179">
        <v>8</v>
      </c>
      <c r="G1179">
        <f>MAX(I1174,I1178)</f>
        <v>1304338</v>
      </c>
      <c r="H1179">
        <f>CEILING((dram_access_latency+F1179/dram_bandwidth)*frequency,1)</f>
        <v>101</v>
      </c>
      <c r="I1179">
        <f>G1179+H1179</f>
        <v>1304439</v>
      </c>
      <c r="J1179">
        <f>IF(AND(D1179&lt;&gt;"dram",D1179&lt;&gt;"control"),H1179,0)</f>
        <v>0</v>
      </c>
      <c r="K1179">
        <f>IF(D1179="dram",H1179,0)</f>
        <v>101</v>
      </c>
      <c r="L1179">
        <v>8</v>
      </c>
      <c r="M1179">
        <v>0</v>
      </c>
    </row>
    <row r="1180" spans="1:13">
      <c r="A1180">
        <v>1178</v>
      </c>
      <c r="B1180" t="s">
        <v>47</v>
      </c>
      <c r="C1180" t="s">
        <v>90</v>
      </c>
      <c r="D1180" t="s">
        <v>287</v>
      </c>
      <c r="E1180" t="s">
        <v>126</v>
      </c>
      <c r="F1180">
        <v>0</v>
      </c>
      <c r="G1180">
        <f>MAX(I1173,I1176,I1177,I1178,I1179,I1175)</f>
        <v>1304439</v>
      </c>
      <c r="H1180">
        <f>'Operations'!I18</f>
        <v>400</v>
      </c>
      <c r="I1180">
        <f>G1180+H1180</f>
        <v>1304839</v>
      </c>
      <c r="J1180">
        <f>IF(AND(D1180&lt;&gt;"dram",D1180&lt;&gt;"control"),H1180,0)</f>
        <v>400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288</v>
      </c>
      <c r="C1181" t="s">
        <v>88</v>
      </c>
      <c r="D1181" t="s">
        <v>89</v>
      </c>
      <c r="E1181" t="s">
        <v>126</v>
      </c>
      <c r="F1181">
        <v>0</v>
      </c>
      <c r="G1181">
        <f>MAX(I1174,I1173)</f>
        <v>1303401</v>
      </c>
      <c r="H1181">
        <f>0</f>
        <v>719</v>
      </c>
      <c r="I1181">
        <f>G1181+H1181</f>
        <v>1304120</v>
      </c>
      <c r="J1181">
        <f>IF(AND(D1181&lt;&gt;"dram",D1181&lt;&gt;"control"),H1181,0)</f>
        <v>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289</v>
      </c>
      <c r="C1182" t="s">
        <v>92</v>
      </c>
      <c r="D1182" t="s">
        <v>83</v>
      </c>
      <c r="E1182" t="s">
        <v>126</v>
      </c>
      <c r="F1182">
        <v>1024</v>
      </c>
      <c r="G1182">
        <f>MAX(I1181,I1179)</f>
        <v>1304439</v>
      </c>
      <c r="H1182">
        <f>CEILING((dram_access_latency+F1182/dram_bandwidth)*frequency,1)</f>
        <v>116</v>
      </c>
      <c r="I1182">
        <f>G1182+H1182</f>
        <v>1304555</v>
      </c>
      <c r="J1182">
        <f>IF(AND(D1182&lt;&gt;"dram",D1182&lt;&gt;"control"),H1182,0)</f>
        <v>0</v>
      </c>
      <c r="K1182">
        <f>IF(D1182="dram",H1182,0)</f>
        <v>116</v>
      </c>
      <c r="L1182">
        <v>0</v>
      </c>
      <c r="M1182">
        <v>1024</v>
      </c>
    </row>
    <row r="1183" spans="1:13">
      <c r="A1183">
        <v>1181</v>
      </c>
      <c r="B1183" t="s">
        <v>283</v>
      </c>
      <c r="C1183" t="s">
        <v>82</v>
      </c>
      <c r="D1183" t="s">
        <v>83</v>
      </c>
      <c r="E1183" t="s">
        <v>127</v>
      </c>
      <c r="F1183">
        <v>12288</v>
      </c>
      <c r="G1183">
        <f>MAX(I1181,I1182)</f>
        <v>1304555</v>
      </c>
      <c r="H1183">
        <f>CEILING((dram_access_latency+F1183/dram_bandwidth)*frequency,1)</f>
        <v>292</v>
      </c>
      <c r="I1183">
        <f>G1183+H1183</f>
        <v>1304847</v>
      </c>
      <c r="J1183">
        <f>IF(AND(D1183&lt;&gt;"dram",D1183&lt;&gt;"control"),H1183,0)</f>
        <v>0</v>
      </c>
      <c r="K1183">
        <f>IF(D1183="dram",H1183,0)</f>
        <v>292</v>
      </c>
      <c r="L1183">
        <v>12288</v>
      </c>
      <c r="M1183">
        <v>0</v>
      </c>
    </row>
    <row r="1184" spans="1:13">
      <c r="A1184">
        <v>1182</v>
      </c>
      <c r="B1184" t="s">
        <v>284</v>
      </c>
      <c r="C1184" t="s">
        <v>82</v>
      </c>
      <c r="D1184" t="s">
        <v>83</v>
      </c>
      <c r="E1184" t="s">
        <v>127</v>
      </c>
      <c r="F1184">
        <v>256</v>
      </c>
      <c r="G1184">
        <f>MAX(I1181,I1183)</f>
        <v>1304847</v>
      </c>
      <c r="H1184">
        <f>CEILING((dram_access_latency+F1184/dram_bandwidth)*frequency,1)</f>
        <v>104</v>
      </c>
      <c r="I1184">
        <f>G1184+H1184</f>
        <v>1304951</v>
      </c>
      <c r="J1184">
        <f>IF(AND(D1184&lt;&gt;"dram",D1184&lt;&gt;"control"),H1184,0)</f>
        <v>0</v>
      </c>
      <c r="K1184">
        <f>IF(D1184="dram",H1184,0)</f>
        <v>104</v>
      </c>
      <c r="L1184">
        <v>256</v>
      </c>
      <c r="M1184">
        <v>0</v>
      </c>
    </row>
    <row r="1185" spans="1:13">
      <c r="A1185">
        <v>1183</v>
      </c>
      <c r="B1185" t="s">
        <v>285</v>
      </c>
      <c r="C1185" t="s">
        <v>82</v>
      </c>
      <c r="D1185" t="s">
        <v>83</v>
      </c>
      <c r="E1185" t="s">
        <v>127</v>
      </c>
      <c r="F1185">
        <v>384</v>
      </c>
      <c r="G1185">
        <f>MAX(I1181,I1184)</f>
        <v>1304951</v>
      </c>
      <c r="H1185">
        <f>CEILING((dram_access_latency+F1185/dram_bandwidth)*frequency,1)</f>
        <v>106</v>
      </c>
      <c r="I1185">
        <f>G1185+H1185</f>
        <v>1305057</v>
      </c>
      <c r="J1185">
        <f>IF(AND(D1185&lt;&gt;"dram",D1185&lt;&gt;"control"),H1185,0)</f>
        <v>0</v>
      </c>
      <c r="K1185">
        <f>IF(D1185="dram",H1185,0)</f>
        <v>106</v>
      </c>
      <c r="L1185">
        <v>384</v>
      </c>
      <c r="M1185">
        <v>0</v>
      </c>
    </row>
    <row r="1186" spans="1:13">
      <c r="A1186">
        <v>1184</v>
      </c>
      <c r="B1186" t="s">
        <v>286</v>
      </c>
      <c r="C1186" t="s">
        <v>82</v>
      </c>
      <c r="D1186" t="s">
        <v>83</v>
      </c>
      <c r="E1186" t="s">
        <v>127</v>
      </c>
      <c r="F1186">
        <v>8</v>
      </c>
      <c r="G1186">
        <f>MAX(I1181,I1185)</f>
        <v>1305057</v>
      </c>
      <c r="H1186">
        <f>CEILING((dram_access_latency+F1186/dram_bandwidth)*frequency,1)</f>
        <v>101</v>
      </c>
      <c r="I1186">
        <f>G1186+H1186</f>
        <v>1305158</v>
      </c>
      <c r="J1186">
        <f>IF(AND(D1186&lt;&gt;"dram",D1186&lt;&gt;"control"),H1186,0)</f>
        <v>0</v>
      </c>
      <c r="K1186">
        <f>IF(D1186="dram",H1186,0)</f>
        <v>101</v>
      </c>
      <c r="L1186">
        <v>8</v>
      </c>
      <c r="M1186">
        <v>0</v>
      </c>
    </row>
    <row r="1187" spans="1:13">
      <c r="A1187">
        <v>1185</v>
      </c>
      <c r="B1187" t="s">
        <v>47</v>
      </c>
      <c r="C1187" t="s">
        <v>90</v>
      </c>
      <c r="D1187" t="s">
        <v>287</v>
      </c>
      <c r="E1187" t="s">
        <v>127</v>
      </c>
      <c r="F1187">
        <v>0</v>
      </c>
      <c r="G1187">
        <f>MAX(I1180,I1183,I1184,I1185,I1186,I1182)</f>
        <v>1305158</v>
      </c>
      <c r="H1187">
        <f>'Operations'!I18</f>
        <v>400</v>
      </c>
      <c r="I1187">
        <f>G1187+H1187</f>
        <v>1305558</v>
      </c>
      <c r="J1187">
        <f>IF(AND(D1187&lt;&gt;"dram",D1187&lt;&gt;"control"),H1187,0)</f>
        <v>400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288</v>
      </c>
      <c r="C1188" t="s">
        <v>88</v>
      </c>
      <c r="D1188" t="s">
        <v>89</v>
      </c>
      <c r="E1188" t="s">
        <v>127</v>
      </c>
      <c r="F1188">
        <v>0</v>
      </c>
      <c r="G1188">
        <f>MAX(I1181,I1180)</f>
        <v>1304120</v>
      </c>
      <c r="H1188">
        <f>0</f>
        <v>719</v>
      </c>
      <c r="I1188">
        <f>G1188+H1188</f>
        <v>1304839</v>
      </c>
      <c r="J1188">
        <f>IF(AND(D1188&lt;&gt;"dram",D1188&lt;&gt;"control"),H1188,0)</f>
        <v>0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289</v>
      </c>
      <c r="C1189" t="s">
        <v>92</v>
      </c>
      <c r="D1189" t="s">
        <v>83</v>
      </c>
      <c r="E1189" t="s">
        <v>127</v>
      </c>
      <c r="F1189">
        <v>1024</v>
      </c>
      <c r="G1189">
        <f>MAX(I1188,I1186)</f>
        <v>1305158</v>
      </c>
      <c r="H1189">
        <f>CEILING((dram_access_latency+F1189/dram_bandwidth)*frequency,1)</f>
        <v>116</v>
      </c>
      <c r="I1189">
        <f>G1189+H1189</f>
        <v>1305274</v>
      </c>
      <c r="J1189">
        <f>IF(AND(D1189&lt;&gt;"dram",D1189&lt;&gt;"control"),H1189,0)</f>
        <v>0</v>
      </c>
      <c r="K1189">
        <f>IF(D1189="dram",H1189,0)</f>
        <v>116</v>
      </c>
      <c r="L1189">
        <v>0</v>
      </c>
      <c r="M1189">
        <v>1024</v>
      </c>
    </row>
    <row r="1190" spans="1:13">
      <c r="A1190">
        <v>1188</v>
      </c>
      <c r="B1190" t="s">
        <v>283</v>
      </c>
      <c r="C1190" t="s">
        <v>82</v>
      </c>
      <c r="D1190" t="s">
        <v>83</v>
      </c>
      <c r="E1190" t="s">
        <v>128</v>
      </c>
      <c r="F1190">
        <v>12288</v>
      </c>
      <c r="G1190">
        <f>MAX(I1188,I1189)</f>
        <v>1305274</v>
      </c>
      <c r="H1190">
        <f>CEILING((dram_access_latency+F1190/dram_bandwidth)*frequency,1)</f>
        <v>292</v>
      </c>
      <c r="I1190">
        <f>G1190+H1190</f>
        <v>1305566</v>
      </c>
      <c r="J1190">
        <f>IF(AND(D1190&lt;&gt;"dram",D1190&lt;&gt;"control"),H1190,0)</f>
        <v>0</v>
      </c>
      <c r="K1190">
        <f>IF(D1190="dram",H1190,0)</f>
        <v>292</v>
      </c>
      <c r="L1190">
        <v>12288</v>
      </c>
      <c r="M1190">
        <v>0</v>
      </c>
    </row>
    <row r="1191" spans="1:13">
      <c r="A1191">
        <v>1189</v>
      </c>
      <c r="B1191" t="s">
        <v>284</v>
      </c>
      <c r="C1191" t="s">
        <v>82</v>
      </c>
      <c r="D1191" t="s">
        <v>83</v>
      </c>
      <c r="E1191" t="s">
        <v>128</v>
      </c>
      <c r="F1191">
        <v>256</v>
      </c>
      <c r="G1191">
        <f>MAX(I1188,I1190)</f>
        <v>1305566</v>
      </c>
      <c r="H1191">
        <f>CEILING((dram_access_latency+F1191/dram_bandwidth)*frequency,1)</f>
        <v>104</v>
      </c>
      <c r="I1191">
        <f>G1191+H1191</f>
        <v>1305670</v>
      </c>
      <c r="J1191">
        <f>IF(AND(D1191&lt;&gt;"dram",D1191&lt;&gt;"control"),H1191,0)</f>
        <v>0</v>
      </c>
      <c r="K1191">
        <f>IF(D1191="dram",H1191,0)</f>
        <v>104</v>
      </c>
      <c r="L1191">
        <v>256</v>
      </c>
      <c r="M1191">
        <v>0</v>
      </c>
    </row>
    <row r="1192" spans="1:13">
      <c r="A1192">
        <v>1190</v>
      </c>
      <c r="B1192" t="s">
        <v>285</v>
      </c>
      <c r="C1192" t="s">
        <v>82</v>
      </c>
      <c r="D1192" t="s">
        <v>83</v>
      </c>
      <c r="E1192" t="s">
        <v>128</v>
      </c>
      <c r="F1192">
        <v>384</v>
      </c>
      <c r="G1192">
        <f>MAX(I1188,I1191)</f>
        <v>1305670</v>
      </c>
      <c r="H1192">
        <f>CEILING((dram_access_latency+F1192/dram_bandwidth)*frequency,1)</f>
        <v>106</v>
      </c>
      <c r="I1192">
        <f>G1192+H1192</f>
        <v>1305776</v>
      </c>
      <c r="J1192">
        <f>IF(AND(D1192&lt;&gt;"dram",D1192&lt;&gt;"control"),H1192,0)</f>
        <v>0</v>
      </c>
      <c r="K1192">
        <f>IF(D1192="dram",H1192,0)</f>
        <v>106</v>
      </c>
      <c r="L1192">
        <v>384</v>
      </c>
      <c r="M1192">
        <v>0</v>
      </c>
    </row>
    <row r="1193" spans="1:13">
      <c r="A1193">
        <v>1191</v>
      </c>
      <c r="B1193" t="s">
        <v>286</v>
      </c>
      <c r="C1193" t="s">
        <v>82</v>
      </c>
      <c r="D1193" t="s">
        <v>83</v>
      </c>
      <c r="E1193" t="s">
        <v>128</v>
      </c>
      <c r="F1193">
        <v>8</v>
      </c>
      <c r="G1193">
        <f>MAX(I1188,I1192)</f>
        <v>1305776</v>
      </c>
      <c r="H1193">
        <f>CEILING((dram_access_latency+F1193/dram_bandwidth)*frequency,1)</f>
        <v>101</v>
      </c>
      <c r="I1193">
        <f>G1193+H1193</f>
        <v>1305877</v>
      </c>
      <c r="J1193">
        <f>IF(AND(D1193&lt;&gt;"dram",D1193&lt;&gt;"control"),H1193,0)</f>
        <v>0</v>
      </c>
      <c r="K1193">
        <f>IF(D1193="dram",H1193,0)</f>
        <v>101</v>
      </c>
      <c r="L1193">
        <v>8</v>
      </c>
      <c r="M1193">
        <v>0</v>
      </c>
    </row>
    <row r="1194" spans="1:13">
      <c r="A1194">
        <v>1192</v>
      </c>
      <c r="B1194" t="s">
        <v>47</v>
      </c>
      <c r="C1194" t="s">
        <v>90</v>
      </c>
      <c r="D1194" t="s">
        <v>287</v>
      </c>
      <c r="E1194" t="s">
        <v>128</v>
      </c>
      <c r="F1194">
        <v>0</v>
      </c>
      <c r="G1194">
        <f>MAX(I1187,I1190,I1191,I1192,I1193,I1189)</f>
        <v>1305877</v>
      </c>
      <c r="H1194">
        <f>'Operations'!I18</f>
        <v>400</v>
      </c>
      <c r="I1194">
        <f>G1194+H1194</f>
        <v>1306277</v>
      </c>
      <c r="J1194">
        <f>IF(AND(D1194&lt;&gt;"dram",D1194&lt;&gt;"control"),H1194,0)</f>
        <v>400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288</v>
      </c>
      <c r="C1195" t="s">
        <v>88</v>
      </c>
      <c r="D1195" t="s">
        <v>89</v>
      </c>
      <c r="E1195" t="s">
        <v>128</v>
      </c>
      <c r="F1195">
        <v>0</v>
      </c>
      <c r="G1195">
        <f>MAX(I1188,I1187)</f>
        <v>1304839</v>
      </c>
      <c r="H1195">
        <f>0</f>
        <v>719</v>
      </c>
      <c r="I1195">
        <f>G1195+H1195</f>
        <v>1305558</v>
      </c>
      <c r="J1195">
        <f>IF(AND(D1195&lt;&gt;"dram",D1195&lt;&gt;"control"),H1195,0)</f>
        <v>0</v>
      </c>
      <c r="K1195">
        <f>IF(D1195="dram",H1195,0)</f>
        <v>0</v>
      </c>
      <c r="L1195">
        <v>0</v>
      </c>
      <c r="M1195">
        <v>0</v>
      </c>
    </row>
    <row r="1196" spans="1:13">
      <c r="A1196">
        <v>1194</v>
      </c>
      <c r="B1196" t="s">
        <v>289</v>
      </c>
      <c r="C1196" t="s">
        <v>92</v>
      </c>
      <c r="D1196" t="s">
        <v>83</v>
      </c>
      <c r="E1196" t="s">
        <v>128</v>
      </c>
      <c r="F1196">
        <v>1024</v>
      </c>
      <c r="G1196">
        <f>MAX(I1195,I1193)</f>
        <v>1305877</v>
      </c>
      <c r="H1196">
        <f>CEILING((dram_access_latency+F1196/dram_bandwidth)*frequency,1)</f>
        <v>116</v>
      </c>
      <c r="I1196">
        <f>G1196+H1196</f>
        <v>1305993</v>
      </c>
      <c r="J1196">
        <f>IF(AND(D1196&lt;&gt;"dram",D1196&lt;&gt;"control"),H1196,0)</f>
        <v>0</v>
      </c>
      <c r="K1196">
        <f>IF(D1196="dram",H1196,0)</f>
        <v>116</v>
      </c>
      <c r="L1196">
        <v>0</v>
      </c>
      <c r="M1196">
        <v>1024</v>
      </c>
    </row>
    <row r="1197" spans="1:13">
      <c r="A1197">
        <v>1195</v>
      </c>
      <c r="B1197" t="s">
        <v>283</v>
      </c>
      <c r="C1197" t="s">
        <v>82</v>
      </c>
      <c r="D1197" t="s">
        <v>83</v>
      </c>
      <c r="E1197" t="s">
        <v>129</v>
      </c>
      <c r="F1197">
        <v>12288</v>
      </c>
      <c r="G1197">
        <f>MAX(I1195,I1196)</f>
        <v>1305993</v>
      </c>
      <c r="H1197">
        <f>CEILING((dram_access_latency+F1197/dram_bandwidth)*frequency,1)</f>
        <v>292</v>
      </c>
      <c r="I1197">
        <f>G1197+H1197</f>
        <v>1306285</v>
      </c>
      <c r="J1197">
        <f>IF(AND(D1197&lt;&gt;"dram",D1197&lt;&gt;"control"),H1197,0)</f>
        <v>0</v>
      </c>
      <c r="K1197">
        <f>IF(D1197="dram",H1197,0)</f>
        <v>292</v>
      </c>
      <c r="L1197">
        <v>12288</v>
      </c>
      <c r="M1197">
        <v>0</v>
      </c>
    </row>
    <row r="1198" spans="1:13">
      <c r="A1198">
        <v>1196</v>
      </c>
      <c r="B1198" t="s">
        <v>284</v>
      </c>
      <c r="C1198" t="s">
        <v>82</v>
      </c>
      <c r="D1198" t="s">
        <v>83</v>
      </c>
      <c r="E1198" t="s">
        <v>129</v>
      </c>
      <c r="F1198">
        <v>256</v>
      </c>
      <c r="G1198">
        <f>MAX(I1195,I1197)</f>
        <v>1306285</v>
      </c>
      <c r="H1198">
        <f>CEILING((dram_access_latency+F1198/dram_bandwidth)*frequency,1)</f>
        <v>104</v>
      </c>
      <c r="I1198">
        <f>G1198+H1198</f>
        <v>1306389</v>
      </c>
      <c r="J1198">
        <f>IF(AND(D1198&lt;&gt;"dram",D1198&lt;&gt;"control"),H1198,0)</f>
        <v>0</v>
      </c>
      <c r="K1198">
        <f>IF(D1198="dram",H1198,0)</f>
        <v>104</v>
      </c>
      <c r="L1198">
        <v>256</v>
      </c>
      <c r="M1198">
        <v>0</v>
      </c>
    </row>
    <row r="1199" spans="1:13">
      <c r="A1199">
        <v>1197</v>
      </c>
      <c r="B1199" t="s">
        <v>285</v>
      </c>
      <c r="C1199" t="s">
        <v>82</v>
      </c>
      <c r="D1199" t="s">
        <v>83</v>
      </c>
      <c r="E1199" t="s">
        <v>129</v>
      </c>
      <c r="F1199">
        <v>384</v>
      </c>
      <c r="G1199">
        <f>MAX(I1195,I1198)</f>
        <v>1306389</v>
      </c>
      <c r="H1199">
        <f>CEILING((dram_access_latency+F1199/dram_bandwidth)*frequency,1)</f>
        <v>106</v>
      </c>
      <c r="I1199">
        <f>G1199+H1199</f>
        <v>1306495</v>
      </c>
      <c r="J1199">
        <f>IF(AND(D1199&lt;&gt;"dram",D1199&lt;&gt;"control"),H1199,0)</f>
        <v>0</v>
      </c>
      <c r="K1199">
        <f>IF(D1199="dram",H1199,0)</f>
        <v>106</v>
      </c>
      <c r="L1199">
        <v>384</v>
      </c>
      <c r="M1199">
        <v>0</v>
      </c>
    </row>
    <row r="1200" spans="1:13">
      <c r="A1200">
        <v>1198</v>
      </c>
      <c r="B1200" t="s">
        <v>286</v>
      </c>
      <c r="C1200" t="s">
        <v>82</v>
      </c>
      <c r="D1200" t="s">
        <v>83</v>
      </c>
      <c r="E1200" t="s">
        <v>129</v>
      </c>
      <c r="F1200">
        <v>8</v>
      </c>
      <c r="G1200">
        <f>MAX(I1195,I1199)</f>
        <v>1306495</v>
      </c>
      <c r="H1200">
        <f>CEILING((dram_access_latency+F1200/dram_bandwidth)*frequency,1)</f>
        <v>101</v>
      </c>
      <c r="I1200">
        <f>G1200+H1200</f>
        <v>1306596</v>
      </c>
      <c r="J1200">
        <f>IF(AND(D1200&lt;&gt;"dram",D1200&lt;&gt;"control"),H1200,0)</f>
        <v>0</v>
      </c>
      <c r="K1200">
        <f>IF(D1200="dram",H1200,0)</f>
        <v>101</v>
      </c>
      <c r="L1200">
        <v>8</v>
      </c>
      <c r="M1200">
        <v>0</v>
      </c>
    </row>
    <row r="1201" spans="1:13">
      <c r="A1201">
        <v>1199</v>
      </c>
      <c r="B1201" t="s">
        <v>47</v>
      </c>
      <c r="C1201" t="s">
        <v>90</v>
      </c>
      <c r="D1201" t="s">
        <v>287</v>
      </c>
      <c r="E1201" t="s">
        <v>129</v>
      </c>
      <c r="F1201">
        <v>0</v>
      </c>
      <c r="G1201">
        <f>MAX(I1194,I1197,I1198,I1199,I1200,I1196)</f>
        <v>1306596</v>
      </c>
      <c r="H1201">
        <f>'Operations'!I18</f>
        <v>400</v>
      </c>
      <c r="I1201">
        <f>G1201+H1201</f>
        <v>1306996</v>
      </c>
      <c r="J1201">
        <f>IF(AND(D1201&lt;&gt;"dram",D1201&lt;&gt;"control"),H1201,0)</f>
        <v>400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288</v>
      </c>
      <c r="C1202" t="s">
        <v>88</v>
      </c>
      <c r="D1202" t="s">
        <v>89</v>
      </c>
      <c r="E1202" t="s">
        <v>129</v>
      </c>
      <c r="F1202">
        <v>0</v>
      </c>
      <c r="G1202">
        <f>MAX(I1195,I1194)</f>
        <v>1305558</v>
      </c>
      <c r="H1202">
        <f>0</f>
        <v>719</v>
      </c>
      <c r="I1202">
        <f>G1202+H1202</f>
        <v>1306277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289</v>
      </c>
      <c r="C1203" t="s">
        <v>92</v>
      </c>
      <c r="D1203" t="s">
        <v>83</v>
      </c>
      <c r="E1203" t="s">
        <v>129</v>
      </c>
      <c r="F1203">
        <v>1024</v>
      </c>
      <c r="G1203">
        <f>MAX(I1202,I1200)</f>
        <v>1306596</v>
      </c>
      <c r="H1203">
        <f>CEILING((dram_access_latency+F1203/dram_bandwidth)*frequency,1)</f>
        <v>116</v>
      </c>
      <c r="I1203">
        <f>G1203+H1203</f>
        <v>1306712</v>
      </c>
      <c r="J1203">
        <f>IF(AND(D1203&lt;&gt;"dram",D1203&lt;&gt;"control"),H1203,0)</f>
        <v>0</v>
      </c>
      <c r="K1203">
        <f>IF(D1203="dram",H1203,0)</f>
        <v>116</v>
      </c>
      <c r="L1203">
        <v>0</v>
      </c>
      <c r="M1203">
        <v>1024</v>
      </c>
    </row>
    <row r="1204" spans="1:13">
      <c r="A1204">
        <v>1202</v>
      </c>
      <c r="B1204" t="s">
        <v>283</v>
      </c>
      <c r="C1204" t="s">
        <v>82</v>
      </c>
      <c r="D1204" t="s">
        <v>83</v>
      </c>
      <c r="E1204" t="s">
        <v>130</v>
      </c>
      <c r="F1204">
        <v>12288</v>
      </c>
      <c r="G1204">
        <f>MAX(I1202,I1203)</f>
        <v>1306712</v>
      </c>
      <c r="H1204">
        <f>CEILING((dram_access_latency+F1204/dram_bandwidth)*frequency,1)</f>
        <v>292</v>
      </c>
      <c r="I1204">
        <f>G1204+H1204</f>
        <v>1307004</v>
      </c>
      <c r="J1204">
        <f>IF(AND(D1204&lt;&gt;"dram",D1204&lt;&gt;"control"),H1204,0)</f>
        <v>0</v>
      </c>
      <c r="K1204">
        <f>IF(D1204="dram",H1204,0)</f>
        <v>292</v>
      </c>
      <c r="L1204">
        <v>12288</v>
      </c>
      <c r="M1204">
        <v>0</v>
      </c>
    </row>
    <row r="1205" spans="1:13">
      <c r="A1205">
        <v>1203</v>
      </c>
      <c r="B1205" t="s">
        <v>284</v>
      </c>
      <c r="C1205" t="s">
        <v>82</v>
      </c>
      <c r="D1205" t="s">
        <v>83</v>
      </c>
      <c r="E1205" t="s">
        <v>130</v>
      </c>
      <c r="F1205">
        <v>256</v>
      </c>
      <c r="G1205">
        <f>MAX(I1202,I1204)</f>
        <v>1307004</v>
      </c>
      <c r="H1205">
        <f>CEILING((dram_access_latency+F1205/dram_bandwidth)*frequency,1)</f>
        <v>104</v>
      </c>
      <c r="I1205">
        <f>G1205+H1205</f>
        <v>1307108</v>
      </c>
      <c r="J1205">
        <f>IF(AND(D1205&lt;&gt;"dram",D1205&lt;&gt;"control"),H1205,0)</f>
        <v>0</v>
      </c>
      <c r="K1205">
        <f>IF(D1205="dram",H1205,0)</f>
        <v>104</v>
      </c>
      <c r="L1205">
        <v>256</v>
      </c>
      <c r="M1205">
        <v>0</v>
      </c>
    </row>
    <row r="1206" spans="1:13">
      <c r="A1206">
        <v>1204</v>
      </c>
      <c r="B1206" t="s">
        <v>285</v>
      </c>
      <c r="C1206" t="s">
        <v>82</v>
      </c>
      <c r="D1206" t="s">
        <v>83</v>
      </c>
      <c r="E1206" t="s">
        <v>130</v>
      </c>
      <c r="F1206">
        <v>384</v>
      </c>
      <c r="G1206">
        <f>MAX(I1202,I1205)</f>
        <v>1307108</v>
      </c>
      <c r="H1206">
        <f>CEILING((dram_access_latency+F1206/dram_bandwidth)*frequency,1)</f>
        <v>106</v>
      </c>
      <c r="I1206">
        <f>G1206+H1206</f>
        <v>1307214</v>
      </c>
      <c r="J1206">
        <f>IF(AND(D1206&lt;&gt;"dram",D1206&lt;&gt;"control"),H1206,0)</f>
        <v>0</v>
      </c>
      <c r="K1206">
        <f>IF(D1206="dram",H1206,0)</f>
        <v>106</v>
      </c>
      <c r="L1206">
        <v>384</v>
      </c>
      <c r="M1206">
        <v>0</v>
      </c>
    </row>
    <row r="1207" spans="1:13">
      <c r="A1207">
        <v>1205</v>
      </c>
      <c r="B1207" t="s">
        <v>286</v>
      </c>
      <c r="C1207" t="s">
        <v>82</v>
      </c>
      <c r="D1207" t="s">
        <v>83</v>
      </c>
      <c r="E1207" t="s">
        <v>130</v>
      </c>
      <c r="F1207">
        <v>8</v>
      </c>
      <c r="G1207">
        <f>MAX(I1202,I1206)</f>
        <v>1307214</v>
      </c>
      <c r="H1207">
        <f>CEILING((dram_access_latency+F1207/dram_bandwidth)*frequency,1)</f>
        <v>101</v>
      </c>
      <c r="I1207">
        <f>G1207+H1207</f>
        <v>1307315</v>
      </c>
      <c r="J1207">
        <f>IF(AND(D1207&lt;&gt;"dram",D1207&lt;&gt;"control"),H1207,0)</f>
        <v>0</v>
      </c>
      <c r="K1207">
        <f>IF(D1207="dram",H1207,0)</f>
        <v>101</v>
      </c>
      <c r="L1207">
        <v>8</v>
      </c>
      <c r="M1207">
        <v>0</v>
      </c>
    </row>
    <row r="1208" spans="1:13">
      <c r="A1208">
        <v>1206</v>
      </c>
      <c r="B1208" t="s">
        <v>47</v>
      </c>
      <c r="C1208" t="s">
        <v>90</v>
      </c>
      <c r="D1208" t="s">
        <v>287</v>
      </c>
      <c r="E1208" t="s">
        <v>130</v>
      </c>
      <c r="F1208">
        <v>0</v>
      </c>
      <c r="G1208">
        <f>MAX(I1201,I1204,I1205,I1206,I1207,I1203)</f>
        <v>1307315</v>
      </c>
      <c r="H1208">
        <f>'Operations'!I18</f>
        <v>400</v>
      </c>
      <c r="I1208">
        <f>G1208+H1208</f>
        <v>1307715</v>
      </c>
      <c r="J1208">
        <f>IF(AND(D1208&lt;&gt;"dram",D1208&lt;&gt;"control"),H1208,0)</f>
        <v>400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288</v>
      </c>
      <c r="C1209" t="s">
        <v>88</v>
      </c>
      <c r="D1209" t="s">
        <v>89</v>
      </c>
      <c r="E1209" t="s">
        <v>130</v>
      </c>
      <c r="F1209">
        <v>0</v>
      </c>
      <c r="G1209">
        <f>MAX(I1202,I1201)</f>
        <v>1306277</v>
      </c>
      <c r="H1209">
        <f>0</f>
        <v>719</v>
      </c>
      <c r="I1209">
        <f>G1209+H1209</f>
        <v>1306996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289</v>
      </c>
      <c r="C1210" t="s">
        <v>92</v>
      </c>
      <c r="D1210" t="s">
        <v>83</v>
      </c>
      <c r="E1210" t="s">
        <v>130</v>
      </c>
      <c r="F1210">
        <v>1024</v>
      </c>
      <c r="G1210">
        <f>MAX(I1209,I1207)</f>
        <v>1307315</v>
      </c>
      <c r="H1210">
        <f>CEILING((dram_access_latency+F1210/dram_bandwidth)*frequency,1)</f>
        <v>116</v>
      </c>
      <c r="I1210">
        <f>G1210+H1210</f>
        <v>1307431</v>
      </c>
      <c r="J1210">
        <f>IF(AND(D1210&lt;&gt;"dram",D1210&lt;&gt;"control"),H1210,0)</f>
        <v>0</v>
      </c>
      <c r="K1210">
        <f>IF(D1210="dram",H1210,0)</f>
        <v>116</v>
      </c>
      <c r="L1210">
        <v>0</v>
      </c>
      <c r="M1210">
        <v>1024</v>
      </c>
    </row>
    <row r="1211" spans="1:13">
      <c r="A1211">
        <v>1209</v>
      </c>
      <c r="B1211" t="s">
        <v>283</v>
      </c>
      <c r="C1211" t="s">
        <v>82</v>
      </c>
      <c r="D1211" t="s">
        <v>83</v>
      </c>
      <c r="E1211" t="s">
        <v>131</v>
      </c>
      <c r="F1211">
        <v>12288</v>
      </c>
      <c r="G1211">
        <f>MAX(I1209,I1210)</f>
        <v>1307431</v>
      </c>
      <c r="H1211">
        <f>CEILING((dram_access_latency+F1211/dram_bandwidth)*frequency,1)</f>
        <v>292</v>
      </c>
      <c r="I1211">
        <f>G1211+H1211</f>
        <v>1307723</v>
      </c>
      <c r="J1211">
        <f>IF(AND(D1211&lt;&gt;"dram",D1211&lt;&gt;"control"),H1211,0)</f>
        <v>0</v>
      </c>
      <c r="K1211">
        <f>IF(D1211="dram",H1211,0)</f>
        <v>292</v>
      </c>
      <c r="L1211">
        <v>12288</v>
      </c>
      <c r="M1211">
        <v>0</v>
      </c>
    </row>
    <row r="1212" spans="1:13">
      <c r="A1212">
        <v>1210</v>
      </c>
      <c r="B1212" t="s">
        <v>284</v>
      </c>
      <c r="C1212" t="s">
        <v>82</v>
      </c>
      <c r="D1212" t="s">
        <v>83</v>
      </c>
      <c r="E1212" t="s">
        <v>131</v>
      </c>
      <c r="F1212">
        <v>256</v>
      </c>
      <c r="G1212">
        <f>MAX(I1209,I1211)</f>
        <v>1307723</v>
      </c>
      <c r="H1212">
        <f>CEILING((dram_access_latency+F1212/dram_bandwidth)*frequency,1)</f>
        <v>104</v>
      </c>
      <c r="I1212">
        <f>G1212+H1212</f>
        <v>1307827</v>
      </c>
      <c r="J1212">
        <f>IF(AND(D1212&lt;&gt;"dram",D1212&lt;&gt;"control"),H1212,0)</f>
        <v>0</v>
      </c>
      <c r="K1212">
        <f>IF(D1212="dram",H1212,0)</f>
        <v>104</v>
      </c>
      <c r="L1212">
        <v>256</v>
      </c>
      <c r="M1212">
        <v>0</v>
      </c>
    </row>
    <row r="1213" spans="1:13">
      <c r="A1213">
        <v>1211</v>
      </c>
      <c r="B1213" t="s">
        <v>285</v>
      </c>
      <c r="C1213" t="s">
        <v>82</v>
      </c>
      <c r="D1213" t="s">
        <v>83</v>
      </c>
      <c r="E1213" t="s">
        <v>131</v>
      </c>
      <c r="F1213">
        <v>384</v>
      </c>
      <c r="G1213">
        <f>MAX(I1209,I1212)</f>
        <v>1307827</v>
      </c>
      <c r="H1213">
        <f>CEILING((dram_access_latency+F1213/dram_bandwidth)*frequency,1)</f>
        <v>106</v>
      </c>
      <c r="I1213">
        <f>G1213+H1213</f>
        <v>1307933</v>
      </c>
      <c r="J1213">
        <f>IF(AND(D1213&lt;&gt;"dram",D1213&lt;&gt;"control"),H1213,0)</f>
        <v>0</v>
      </c>
      <c r="K1213">
        <f>IF(D1213="dram",H1213,0)</f>
        <v>106</v>
      </c>
      <c r="L1213">
        <v>384</v>
      </c>
      <c r="M1213">
        <v>0</v>
      </c>
    </row>
    <row r="1214" spans="1:13">
      <c r="A1214">
        <v>1212</v>
      </c>
      <c r="B1214" t="s">
        <v>286</v>
      </c>
      <c r="C1214" t="s">
        <v>82</v>
      </c>
      <c r="D1214" t="s">
        <v>83</v>
      </c>
      <c r="E1214" t="s">
        <v>131</v>
      </c>
      <c r="F1214">
        <v>8</v>
      </c>
      <c r="G1214">
        <f>MAX(I1209,I1213)</f>
        <v>1307933</v>
      </c>
      <c r="H1214">
        <f>CEILING((dram_access_latency+F1214/dram_bandwidth)*frequency,1)</f>
        <v>101</v>
      </c>
      <c r="I1214">
        <f>G1214+H1214</f>
        <v>1308034</v>
      </c>
      <c r="J1214">
        <f>IF(AND(D1214&lt;&gt;"dram",D1214&lt;&gt;"control"),H1214,0)</f>
        <v>0</v>
      </c>
      <c r="K1214">
        <f>IF(D1214="dram",H1214,0)</f>
        <v>101</v>
      </c>
      <c r="L1214">
        <v>8</v>
      </c>
      <c r="M1214">
        <v>0</v>
      </c>
    </row>
    <row r="1215" spans="1:13">
      <c r="A1215">
        <v>1213</v>
      </c>
      <c r="B1215" t="s">
        <v>47</v>
      </c>
      <c r="C1215" t="s">
        <v>90</v>
      </c>
      <c r="D1215" t="s">
        <v>287</v>
      </c>
      <c r="E1215" t="s">
        <v>131</v>
      </c>
      <c r="F1215">
        <v>0</v>
      </c>
      <c r="G1215">
        <f>MAX(I1208,I1211,I1212,I1213,I1214,I1210)</f>
        <v>1308034</v>
      </c>
      <c r="H1215">
        <f>'Operations'!I18</f>
        <v>400</v>
      </c>
      <c r="I1215">
        <f>G1215+H1215</f>
        <v>1308434</v>
      </c>
      <c r="J1215">
        <f>IF(AND(D1215&lt;&gt;"dram",D1215&lt;&gt;"control"),H1215,0)</f>
        <v>400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288</v>
      </c>
      <c r="C1216" t="s">
        <v>88</v>
      </c>
      <c r="D1216" t="s">
        <v>89</v>
      </c>
      <c r="E1216" t="s">
        <v>131</v>
      </c>
      <c r="F1216">
        <v>0</v>
      </c>
      <c r="G1216">
        <f>MAX(I1209,I1208)</f>
        <v>1306996</v>
      </c>
      <c r="H1216">
        <f>0</f>
        <v>719</v>
      </c>
      <c r="I1216">
        <f>G1216+H1216</f>
        <v>1307715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289</v>
      </c>
      <c r="C1217" t="s">
        <v>92</v>
      </c>
      <c r="D1217" t="s">
        <v>83</v>
      </c>
      <c r="E1217" t="s">
        <v>131</v>
      </c>
      <c r="F1217">
        <v>1024</v>
      </c>
      <c r="G1217">
        <f>MAX(I1216,I1214)</f>
        <v>1308034</v>
      </c>
      <c r="H1217">
        <f>CEILING((dram_access_latency+F1217/dram_bandwidth)*frequency,1)</f>
        <v>116</v>
      </c>
      <c r="I1217">
        <f>G1217+H1217</f>
        <v>1308150</v>
      </c>
      <c r="J1217">
        <f>IF(AND(D1217&lt;&gt;"dram",D1217&lt;&gt;"control"),H1217,0)</f>
        <v>0</v>
      </c>
      <c r="K1217">
        <f>IF(D1217="dram",H1217,0)</f>
        <v>116</v>
      </c>
      <c r="L1217">
        <v>0</v>
      </c>
      <c r="M1217">
        <v>1024</v>
      </c>
    </row>
    <row r="1218" spans="1:13">
      <c r="A1218">
        <v>1216</v>
      </c>
      <c r="B1218" t="s">
        <v>283</v>
      </c>
      <c r="C1218" t="s">
        <v>82</v>
      </c>
      <c r="D1218" t="s">
        <v>83</v>
      </c>
      <c r="E1218" t="s">
        <v>132</v>
      </c>
      <c r="F1218">
        <v>12288</v>
      </c>
      <c r="G1218">
        <f>MAX(I1216,I1217)</f>
        <v>1308150</v>
      </c>
      <c r="H1218">
        <f>CEILING((dram_access_latency+F1218/dram_bandwidth)*frequency,1)</f>
        <v>292</v>
      </c>
      <c r="I1218">
        <f>G1218+H1218</f>
        <v>1308442</v>
      </c>
      <c r="J1218">
        <f>IF(AND(D1218&lt;&gt;"dram",D1218&lt;&gt;"control"),H1218,0)</f>
        <v>0</v>
      </c>
      <c r="K1218">
        <f>IF(D1218="dram",H1218,0)</f>
        <v>292</v>
      </c>
      <c r="L1218">
        <v>12288</v>
      </c>
      <c r="M1218">
        <v>0</v>
      </c>
    </row>
    <row r="1219" spans="1:13">
      <c r="A1219">
        <v>1217</v>
      </c>
      <c r="B1219" t="s">
        <v>284</v>
      </c>
      <c r="C1219" t="s">
        <v>82</v>
      </c>
      <c r="D1219" t="s">
        <v>83</v>
      </c>
      <c r="E1219" t="s">
        <v>132</v>
      </c>
      <c r="F1219">
        <v>256</v>
      </c>
      <c r="G1219">
        <f>MAX(I1216,I1218)</f>
        <v>1308442</v>
      </c>
      <c r="H1219">
        <f>CEILING((dram_access_latency+F1219/dram_bandwidth)*frequency,1)</f>
        <v>104</v>
      </c>
      <c r="I1219">
        <f>G1219+H1219</f>
        <v>1308546</v>
      </c>
      <c r="J1219">
        <f>IF(AND(D1219&lt;&gt;"dram",D1219&lt;&gt;"control"),H1219,0)</f>
        <v>0</v>
      </c>
      <c r="K1219">
        <f>IF(D1219="dram",H1219,0)</f>
        <v>104</v>
      </c>
      <c r="L1219">
        <v>256</v>
      </c>
      <c r="M1219">
        <v>0</v>
      </c>
    </row>
    <row r="1220" spans="1:13">
      <c r="A1220">
        <v>1218</v>
      </c>
      <c r="B1220" t="s">
        <v>285</v>
      </c>
      <c r="C1220" t="s">
        <v>82</v>
      </c>
      <c r="D1220" t="s">
        <v>83</v>
      </c>
      <c r="E1220" t="s">
        <v>132</v>
      </c>
      <c r="F1220">
        <v>384</v>
      </c>
      <c r="G1220">
        <f>MAX(I1216,I1219)</f>
        <v>1308546</v>
      </c>
      <c r="H1220">
        <f>CEILING((dram_access_latency+F1220/dram_bandwidth)*frequency,1)</f>
        <v>106</v>
      </c>
      <c r="I1220">
        <f>G1220+H1220</f>
        <v>1308652</v>
      </c>
      <c r="J1220">
        <f>IF(AND(D1220&lt;&gt;"dram",D1220&lt;&gt;"control"),H1220,0)</f>
        <v>0</v>
      </c>
      <c r="K1220">
        <f>IF(D1220="dram",H1220,0)</f>
        <v>106</v>
      </c>
      <c r="L1220">
        <v>384</v>
      </c>
      <c r="M1220">
        <v>0</v>
      </c>
    </row>
    <row r="1221" spans="1:13">
      <c r="A1221">
        <v>1219</v>
      </c>
      <c r="B1221" t="s">
        <v>286</v>
      </c>
      <c r="C1221" t="s">
        <v>82</v>
      </c>
      <c r="D1221" t="s">
        <v>83</v>
      </c>
      <c r="E1221" t="s">
        <v>132</v>
      </c>
      <c r="F1221">
        <v>8</v>
      </c>
      <c r="G1221">
        <f>MAX(I1216,I1220)</f>
        <v>1308652</v>
      </c>
      <c r="H1221">
        <f>CEILING((dram_access_latency+F1221/dram_bandwidth)*frequency,1)</f>
        <v>101</v>
      </c>
      <c r="I1221">
        <f>G1221+H1221</f>
        <v>1308753</v>
      </c>
      <c r="J1221">
        <f>IF(AND(D1221&lt;&gt;"dram",D1221&lt;&gt;"control"),H1221,0)</f>
        <v>0</v>
      </c>
      <c r="K1221">
        <f>IF(D1221="dram",H1221,0)</f>
        <v>101</v>
      </c>
      <c r="L1221">
        <v>8</v>
      </c>
      <c r="M1221">
        <v>0</v>
      </c>
    </row>
    <row r="1222" spans="1:13">
      <c r="A1222">
        <v>1220</v>
      </c>
      <c r="B1222" t="s">
        <v>47</v>
      </c>
      <c r="C1222" t="s">
        <v>90</v>
      </c>
      <c r="D1222" t="s">
        <v>287</v>
      </c>
      <c r="E1222" t="s">
        <v>132</v>
      </c>
      <c r="F1222">
        <v>0</v>
      </c>
      <c r="G1222">
        <f>MAX(I1215,I1218,I1219,I1220,I1221,I1217)</f>
        <v>1308753</v>
      </c>
      <c r="H1222">
        <f>'Operations'!I18</f>
        <v>400</v>
      </c>
      <c r="I1222">
        <f>G1222+H1222</f>
        <v>1309153</v>
      </c>
      <c r="J1222">
        <f>IF(AND(D1222&lt;&gt;"dram",D1222&lt;&gt;"control"),H1222,0)</f>
        <v>400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288</v>
      </c>
      <c r="C1223" t="s">
        <v>88</v>
      </c>
      <c r="D1223" t="s">
        <v>89</v>
      </c>
      <c r="E1223" t="s">
        <v>132</v>
      </c>
      <c r="F1223">
        <v>0</v>
      </c>
      <c r="G1223">
        <f>MAX(I1216,I1215)</f>
        <v>1307715</v>
      </c>
      <c r="H1223">
        <f>0</f>
        <v>719</v>
      </c>
      <c r="I1223">
        <f>G1223+H1223</f>
        <v>1308434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289</v>
      </c>
      <c r="C1224" t="s">
        <v>92</v>
      </c>
      <c r="D1224" t="s">
        <v>83</v>
      </c>
      <c r="E1224" t="s">
        <v>132</v>
      </c>
      <c r="F1224">
        <v>1024</v>
      </c>
      <c r="G1224">
        <f>MAX(I1223,I1221)</f>
        <v>1308753</v>
      </c>
      <c r="H1224">
        <f>CEILING((dram_access_latency+F1224/dram_bandwidth)*frequency,1)</f>
        <v>116</v>
      </c>
      <c r="I1224">
        <f>G1224+H1224</f>
        <v>1308869</v>
      </c>
      <c r="J1224">
        <f>IF(AND(D1224&lt;&gt;"dram",D1224&lt;&gt;"control"),H1224,0)</f>
        <v>0</v>
      </c>
      <c r="K1224">
        <f>IF(D1224="dram",H1224,0)</f>
        <v>116</v>
      </c>
      <c r="L1224">
        <v>0</v>
      </c>
      <c r="M1224">
        <v>1024</v>
      </c>
    </row>
    <row r="1225" spans="1:13">
      <c r="A1225">
        <v>1223</v>
      </c>
      <c r="B1225" t="s">
        <v>283</v>
      </c>
      <c r="C1225" t="s">
        <v>82</v>
      </c>
      <c r="D1225" t="s">
        <v>83</v>
      </c>
      <c r="E1225" t="s">
        <v>133</v>
      </c>
      <c r="F1225">
        <v>12288</v>
      </c>
      <c r="G1225">
        <f>MAX(I1223,I1224)</f>
        <v>1308869</v>
      </c>
      <c r="H1225">
        <f>CEILING((dram_access_latency+F1225/dram_bandwidth)*frequency,1)</f>
        <v>292</v>
      </c>
      <c r="I1225">
        <f>G1225+H1225</f>
        <v>1309161</v>
      </c>
      <c r="J1225">
        <f>IF(AND(D1225&lt;&gt;"dram",D1225&lt;&gt;"control"),H1225,0)</f>
        <v>0</v>
      </c>
      <c r="K1225">
        <f>IF(D1225="dram",H1225,0)</f>
        <v>292</v>
      </c>
      <c r="L1225">
        <v>12288</v>
      </c>
      <c r="M1225">
        <v>0</v>
      </c>
    </row>
    <row r="1226" spans="1:13">
      <c r="A1226">
        <v>1224</v>
      </c>
      <c r="B1226" t="s">
        <v>284</v>
      </c>
      <c r="C1226" t="s">
        <v>82</v>
      </c>
      <c r="D1226" t="s">
        <v>83</v>
      </c>
      <c r="E1226" t="s">
        <v>133</v>
      </c>
      <c r="F1226">
        <v>256</v>
      </c>
      <c r="G1226">
        <f>MAX(I1223,I1225)</f>
        <v>1309161</v>
      </c>
      <c r="H1226">
        <f>CEILING((dram_access_latency+F1226/dram_bandwidth)*frequency,1)</f>
        <v>104</v>
      </c>
      <c r="I1226">
        <f>G1226+H1226</f>
        <v>1309265</v>
      </c>
      <c r="J1226">
        <f>IF(AND(D1226&lt;&gt;"dram",D1226&lt;&gt;"control"),H1226,0)</f>
        <v>0</v>
      </c>
      <c r="K1226">
        <f>IF(D1226="dram",H1226,0)</f>
        <v>104</v>
      </c>
      <c r="L1226">
        <v>256</v>
      </c>
      <c r="M1226">
        <v>0</v>
      </c>
    </row>
    <row r="1227" spans="1:13">
      <c r="A1227">
        <v>1225</v>
      </c>
      <c r="B1227" t="s">
        <v>285</v>
      </c>
      <c r="C1227" t="s">
        <v>82</v>
      </c>
      <c r="D1227" t="s">
        <v>83</v>
      </c>
      <c r="E1227" t="s">
        <v>133</v>
      </c>
      <c r="F1227">
        <v>384</v>
      </c>
      <c r="G1227">
        <f>MAX(I1223,I1226)</f>
        <v>1309265</v>
      </c>
      <c r="H1227">
        <f>CEILING((dram_access_latency+F1227/dram_bandwidth)*frequency,1)</f>
        <v>106</v>
      </c>
      <c r="I1227">
        <f>G1227+H1227</f>
        <v>1309371</v>
      </c>
      <c r="J1227">
        <f>IF(AND(D1227&lt;&gt;"dram",D1227&lt;&gt;"control"),H1227,0)</f>
        <v>0</v>
      </c>
      <c r="K1227">
        <f>IF(D1227="dram",H1227,0)</f>
        <v>106</v>
      </c>
      <c r="L1227">
        <v>384</v>
      </c>
      <c r="M1227">
        <v>0</v>
      </c>
    </row>
    <row r="1228" spans="1:13">
      <c r="A1228">
        <v>1226</v>
      </c>
      <c r="B1228" t="s">
        <v>286</v>
      </c>
      <c r="C1228" t="s">
        <v>82</v>
      </c>
      <c r="D1228" t="s">
        <v>83</v>
      </c>
      <c r="E1228" t="s">
        <v>133</v>
      </c>
      <c r="F1228">
        <v>8</v>
      </c>
      <c r="G1228">
        <f>MAX(I1223,I1227)</f>
        <v>1309371</v>
      </c>
      <c r="H1228">
        <f>CEILING((dram_access_latency+F1228/dram_bandwidth)*frequency,1)</f>
        <v>101</v>
      </c>
      <c r="I1228">
        <f>G1228+H1228</f>
        <v>1309472</v>
      </c>
      <c r="J1228">
        <f>IF(AND(D1228&lt;&gt;"dram",D1228&lt;&gt;"control"),H1228,0)</f>
        <v>0</v>
      </c>
      <c r="K1228">
        <f>IF(D1228="dram",H1228,0)</f>
        <v>101</v>
      </c>
      <c r="L1228">
        <v>8</v>
      </c>
      <c r="M1228">
        <v>0</v>
      </c>
    </row>
    <row r="1229" spans="1:13">
      <c r="A1229">
        <v>1227</v>
      </c>
      <c r="B1229" t="s">
        <v>47</v>
      </c>
      <c r="C1229" t="s">
        <v>90</v>
      </c>
      <c r="D1229" t="s">
        <v>287</v>
      </c>
      <c r="E1229" t="s">
        <v>133</v>
      </c>
      <c r="F1229">
        <v>0</v>
      </c>
      <c r="G1229">
        <f>MAX(I1222,I1225,I1226,I1227,I1228,I1224)</f>
        <v>1309472</v>
      </c>
      <c r="H1229">
        <f>'Operations'!I18</f>
        <v>400</v>
      </c>
      <c r="I1229">
        <f>G1229+H1229</f>
        <v>1309872</v>
      </c>
      <c r="J1229">
        <f>IF(AND(D1229&lt;&gt;"dram",D1229&lt;&gt;"control"),H1229,0)</f>
        <v>400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288</v>
      </c>
      <c r="C1230" t="s">
        <v>88</v>
      </c>
      <c r="D1230" t="s">
        <v>89</v>
      </c>
      <c r="E1230" t="s">
        <v>133</v>
      </c>
      <c r="F1230">
        <v>0</v>
      </c>
      <c r="G1230">
        <f>MAX(I1223,I1222)</f>
        <v>1308434</v>
      </c>
      <c r="H1230">
        <f>0</f>
        <v>719</v>
      </c>
      <c r="I1230">
        <f>G1230+H1230</f>
        <v>1309153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289</v>
      </c>
      <c r="C1231" t="s">
        <v>92</v>
      </c>
      <c r="D1231" t="s">
        <v>83</v>
      </c>
      <c r="E1231" t="s">
        <v>133</v>
      </c>
      <c r="F1231">
        <v>1024</v>
      </c>
      <c r="G1231">
        <f>MAX(I1230,I1228)</f>
        <v>1309472</v>
      </c>
      <c r="H1231">
        <f>CEILING((dram_access_latency+F1231/dram_bandwidth)*frequency,1)</f>
        <v>116</v>
      </c>
      <c r="I1231">
        <f>G1231+H1231</f>
        <v>1309588</v>
      </c>
      <c r="J1231">
        <f>IF(AND(D1231&lt;&gt;"dram",D1231&lt;&gt;"control"),H1231,0)</f>
        <v>0</v>
      </c>
      <c r="K1231">
        <f>IF(D1231="dram",H1231,0)</f>
        <v>116</v>
      </c>
      <c r="L1231">
        <v>0</v>
      </c>
      <c r="M1231">
        <v>1024</v>
      </c>
    </row>
    <row r="1232" spans="1:13">
      <c r="A1232">
        <v>1230</v>
      </c>
      <c r="B1232" t="s">
        <v>283</v>
      </c>
      <c r="C1232" t="s">
        <v>82</v>
      </c>
      <c r="D1232" t="s">
        <v>83</v>
      </c>
      <c r="E1232" t="s">
        <v>134</v>
      </c>
      <c r="F1232">
        <v>12288</v>
      </c>
      <c r="G1232">
        <f>MAX(I1230,I1231)</f>
        <v>1309588</v>
      </c>
      <c r="H1232">
        <f>CEILING((dram_access_latency+F1232/dram_bandwidth)*frequency,1)</f>
        <v>292</v>
      </c>
      <c r="I1232">
        <f>G1232+H1232</f>
        <v>1309880</v>
      </c>
      <c r="J1232">
        <f>IF(AND(D1232&lt;&gt;"dram",D1232&lt;&gt;"control"),H1232,0)</f>
        <v>0</v>
      </c>
      <c r="K1232">
        <f>IF(D1232="dram",H1232,0)</f>
        <v>292</v>
      </c>
      <c r="L1232">
        <v>12288</v>
      </c>
      <c r="M1232">
        <v>0</v>
      </c>
    </row>
    <row r="1233" spans="1:13">
      <c r="A1233">
        <v>1231</v>
      </c>
      <c r="B1233" t="s">
        <v>284</v>
      </c>
      <c r="C1233" t="s">
        <v>82</v>
      </c>
      <c r="D1233" t="s">
        <v>83</v>
      </c>
      <c r="E1233" t="s">
        <v>134</v>
      </c>
      <c r="F1233">
        <v>256</v>
      </c>
      <c r="G1233">
        <f>MAX(I1230,I1232)</f>
        <v>1309880</v>
      </c>
      <c r="H1233">
        <f>CEILING((dram_access_latency+F1233/dram_bandwidth)*frequency,1)</f>
        <v>104</v>
      </c>
      <c r="I1233">
        <f>G1233+H1233</f>
        <v>1309984</v>
      </c>
      <c r="J1233">
        <f>IF(AND(D1233&lt;&gt;"dram",D1233&lt;&gt;"control"),H1233,0)</f>
        <v>0</v>
      </c>
      <c r="K1233">
        <f>IF(D1233="dram",H1233,0)</f>
        <v>104</v>
      </c>
      <c r="L1233">
        <v>256</v>
      </c>
      <c r="M1233">
        <v>0</v>
      </c>
    </row>
    <row r="1234" spans="1:13">
      <c r="A1234">
        <v>1232</v>
      </c>
      <c r="B1234" t="s">
        <v>285</v>
      </c>
      <c r="C1234" t="s">
        <v>82</v>
      </c>
      <c r="D1234" t="s">
        <v>83</v>
      </c>
      <c r="E1234" t="s">
        <v>134</v>
      </c>
      <c r="F1234">
        <v>384</v>
      </c>
      <c r="G1234">
        <f>MAX(I1230,I1233)</f>
        <v>1309984</v>
      </c>
      <c r="H1234">
        <f>CEILING((dram_access_latency+F1234/dram_bandwidth)*frequency,1)</f>
        <v>106</v>
      </c>
      <c r="I1234">
        <f>G1234+H1234</f>
        <v>1310090</v>
      </c>
      <c r="J1234">
        <f>IF(AND(D1234&lt;&gt;"dram",D1234&lt;&gt;"control"),H1234,0)</f>
        <v>0</v>
      </c>
      <c r="K1234">
        <f>IF(D1234="dram",H1234,0)</f>
        <v>106</v>
      </c>
      <c r="L1234">
        <v>384</v>
      </c>
      <c r="M1234">
        <v>0</v>
      </c>
    </row>
    <row r="1235" spans="1:13">
      <c r="A1235">
        <v>1233</v>
      </c>
      <c r="B1235" t="s">
        <v>286</v>
      </c>
      <c r="C1235" t="s">
        <v>82</v>
      </c>
      <c r="D1235" t="s">
        <v>83</v>
      </c>
      <c r="E1235" t="s">
        <v>134</v>
      </c>
      <c r="F1235">
        <v>8</v>
      </c>
      <c r="G1235">
        <f>MAX(I1230,I1234)</f>
        <v>1310090</v>
      </c>
      <c r="H1235">
        <f>CEILING((dram_access_latency+F1235/dram_bandwidth)*frequency,1)</f>
        <v>101</v>
      </c>
      <c r="I1235">
        <f>G1235+H1235</f>
        <v>1310191</v>
      </c>
      <c r="J1235">
        <f>IF(AND(D1235&lt;&gt;"dram",D1235&lt;&gt;"control"),H1235,0)</f>
        <v>0</v>
      </c>
      <c r="K1235">
        <f>IF(D1235="dram",H1235,0)</f>
        <v>101</v>
      </c>
      <c r="L1235">
        <v>8</v>
      </c>
      <c r="M1235">
        <v>0</v>
      </c>
    </row>
    <row r="1236" spans="1:13">
      <c r="A1236">
        <v>1234</v>
      </c>
      <c r="B1236" t="s">
        <v>47</v>
      </c>
      <c r="C1236" t="s">
        <v>90</v>
      </c>
      <c r="D1236" t="s">
        <v>287</v>
      </c>
      <c r="E1236" t="s">
        <v>134</v>
      </c>
      <c r="F1236">
        <v>0</v>
      </c>
      <c r="G1236">
        <f>MAX(I1229,I1232,I1233,I1234,I1235,I1231)</f>
        <v>1310191</v>
      </c>
      <c r="H1236">
        <f>'Operations'!I18</f>
        <v>400</v>
      </c>
      <c r="I1236">
        <f>G1236+H1236</f>
        <v>1310591</v>
      </c>
      <c r="J1236">
        <f>IF(AND(D1236&lt;&gt;"dram",D1236&lt;&gt;"control"),H1236,0)</f>
        <v>400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288</v>
      </c>
      <c r="C1237" t="s">
        <v>88</v>
      </c>
      <c r="D1237" t="s">
        <v>89</v>
      </c>
      <c r="E1237" t="s">
        <v>134</v>
      </c>
      <c r="F1237">
        <v>0</v>
      </c>
      <c r="G1237">
        <f>MAX(I1230,I1229)</f>
        <v>1309153</v>
      </c>
      <c r="H1237">
        <f>0</f>
        <v>719</v>
      </c>
      <c r="I1237">
        <f>G1237+H1237</f>
        <v>1309872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289</v>
      </c>
      <c r="C1238" t="s">
        <v>92</v>
      </c>
      <c r="D1238" t="s">
        <v>83</v>
      </c>
      <c r="E1238" t="s">
        <v>134</v>
      </c>
      <c r="F1238">
        <v>1024</v>
      </c>
      <c r="G1238">
        <f>MAX(I1237,I1235)</f>
        <v>1310191</v>
      </c>
      <c r="H1238">
        <f>CEILING((dram_access_latency+F1238/dram_bandwidth)*frequency,1)</f>
        <v>116</v>
      </c>
      <c r="I1238">
        <f>G1238+H1238</f>
        <v>1310307</v>
      </c>
      <c r="J1238">
        <f>IF(AND(D1238&lt;&gt;"dram",D1238&lt;&gt;"control"),H1238,0)</f>
        <v>0</v>
      </c>
      <c r="K1238">
        <f>IF(D1238="dram",H1238,0)</f>
        <v>116</v>
      </c>
      <c r="L1238">
        <v>0</v>
      </c>
      <c r="M1238">
        <v>1024</v>
      </c>
    </row>
    <row r="1239" spans="1:13">
      <c r="A1239">
        <v>1237</v>
      </c>
      <c r="B1239" t="s">
        <v>283</v>
      </c>
      <c r="C1239" t="s">
        <v>82</v>
      </c>
      <c r="D1239" t="s">
        <v>83</v>
      </c>
      <c r="E1239" t="s">
        <v>135</v>
      </c>
      <c r="F1239">
        <v>12288</v>
      </c>
      <c r="G1239">
        <f>MAX(I1237,I1238)</f>
        <v>1310307</v>
      </c>
      <c r="H1239">
        <f>CEILING((dram_access_latency+F1239/dram_bandwidth)*frequency,1)</f>
        <v>292</v>
      </c>
      <c r="I1239">
        <f>G1239+H1239</f>
        <v>1310599</v>
      </c>
      <c r="J1239">
        <f>IF(AND(D1239&lt;&gt;"dram",D1239&lt;&gt;"control"),H1239,0)</f>
        <v>0</v>
      </c>
      <c r="K1239">
        <f>IF(D1239="dram",H1239,0)</f>
        <v>292</v>
      </c>
      <c r="L1239">
        <v>12288</v>
      </c>
      <c r="M1239">
        <v>0</v>
      </c>
    </row>
    <row r="1240" spans="1:13">
      <c r="A1240">
        <v>1238</v>
      </c>
      <c r="B1240" t="s">
        <v>284</v>
      </c>
      <c r="C1240" t="s">
        <v>82</v>
      </c>
      <c r="D1240" t="s">
        <v>83</v>
      </c>
      <c r="E1240" t="s">
        <v>135</v>
      </c>
      <c r="F1240">
        <v>256</v>
      </c>
      <c r="G1240">
        <f>MAX(I1237,I1239)</f>
        <v>1310599</v>
      </c>
      <c r="H1240">
        <f>CEILING((dram_access_latency+F1240/dram_bandwidth)*frequency,1)</f>
        <v>104</v>
      </c>
      <c r="I1240">
        <f>G1240+H1240</f>
        <v>1310703</v>
      </c>
      <c r="J1240">
        <f>IF(AND(D1240&lt;&gt;"dram",D1240&lt;&gt;"control"),H1240,0)</f>
        <v>0</v>
      </c>
      <c r="K1240">
        <f>IF(D1240="dram",H1240,0)</f>
        <v>104</v>
      </c>
      <c r="L1240">
        <v>256</v>
      </c>
      <c r="M1240">
        <v>0</v>
      </c>
    </row>
    <row r="1241" spans="1:13">
      <c r="A1241">
        <v>1239</v>
      </c>
      <c r="B1241" t="s">
        <v>285</v>
      </c>
      <c r="C1241" t="s">
        <v>82</v>
      </c>
      <c r="D1241" t="s">
        <v>83</v>
      </c>
      <c r="E1241" t="s">
        <v>135</v>
      </c>
      <c r="F1241">
        <v>384</v>
      </c>
      <c r="G1241">
        <f>MAX(I1237,I1240)</f>
        <v>1310703</v>
      </c>
      <c r="H1241">
        <f>CEILING((dram_access_latency+F1241/dram_bandwidth)*frequency,1)</f>
        <v>106</v>
      </c>
      <c r="I1241">
        <f>G1241+H1241</f>
        <v>1310809</v>
      </c>
      <c r="J1241">
        <f>IF(AND(D1241&lt;&gt;"dram",D1241&lt;&gt;"control"),H1241,0)</f>
        <v>0</v>
      </c>
      <c r="K1241">
        <f>IF(D1241="dram",H1241,0)</f>
        <v>106</v>
      </c>
      <c r="L1241">
        <v>384</v>
      </c>
      <c r="M1241">
        <v>0</v>
      </c>
    </row>
    <row r="1242" spans="1:13">
      <c r="A1242">
        <v>1240</v>
      </c>
      <c r="B1242" t="s">
        <v>286</v>
      </c>
      <c r="C1242" t="s">
        <v>82</v>
      </c>
      <c r="D1242" t="s">
        <v>83</v>
      </c>
      <c r="E1242" t="s">
        <v>135</v>
      </c>
      <c r="F1242">
        <v>8</v>
      </c>
      <c r="G1242">
        <f>MAX(I1237,I1241)</f>
        <v>1310809</v>
      </c>
      <c r="H1242">
        <f>CEILING((dram_access_latency+F1242/dram_bandwidth)*frequency,1)</f>
        <v>101</v>
      </c>
      <c r="I1242">
        <f>G1242+H1242</f>
        <v>1310910</v>
      </c>
      <c r="J1242">
        <f>IF(AND(D1242&lt;&gt;"dram",D1242&lt;&gt;"control"),H1242,0)</f>
        <v>0</v>
      </c>
      <c r="K1242">
        <f>IF(D1242="dram",H1242,0)</f>
        <v>101</v>
      </c>
      <c r="L1242">
        <v>8</v>
      </c>
      <c r="M1242">
        <v>0</v>
      </c>
    </row>
    <row r="1243" spans="1:13">
      <c r="A1243">
        <v>1241</v>
      </c>
      <c r="B1243" t="s">
        <v>47</v>
      </c>
      <c r="C1243" t="s">
        <v>90</v>
      </c>
      <c r="D1243" t="s">
        <v>287</v>
      </c>
      <c r="E1243" t="s">
        <v>135</v>
      </c>
      <c r="F1243">
        <v>0</v>
      </c>
      <c r="G1243">
        <f>MAX(I1236,I1239,I1240,I1241,I1242,I1238)</f>
        <v>1310910</v>
      </c>
      <c r="H1243">
        <f>'Operations'!I18</f>
        <v>400</v>
      </c>
      <c r="I1243">
        <f>G1243+H1243</f>
        <v>1311310</v>
      </c>
      <c r="J1243">
        <f>IF(AND(D1243&lt;&gt;"dram",D1243&lt;&gt;"control"),H1243,0)</f>
        <v>400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288</v>
      </c>
      <c r="C1244" t="s">
        <v>88</v>
      </c>
      <c r="D1244" t="s">
        <v>89</v>
      </c>
      <c r="E1244" t="s">
        <v>135</v>
      </c>
      <c r="F1244">
        <v>0</v>
      </c>
      <c r="G1244">
        <f>MAX(I1237,I1236)</f>
        <v>1309872</v>
      </c>
      <c r="H1244">
        <f>0</f>
        <v>719</v>
      </c>
      <c r="I1244">
        <f>G1244+H1244</f>
        <v>1310591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289</v>
      </c>
      <c r="C1245" t="s">
        <v>92</v>
      </c>
      <c r="D1245" t="s">
        <v>83</v>
      </c>
      <c r="E1245" t="s">
        <v>135</v>
      </c>
      <c r="F1245">
        <v>1024</v>
      </c>
      <c r="G1245">
        <f>MAX(I1244,I1242)</f>
        <v>1310910</v>
      </c>
      <c r="H1245">
        <f>CEILING((dram_access_latency+F1245/dram_bandwidth)*frequency,1)</f>
        <v>116</v>
      </c>
      <c r="I1245">
        <f>G1245+H1245</f>
        <v>1311026</v>
      </c>
      <c r="J1245">
        <f>IF(AND(D1245&lt;&gt;"dram",D1245&lt;&gt;"control"),H1245,0)</f>
        <v>0</v>
      </c>
      <c r="K1245">
        <f>IF(D1245="dram",H1245,0)</f>
        <v>116</v>
      </c>
      <c r="L1245">
        <v>0</v>
      </c>
      <c r="M1245">
        <v>1024</v>
      </c>
    </row>
    <row r="1246" spans="1:13">
      <c r="A1246">
        <v>1244</v>
      </c>
      <c r="B1246" t="s">
        <v>283</v>
      </c>
      <c r="C1246" t="s">
        <v>82</v>
      </c>
      <c r="D1246" t="s">
        <v>83</v>
      </c>
      <c r="E1246" t="s">
        <v>136</v>
      </c>
      <c r="F1246">
        <v>12288</v>
      </c>
      <c r="G1246">
        <f>MAX(I1244,I1245)</f>
        <v>1311026</v>
      </c>
      <c r="H1246">
        <f>CEILING((dram_access_latency+F1246/dram_bandwidth)*frequency,1)</f>
        <v>292</v>
      </c>
      <c r="I1246">
        <f>G1246+H1246</f>
        <v>1311318</v>
      </c>
      <c r="J1246">
        <f>IF(AND(D1246&lt;&gt;"dram",D1246&lt;&gt;"control"),H1246,0)</f>
        <v>0</v>
      </c>
      <c r="K1246">
        <f>IF(D1246="dram",H1246,0)</f>
        <v>292</v>
      </c>
      <c r="L1246">
        <v>12288</v>
      </c>
      <c r="M1246">
        <v>0</v>
      </c>
    </row>
    <row r="1247" spans="1:13">
      <c r="A1247">
        <v>1245</v>
      </c>
      <c r="B1247" t="s">
        <v>284</v>
      </c>
      <c r="C1247" t="s">
        <v>82</v>
      </c>
      <c r="D1247" t="s">
        <v>83</v>
      </c>
      <c r="E1247" t="s">
        <v>136</v>
      </c>
      <c r="F1247">
        <v>256</v>
      </c>
      <c r="G1247">
        <f>MAX(I1244,I1246)</f>
        <v>1311318</v>
      </c>
      <c r="H1247">
        <f>CEILING((dram_access_latency+F1247/dram_bandwidth)*frequency,1)</f>
        <v>104</v>
      </c>
      <c r="I1247">
        <f>G1247+H1247</f>
        <v>1311422</v>
      </c>
      <c r="J1247">
        <f>IF(AND(D1247&lt;&gt;"dram",D1247&lt;&gt;"control"),H1247,0)</f>
        <v>0</v>
      </c>
      <c r="K1247">
        <f>IF(D1247="dram",H1247,0)</f>
        <v>104</v>
      </c>
      <c r="L1247">
        <v>256</v>
      </c>
      <c r="M1247">
        <v>0</v>
      </c>
    </row>
    <row r="1248" spans="1:13">
      <c r="A1248">
        <v>1246</v>
      </c>
      <c r="B1248" t="s">
        <v>285</v>
      </c>
      <c r="C1248" t="s">
        <v>82</v>
      </c>
      <c r="D1248" t="s">
        <v>83</v>
      </c>
      <c r="E1248" t="s">
        <v>136</v>
      </c>
      <c r="F1248">
        <v>384</v>
      </c>
      <c r="G1248">
        <f>MAX(I1244,I1247)</f>
        <v>1311422</v>
      </c>
      <c r="H1248">
        <f>CEILING((dram_access_latency+F1248/dram_bandwidth)*frequency,1)</f>
        <v>106</v>
      </c>
      <c r="I1248">
        <f>G1248+H1248</f>
        <v>1311528</v>
      </c>
      <c r="J1248">
        <f>IF(AND(D1248&lt;&gt;"dram",D1248&lt;&gt;"control"),H1248,0)</f>
        <v>0</v>
      </c>
      <c r="K1248">
        <f>IF(D1248="dram",H1248,0)</f>
        <v>106</v>
      </c>
      <c r="L1248">
        <v>384</v>
      </c>
      <c r="M1248">
        <v>0</v>
      </c>
    </row>
    <row r="1249" spans="1:13">
      <c r="A1249">
        <v>1247</v>
      </c>
      <c r="B1249" t="s">
        <v>286</v>
      </c>
      <c r="C1249" t="s">
        <v>82</v>
      </c>
      <c r="D1249" t="s">
        <v>83</v>
      </c>
      <c r="E1249" t="s">
        <v>136</v>
      </c>
      <c r="F1249">
        <v>8</v>
      </c>
      <c r="G1249">
        <f>MAX(I1244,I1248)</f>
        <v>1311528</v>
      </c>
      <c r="H1249">
        <f>CEILING((dram_access_latency+F1249/dram_bandwidth)*frequency,1)</f>
        <v>101</v>
      </c>
      <c r="I1249">
        <f>G1249+H1249</f>
        <v>1311629</v>
      </c>
      <c r="J1249">
        <f>IF(AND(D1249&lt;&gt;"dram",D1249&lt;&gt;"control"),H1249,0)</f>
        <v>0</v>
      </c>
      <c r="K1249">
        <f>IF(D1249="dram",H1249,0)</f>
        <v>101</v>
      </c>
      <c r="L1249">
        <v>8</v>
      </c>
      <c r="M1249">
        <v>0</v>
      </c>
    </row>
    <row r="1250" spans="1:13">
      <c r="A1250">
        <v>1248</v>
      </c>
      <c r="B1250" t="s">
        <v>47</v>
      </c>
      <c r="C1250" t="s">
        <v>90</v>
      </c>
      <c r="D1250" t="s">
        <v>287</v>
      </c>
      <c r="E1250" t="s">
        <v>136</v>
      </c>
      <c r="F1250">
        <v>0</v>
      </c>
      <c r="G1250">
        <f>MAX(I1243,I1246,I1247,I1248,I1249,I1245)</f>
        <v>1311629</v>
      </c>
      <c r="H1250">
        <f>'Operations'!I18</f>
        <v>400</v>
      </c>
      <c r="I1250">
        <f>G1250+H1250</f>
        <v>1312029</v>
      </c>
      <c r="J1250">
        <f>IF(AND(D1250&lt;&gt;"dram",D1250&lt;&gt;"control"),H1250,0)</f>
        <v>400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288</v>
      </c>
      <c r="C1251" t="s">
        <v>88</v>
      </c>
      <c r="D1251" t="s">
        <v>89</v>
      </c>
      <c r="E1251" t="s">
        <v>136</v>
      </c>
      <c r="F1251">
        <v>0</v>
      </c>
      <c r="G1251">
        <f>MAX(I1244,I1243)</f>
        <v>1310591</v>
      </c>
      <c r="H1251">
        <f>0</f>
        <v>719</v>
      </c>
      <c r="I1251">
        <f>G1251+H1251</f>
        <v>1311310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289</v>
      </c>
      <c r="C1252" t="s">
        <v>92</v>
      </c>
      <c r="D1252" t="s">
        <v>83</v>
      </c>
      <c r="E1252" t="s">
        <v>136</v>
      </c>
      <c r="F1252">
        <v>1024</v>
      </c>
      <c r="G1252">
        <f>MAX(I1251,I1249)</f>
        <v>1311629</v>
      </c>
      <c r="H1252">
        <f>CEILING((dram_access_latency+F1252/dram_bandwidth)*frequency,1)</f>
        <v>116</v>
      </c>
      <c r="I1252">
        <f>G1252+H1252</f>
        <v>1311745</v>
      </c>
      <c r="J1252">
        <f>IF(AND(D1252&lt;&gt;"dram",D1252&lt;&gt;"control"),H1252,0)</f>
        <v>0</v>
      </c>
      <c r="K1252">
        <f>IF(D1252="dram",H1252,0)</f>
        <v>116</v>
      </c>
      <c r="L1252">
        <v>0</v>
      </c>
      <c r="M1252">
        <v>1024</v>
      </c>
    </row>
    <row r="1253" spans="1:13">
      <c r="A1253">
        <v>1251</v>
      </c>
      <c r="B1253" t="s">
        <v>283</v>
      </c>
      <c r="C1253" t="s">
        <v>82</v>
      </c>
      <c r="D1253" t="s">
        <v>83</v>
      </c>
      <c r="E1253" t="s">
        <v>137</v>
      </c>
      <c r="F1253">
        <v>12288</v>
      </c>
      <c r="G1253">
        <f>MAX(I1251,I1252)</f>
        <v>1311745</v>
      </c>
      <c r="H1253">
        <f>CEILING((dram_access_latency+F1253/dram_bandwidth)*frequency,1)</f>
        <v>292</v>
      </c>
      <c r="I1253">
        <f>G1253+H1253</f>
        <v>1312037</v>
      </c>
      <c r="J1253">
        <f>IF(AND(D1253&lt;&gt;"dram",D1253&lt;&gt;"control"),H1253,0)</f>
        <v>0</v>
      </c>
      <c r="K1253">
        <f>IF(D1253="dram",H1253,0)</f>
        <v>292</v>
      </c>
      <c r="L1253">
        <v>12288</v>
      </c>
      <c r="M1253">
        <v>0</v>
      </c>
    </row>
    <row r="1254" spans="1:13">
      <c r="A1254">
        <v>1252</v>
      </c>
      <c r="B1254" t="s">
        <v>284</v>
      </c>
      <c r="C1254" t="s">
        <v>82</v>
      </c>
      <c r="D1254" t="s">
        <v>83</v>
      </c>
      <c r="E1254" t="s">
        <v>137</v>
      </c>
      <c r="F1254">
        <v>256</v>
      </c>
      <c r="G1254">
        <f>MAX(I1251,I1253)</f>
        <v>1312037</v>
      </c>
      <c r="H1254">
        <f>CEILING((dram_access_latency+F1254/dram_bandwidth)*frequency,1)</f>
        <v>104</v>
      </c>
      <c r="I1254">
        <f>G1254+H1254</f>
        <v>1312141</v>
      </c>
      <c r="J1254">
        <f>IF(AND(D1254&lt;&gt;"dram",D1254&lt;&gt;"control"),H1254,0)</f>
        <v>0</v>
      </c>
      <c r="K1254">
        <f>IF(D1254="dram",H1254,0)</f>
        <v>104</v>
      </c>
      <c r="L1254">
        <v>256</v>
      </c>
      <c r="M1254">
        <v>0</v>
      </c>
    </row>
    <row r="1255" spans="1:13">
      <c r="A1255">
        <v>1253</v>
      </c>
      <c r="B1255" t="s">
        <v>285</v>
      </c>
      <c r="C1255" t="s">
        <v>82</v>
      </c>
      <c r="D1255" t="s">
        <v>83</v>
      </c>
      <c r="E1255" t="s">
        <v>137</v>
      </c>
      <c r="F1255">
        <v>384</v>
      </c>
      <c r="G1255">
        <f>MAX(I1251,I1254)</f>
        <v>1312141</v>
      </c>
      <c r="H1255">
        <f>CEILING((dram_access_latency+F1255/dram_bandwidth)*frequency,1)</f>
        <v>106</v>
      </c>
      <c r="I1255">
        <f>G1255+H1255</f>
        <v>1312247</v>
      </c>
      <c r="J1255">
        <f>IF(AND(D1255&lt;&gt;"dram",D1255&lt;&gt;"control"),H1255,0)</f>
        <v>0</v>
      </c>
      <c r="K1255">
        <f>IF(D1255="dram",H1255,0)</f>
        <v>106</v>
      </c>
      <c r="L1255">
        <v>384</v>
      </c>
      <c r="M1255">
        <v>0</v>
      </c>
    </row>
    <row r="1256" spans="1:13">
      <c r="A1256">
        <v>1254</v>
      </c>
      <c r="B1256" t="s">
        <v>286</v>
      </c>
      <c r="C1256" t="s">
        <v>82</v>
      </c>
      <c r="D1256" t="s">
        <v>83</v>
      </c>
      <c r="E1256" t="s">
        <v>137</v>
      </c>
      <c r="F1256">
        <v>8</v>
      </c>
      <c r="G1256">
        <f>MAX(I1251,I1255)</f>
        <v>1312247</v>
      </c>
      <c r="H1256">
        <f>CEILING((dram_access_latency+F1256/dram_bandwidth)*frequency,1)</f>
        <v>101</v>
      </c>
      <c r="I1256">
        <f>G1256+H1256</f>
        <v>1312348</v>
      </c>
      <c r="J1256">
        <f>IF(AND(D1256&lt;&gt;"dram",D1256&lt;&gt;"control"),H1256,0)</f>
        <v>0</v>
      </c>
      <c r="K1256">
        <f>IF(D1256="dram",H1256,0)</f>
        <v>101</v>
      </c>
      <c r="L1256">
        <v>8</v>
      </c>
      <c r="M1256">
        <v>0</v>
      </c>
    </row>
    <row r="1257" spans="1:13">
      <c r="A1257">
        <v>1255</v>
      </c>
      <c r="B1257" t="s">
        <v>47</v>
      </c>
      <c r="C1257" t="s">
        <v>90</v>
      </c>
      <c r="D1257" t="s">
        <v>287</v>
      </c>
      <c r="E1257" t="s">
        <v>137</v>
      </c>
      <c r="F1257">
        <v>0</v>
      </c>
      <c r="G1257">
        <f>MAX(I1250,I1253,I1254,I1255,I1256,I1252)</f>
        <v>1312348</v>
      </c>
      <c r="H1257">
        <f>'Operations'!I18</f>
        <v>400</v>
      </c>
      <c r="I1257">
        <f>G1257+H1257</f>
        <v>1312748</v>
      </c>
      <c r="J1257">
        <f>IF(AND(D1257&lt;&gt;"dram",D1257&lt;&gt;"control"),H1257,0)</f>
        <v>400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288</v>
      </c>
      <c r="C1258" t="s">
        <v>88</v>
      </c>
      <c r="D1258" t="s">
        <v>89</v>
      </c>
      <c r="E1258" t="s">
        <v>137</v>
      </c>
      <c r="F1258">
        <v>0</v>
      </c>
      <c r="G1258">
        <f>MAX(I1251,I1250)</f>
        <v>1311310</v>
      </c>
      <c r="H1258">
        <f>0</f>
        <v>719</v>
      </c>
      <c r="I1258">
        <f>G1258+H1258</f>
        <v>1312029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289</v>
      </c>
      <c r="C1259" t="s">
        <v>92</v>
      </c>
      <c r="D1259" t="s">
        <v>83</v>
      </c>
      <c r="E1259" t="s">
        <v>137</v>
      </c>
      <c r="F1259">
        <v>1024</v>
      </c>
      <c r="G1259">
        <f>MAX(I1258,I1256)</f>
        <v>1312348</v>
      </c>
      <c r="H1259">
        <f>CEILING((dram_access_latency+F1259/dram_bandwidth)*frequency,1)</f>
        <v>116</v>
      </c>
      <c r="I1259">
        <f>G1259+H1259</f>
        <v>1312464</v>
      </c>
      <c r="J1259">
        <f>IF(AND(D1259&lt;&gt;"dram",D1259&lt;&gt;"control"),H1259,0)</f>
        <v>0</v>
      </c>
      <c r="K1259">
        <f>IF(D1259="dram",H1259,0)</f>
        <v>116</v>
      </c>
      <c r="L1259">
        <v>0</v>
      </c>
      <c r="M1259">
        <v>1024</v>
      </c>
    </row>
    <row r="1260" spans="1:13">
      <c r="A1260">
        <v>1258</v>
      </c>
      <c r="B1260" t="s">
        <v>283</v>
      </c>
      <c r="C1260" t="s">
        <v>82</v>
      </c>
      <c r="D1260" t="s">
        <v>83</v>
      </c>
      <c r="E1260" t="s">
        <v>138</v>
      </c>
      <c r="F1260">
        <v>12288</v>
      </c>
      <c r="G1260">
        <f>MAX(I1258,I1259)</f>
        <v>1312464</v>
      </c>
      <c r="H1260">
        <f>CEILING((dram_access_latency+F1260/dram_bandwidth)*frequency,1)</f>
        <v>292</v>
      </c>
      <c r="I1260">
        <f>G1260+H1260</f>
        <v>1312756</v>
      </c>
      <c r="J1260">
        <f>IF(AND(D1260&lt;&gt;"dram",D1260&lt;&gt;"control"),H1260,0)</f>
        <v>0</v>
      </c>
      <c r="K1260">
        <f>IF(D1260="dram",H1260,0)</f>
        <v>292</v>
      </c>
      <c r="L1260">
        <v>12288</v>
      </c>
      <c r="M1260">
        <v>0</v>
      </c>
    </row>
    <row r="1261" spans="1:13">
      <c r="A1261">
        <v>1259</v>
      </c>
      <c r="B1261" t="s">
        <v>284</v>
      </c>
      <c r="C1261" t="s">
        <v>82</v>
      </c>
      <c r="D1261" t="s">
        <v>83</v>
      </c>
      <c r="E1261" t="s">
        <v>138</v>
      </c>
      <c r="F1261">
        <v>256</v>
      </c>
      <c r="G1261">
        <f>MAX(I1258,I1260)</f>
        <v>1312756</v>
      </c>
      <c r="H1261">
        <f>CEILING((dram_access_latency+F1261/dram_bandwidth)*frequency,1)</f>
        <v>104</v>
      </c>
      <c r="I1261">
        <f>G1261+H1261</f>
        <v>1312860</v>
      </c>
      <c r="J1261">
        <f>IF(AND(D1261&lt;&gt;"dram",D1261&lt;&gt;"control"),H1261,0)</f>
        <v>0</v>
      </c>
      <c r="K1261">
        <f>IF(D1261="dram",H1261,0)</f>
        <v>104</v>
      </c>
      <c r="L1261">
        <v>256</v>
      </c>
      <c r="M1261">
        <v>0</v>
      </c>
    </row>
    <row r="1262" spans="1:13">
      <c r="A1262">
        <v>1260</v>
      </c>
      <c r="B1262" t="s">
        <v>285</v>
      </c>
      <c r="C1262" t="s">
        <v>82</v>
      </c>
      <c r="D1262" t="s">
        <v>83</v>
      </c>
      <c r="E1262" t="s">
        <v>138</v>
      </c>
      <c r="F1262">
        <v>384</v>
      </c>
      <c r="G1262">
        <f>MAX(I1258,I1261)</f>
        <v>1312860</v>
      </c>
      <c r="H1262">
        <f>CEILING((dram_access_latency+F1262/dram_bandwidth)*frequency,1)</f>
        <v>106</v>
      </c>
      <c r="I1262">
        <f>G1262+H1262</f>
        <v>1312966</v>
      </c>
      <c r="J1262">
        <f>IF(AND(D1262&lt;&gt;"dram",D1262&lt;&gt;"control"),H1262,0)</f>
        <v>0</v>
      </c>
      <c r="K1262">
        <f>IF(D1262="dram",H1262,0)</f>
        <v>106</v>
      </c>
      <c r="L1262">
        <v>384</v>
      </c>
      <c r="M1262">
        <v>0</v>
      </c>
    </row>
    <row r="1263" spans="1:13">
      <c r="A1263">
        <v>1261</v>
      </c>
      <c r="B1263" t="s">
        <v>286</v>
      </c>
      <c r="C1263" t="s">
        <v>82</v>
      </c>
      <c r="D1263" t="s">
        <v>83</v>
      </c>
      <c r="E1263" t="s">
        <v>138</v>
      </c>
      <c r="F1263">
        <v>8</v>
      </c>
      <c r="G1263">
        <f>MAX(I1258,I1262)</f>
        <v>1312966</v>
      </c>
      <c r="H1263">
        <f>CEILING((dram_access_latency+F1263/dram_bandwidth)*frequency,1)</f>
        <v>101</v>
      </c>
      <c r="I1263">
        <f>G1263+H1263</f>
        <v>1313067</v>
      </c>
      <c r="J1263">
        <f>IF(AND(D1263&lt;&gt;"dram",D1263&lt;&gt;"control"),H1263,0)</f>
        <v>0</v>
      </c>
      <c r="K1263">
        <f>IF(D1263="dram",H1263,0)</f>
        <v>101</v>
      </c>
      <c r="L1263">
        <v>8</v>
      </c>
      <c r="M1263">
        <v>0</v>
      </c>
    </row>
    <row r="1264" spans="1:13">
      <c r="A1264">
        <v>1262</v>
      </c>
      <c r="B1264" t="s">
        <v>47</v>
      </c>
      <c r="C1264" t="s">
        <v>90</v>
      </c>
      <c r="D1264" t="s">
        <v>287</v>
      </c>
      <c r="E1264" t="s">
        <v>138</v>
      </c>
      <c r="F1264">
        <v>0</v>
      </c>
      <c r="G1264">
        <f>MAX(I1257,I1260,I1261,I1262,I1263,I1259)</f>
        <v>1313067</v>
      </c>
      <c r="H1264">
        <f>'Operations'!I18</f>
        <v>400</v>
      </c>
      <c r="I1264">
        <f>G1264+H1264</f>
        <v>1313467</v>
      </c>
      <c r="J1264">
        <f>IF(AND(D1264&lt;&gt;"dram",D1264&lt;&gt;"control"),H1264,0)</f>
        <v>400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288</v>
      </c>
      <c r="C1265" t="s">
        <v>88</v>
      </c>
      <c r="D1265" t="s">
        <v>89</v>
      </c>
      <c r="E1265" t="s">
        <v>138</v>
      </c>
      <c r="F1265">
        <v>0</v>
      </c>
      <c r="G1265">
        <f>MAX(I1258,I1257)</f>
        <v>1312029</v>
      </c>
      <c r="H1265">
        <f>0</f>
        <v>719</v>
      </c>
      <c r="I1265">
        <f>G1265+H1265</f>
        <v>1312748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289</v>
      </c>
      <c r="C1266" t="s">
        <v>92</v>
      </c>
      <c r="D1266" t="s">
        <v>83</v>
      </c>
      <c r="E1266" t="s">
        <v>138</v>
      </c>
      <c r="F1266">
        <v>1024</v>
      </c>
      <c r="G1266">
        <f>MAX(I1265,I1263)</f>
        <v>1313067</v>
      </c>
      <c r="H1266">
        <f>CEILING((dram_access_latency+F1266/dram_bandwidth)*frequency,1)</f>
        <v>116</v>
      </c>
      <c r="I1266">
        <f>G1266+H1266</f>
        <v>1313183</v>
      </c>
      <c r="J1266">
        <f>IF(AND(D1266&lt;&gt;"dram",D1266&lt;&gt;"control"),H1266,0)</f>
        <v>0</v>
      </c>
      <c r="K1266">
        <f>IF(D1266="dram",H1266,0)</f>
        <v>116</v>
      </c>
      <c r="L1266">
        <v>0</v>
      </c>
      <c r="M1266">
        <v>1024</v>
      </c>
    </row>
    <row r="1267" spans="1:13">
      <c r="A1267">
        <v>1265</v>
      </c>
      <c r="B1267" t="s">
        <v>283</v>
      </c>
      <c r="C1267" t="s">
        <v>82</v>
      </c>
      <c r="D1267" t="s">
        <v>83</v>
      </c>
      <c r="E1267" t="s">
        <v>139</v>
      </c>
      <c r="F1267">
        <v>12288</v>
      </c>
      <c r="G1267">
        <f>MAX(I1265,I1266)</f>
        <v>1313183</v>
      </c>
      <c r="H1267">
        <f>CEILING((dram_access_latency+F1267/dram_bandwidth)*frequency,1)</f>
        <v>292</v>
      </c>
      <c r="I1267">
        <f>G1267+H1267</f>
        <v>1313475</v>
      </c>
      <c r="J1267">
        <f>IF(AND(D1267&lt;&gt;"dram",D1267&lt;&gt;"control"),H1267,0)</f>
        <v>0</v>
      </c>
      <c r="K1267">
        <f>IF(D1267="dram",H1267,0)</f>
        <v>292</v>
      </c>
      <c r="L1267">
        <v>12288</v>
      </c>
      <c r="M1267">
        <v>0</v>
      </c>
    </row>
    <row r="1268" spans="1:13">
      <c r="A1268">
        <v>1266</v>
      </c>
      <c r="B1268" t="s">
        <v>284</v>
      </c>
      <c r="C1268" t="s">
        <v>82</v>
      </c>
      <c r="D1268" t="s">
        <v>83</v>
      </c>
      <c r="E1268" t="s">
        <v>139</v>
      </c>
      <c r="F1268">
        <v>256</v>
      </c>
      <c r="G1268">
        <f>MAX(I1265,I1267)</f>
        <v>1313475</v>
      </c>
      <c r="H1268">
        <f>CEILING((dram_access_latency+F1268/dram_bandwidth)*frequency,1)</f>
        <v>104</v>
      </c>
      <c r="I1268">
        <f>G1268+H1268</f>
        <v>1313579</v>
      </c>
      <c r="J1268">
        <f>IF(AND(D1268&lt;&gt;"dram",D1268&lt;&gt;"control"),H1268,0)</f>
        <v>0</v>
      </c>
      <c r="K1268">
        <f>IF(D1268="dram",H1268,0)</f>
        <v>104</v>
      </c>
      <c r="L1268">
        <v>256</v>
      </c>
      <c r="M1268">
        <v>0</v>
      </c>
    </row>
    <row r="1269" spans="1:13">
      <c r="A1269">
        <v>1267</v>
      </c>
      <c r="B1269" t="s">
        <v>285</v>
      </c>
      <c r="C1269" t="s">
        <v>82</v>
      </c>
      <c r="D1269" t="s">
        <v>83</v>
      </c>
      <c r="E1269" t="s">
        <v>139</v>
      </c>
      <c r="F1269">
        <v>384</v>
      </c>
      <c r="G1269">
        <f>MAX(I1265,I1268)</f>
        <v>1313579</v>
      </c>
      <c r="H1269">
        <f>CEILING((dram_access_latency+F1269/dram_bandwidth)*frequency,1)</f>
        <v>106</v>
      </c>
      <c r="I1269">
        <f>G1269+H1269</f>
        <v>1313685</v>
      </c>
      <c r="J1269">
        <f>IF(AND(D1269&lt;&gt;"dram",D1269&lt;&gt;"control"),H1269,0)</f>
        <v>0</v>
      </c>
      <c r="K1269">
        <f>IF(D1269="dram",H1269,0)</f>
        <v>106</v>
      </c>
      <c r="L1269">
        <v>384</v>
      </c>
      <c r="M1269">
        <v>0</v>
      </c>
    </row>
    <row r="1270" spans="1:13">
      <c r="A1270">
        <v>1268</v>
      </c>
      <c r="B1270" t="s">
        <v>286</v>
      </c>
      <c r="C1270" t="s">
        <v>82</v>
      </c>
      <c r="D1270" t="s">
        <v>83</v>
      </c>
      <c r="E1270" t="s">
        <v>139</v>
      </c>
      <c r="F1270">
        <v>8</v>
      </c>
      <c r="G1270">
        <f>MAX(I1265,I1269)</f>
        <v>1313685</v>
      </c>
      <c r="H1270">
        <f>CEILING((dram_access_latency+F1270/dram_bandwidth)*frequency,1)</f>
        <v>101</v>
      </c>
      <c r="I1270">
        <f>G1270+H1270</f>
        <v>1313786</v>
      </c>
      <c r="J1270">
        <f>IF(AND(D1270&lt;&gt;"dram",D1270&lt;&gt;"control"),H1270,0)</f>
        <v>0</v>
      </c>
      <c r="K1270">
        <f>IF(D1270="dram",H1270,0)</f>
        <v>101</v>
      </c>
      <c r="L1270">
        <v>8</v>
      </c>
      <c r="M1270">
        <v>0</v>
      </c>
    </row>
    <row r="1271" spans="1:13">
      <c r="A1271">
        <v>1269</v>
      </c>
      <c r="B1271" t="s">
        <v>47</v>
      </c>
      <c r="C1271" t="s">
        <v>90</v>
      </c>
      <c r="D1271" t="s">
        <v>287</v>
      </c>
      <c r="E1271" t="s">
        <v>139</v>
      </c>
      <c r="F1271">
        <v>0</v>
      </c>
      <c r="G1271">
        <f>MAX(I1264,I1267,I1268,I1269,I1270,I1266)</f>
        <v>1313786</v>
      </c>
      <c r="H1271">
        <f>'Operations'!I18</f>
        <v>400</v>
      </c>
      <c r="I1271">
        <f>G1271+H1271</f>
        <v>1314186</v>
      </c>
      <c r="J1271">
        <f>IF(AND(D1271&lt;&gt;"dram",D1271&lt;&gt;"control"),H1271,0)</f>
        <v>400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288</v>
      </c>
      <c r="C1272" t="s">
        <v>88</v>
      </c>
      <c r="D1272" t="s">
        <v>89</v>
      </c>
      <c r="E1272" t="s">
        <v>139</v>
      </c>
      <c r="F1272">
        <v>0</v>
      </c>
      <c r="G1272">
        <f>MAX(I1265,I1264)</f>
        <v>1312748</v>
      </c>
      <c r="H1272">
        <f>0</f>
        <v>719</v>
      </c>
      <c r="I1272">
        <f>G1272+H1272</f>
        <v>1313467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289</v>
      </c>
      <c r="C1273" t="s">
        <v>92</v>
      </c>
      <c r="D1273" t="s">
        <v>83</v>
      </c>
      <c r="E1273" t="s">
        <v>139</v>
      </c>
      <c r="F1273">
        <v>1024</v>
      </c>
      <c r="G1273">
        <f>MAX(I1272,I1270)</f>
        <v>1313786</v>
      </c>
      <c r="H1273">
        <f>CEILING((dram_access_latency+F1273/dram_bandwidth)*frequency,1)</f>
        <v>116</v>
      </c>
      <c r="I1273">
        <f>G1273+H1273</f>
        <v>1313902</v>
      </c>
      <c r="J1273">
        <f>IF(AND(D1273&lt;&gt;"dram",D1273&lt;&gt;"control"),H1273,0)</f>
        <v>0</v>
      </c>
      <c r="K1273">
        <f>IF(D1273="dram",H1273,0)</f>
        <v>116</v>
      </c>
      <c r="L1273">
        <v>0</v>
      </c>
      <c r="M1273">
        <v>1024</v>
      </c>
    </row>
    <row r="1274" spans="1:13">
      <c r="A1274">
        <v>1272</v>
      </c>
      <c r="B1274" t="s">
        <v>283</v>
      </c>
      <c r="C1274" t="s">
        <v>82</v>
      </c>
      <c r="D1274" t="s">
        <v>83</v>
      </c>
      <c r="E1274" t="s">
        <v>140</v>
      </c>
      <c r="F1274">
        <v>12288</v>
      </c>
      <c r="G1274">
        <f>MAX(I1272,I1273)</f>
        <v>1313902</v>
      </c>
      <c r="H1274">
        <f>CEILING((dram_access_latency+F1274/dram_bandwidth)*frequency,1)</f>
        <v>292</v>
      </c>
      <c r="I1274">
        <f>G1274+H1274</f>
        <v>1314194</v>
      </c>
      <c r="J1274">
        <f>IF(AND(D1274&lt;&gt;"dram",D1274&lt;&gt;"control"),H1274,0)</f>
        <v>0</v>
      </c>
      <c r="K1274">
        <f>IF(D1274="dram",H1274,0)</f>
        <v>292</v>
      </c>
      <c r="L1274">
        <v>12288</v>
      </c>
      <c r="M1274">
        <v>0</v>
      </c>
    </row>
    <row r="1275" spans="1:13">
      <c r="A1275">
        <v>1273</v>
      </c>
      <c r="B1275" t="s">
        <v>284</v>
      </c>
      <c r="C1275" t="s">
        <v>82</v>
      </c>
      <c r="D1275" t="s">
        <v>83</v>
      </c>
      <c r="E1275" t="s">
        <v>140</v>
      </c>
      <c r="F1275">
        <v>256</v>
      </c>
      <c r="G1275">
        <f>MAX(I1272,I1274)</f>
        <v>1314194</v>
      </c>
      <c r="H1275">
        <f>CEILING((dram_access_latency+F1275/dram_bandwidth)*frequency,1)</f>
        <v>104</v>
      </c>
      <c r="I1275">
        <f>G1275+H1275</f>
        <v>1314298</v>
      </c>
      <c r="J1275">
        <f>IF(AND(D1275&lt;&gt;"dram",D1275&lt;&gt;"control"),H1275,0)</f>
        <v>0</v>
      </c>
      <c r="K1275">
        <f>IF(D1275="dram",H1275,0)</f>
        <v>104</v>
      </c>
      <c r="L1275">
        <v>256</v>
      </c>
      <c r="M1275">
        <v>0</v>
      </c>
    </row>
    <row r="1276" spans="1:13">
      <c r="A1276">
        <v>1274</v>
      </c>
      <c r="B1276" t="s">
        <v>285</v>
      </c>
      <c r="C1276" t="s">
        <v>82</v>
      </c>
      <c r="D1276" t="s">
        <v>83</v>
      </c>
      <c r="E1276" t="s">
        <v>140</v>
      </c>
      <c r="F1276">
        <v>384</v>
      </c>
      <c r="G1276">
        <f>MAX(I1272,I1275)</f>
        <v>1314298</v>
      </c>
      <c r="H1276">
        <f>CEILING((dram_access_latency+F1276/dram_bandwidth)*frequency,1)</f>
        <v>106</v>
      </c>
      <c r="I1276">
        <f>G1276+H1276</f>
        <v>1314404</v>
      </c>
      <c r="J1276">
        <f>IF(AND(D1276&lt;&gt;"dram",D1276&lt;&gt;"control"),H1276,0)</f>
        <v>0</v>
      </c>
      <c r="K1276">
        <f>IF(D1276="dram",H1276,0)</f>
        <v>106</v>
      </c>
      <c r="L1276">
        <v>384</v>
      </c>
      <c r="M1276">
        <v>0</v>
      </c>
    </row>
    <row r="1277" spans="1:13">
      <c r="A1277">
        <v>1275</v>
      </c>
      <c r="B1277" t="s">
        <v>286</v>
      </c>
      <c r="C1277" t="s">
        <v>82</v>
      </c>
      <c r="D1277" t="s">
        <v>83</v>
      </c>
      <c r="E1277" t="s">
        <v>140</v>
      </c>
      <c r="F1277">
        <v>8</v>
      </c>
      <c r="G1277">
        <f>MAX(I1272,I1276)</f>
        <v>1314404</v>
      </c>
      <c r="H1277">
        <f>CEILING((dram_access_latency+F1277/dram_bandwidth)*frequency,1)</f>
        <v>101</v>
      </c>
      <c r="I1277">
        <f>G1277+H1277</f>
        <v>1314505</v>
      </c>
      <c r="J1277">
        <f>IF(AND(D1277&lt;&gt;"dram",D1277&lt;&gt;"control"),H1277,0)</f>
        <v>0</v>
      </c>
      <c r="K1277">
        <f>IF(D1277="dram",H1277,0)</f>
        <v>101</v>
      </c>
      <c r="L1277">
        <v>8</v>
      </c>
      <c r="M1277">
        <v>0</v>
      </c>
    </row>
    <row r="1278" spans="1:13">
      <c r="A1278">
        <v>1276</v>
      </c>
      <c r="B1278" t="s">
        <v>47</v>
      </c>
      <c r="C1278" t="s">
        <v>90</v>
      </c>
      <c r="D1278" t="s">
        <v>287</v>
      </c>
      <c r="E1278" t="s">
        <v>140</v>
      </c>
      <c r="F1278">
        <v>0</v>
      </c>
      <c r="G1278">
        <f>MAX(I1271,I1274,I1275,I1276,I1277,I1273)</f>
        <v>1314505</v>
      </c>
      <c r="H1278">
        <f>'Operations'!I18</f>
        <v>400</v>
      </c>
      <c r="I1278">
        <f>G1278+H1278</f>
        <v>1314905</v>
      </c>
      <c r="J1278">
        <f>IF(AND(D1278&lt;&gt;"dram",D1278&lt;&gt;"control"),H1278,0)</f>
        <v>400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288</v>
      </c>
      <c r="C1279" t="s">
        <v>88</v>
      </c>
      <c r="D1279" t="s">
        <v>89</v>
      </c>
      <c r="E1279" t="s">
        <v>140</v>
      </c>
      <c r="F1279">
        <v>0</v>
      </c>
      <c r="G1279">
        <f>MAX(I1272,I1271)</f>
        <v>1313467</v>
      </c>
      <c r="H1279">
        <f>0</f>
        <v>719</v>
      </c>
      <c r="I1279">
        <f>G1279+H1279</f>
        <v>1314186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289</v>
      </c>
      <c r="C1280" t="s">
        <v>92</v>
      </c>
      <c r="D1280" t="s">
        <v>83</v>
      </c>
      <c r="E1280" t="s">
        <v>140</v>
      </c>
      <c r="F1280">
        <v>1024</v>
      </c>
      <c r="G1280">
        <f>MAX(I1279,I1277)</f>
        <v>1314505</v>
      </c>
      <c r="H1280">
        <f>CEILING((dram_access_latency+F1280/dram_bandwidth)*frequency,1)</f>
        <v>116</v>
      </c>
      <c r="I1280">
        <f>G1280+H1280</f>
        <v>1314621</v>
      </c>
      <c r="J1280">
        <f>IF(AND(D1280&lt;&gt;"dram",D1280&lt;&gt;"control"),H1280,0)</f>
        <v>0</v>
      </c>
      <c r="K1280">
        <f>IF(D1280="dram",H1280,0)</f>
        <v>116</v>
      </c>
      <c r="L1280">
        <v>0</v>
      </c>
      <c r="M1280">
        <v>1024</v>
      </c>
    </row>
    <row r="1281" spans="1:13">
      <c r="A1281">
        <v>1279</v>
      </c>
      <c r="B1281" t="s">
        <v>290</v>
      </c>
      <c r="C1281" t="s">
        <v>88</v>
      </c>
      <c r="D1281" t="s">
        <v>89</v>
      </c>
      <c r="E1281" t="s">
        <v>84</v>
      </c>
      <c r="F1281">
        <v>0</v>
      </c>
      <c r="G1281">
        <f>MAX(I1279,I1278)</f>
        <v>1314186</v>
      </c>
      <c r="H1281">
        <f>0</f>
        <v>719</v>
      </c>
      <c r="I1281">
        <f>G1281+H1281</f>
        <v>1314905</v>
      </c>
      <c r="J1281">
        <f>IF(AND(D1281&lt;&gt;"dram",D1281&lt;&gt;"control"),H1281,0)</f>
        <v>0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291</v>
      </c>
      <c r="C1282" t="s">
        <v>92</v>
      </c>
      <c r="D1282" t="s">
        <v>83</v>
      </c>
      <c r="E1282" t="s">
        <v>84</v>
      </c>
      <c r="F1282">
        <v>1024</v>
      </c>
      <c r="G1282">
        <f>MAX(I1281,I1280)</f>
        <v>1314905</v>
      </c>
      <c r="H1282">
        <f>CEILING((dram_access_latency+F1282/dram_bandwidth)*frequency,1)</f>
        <v>116</v>
      </c>
      <c r="I1282">
        <f>G1282+H1282</f>
        <v>1315021</v>
      </c>
      <c r="J1282">
        <f>IF(AND(D1282&lt;&gt;"dram",D1282&lt;&gt;"control"),H1282,0)</f>
        <v>0</v>
      </c>
      <c r="K1282">
        <f>IF(D1282="dram",H1282,0)</f>
        <v>116</v>
      </c>
      <c r="L1282">
        <v>0</v>
      </c>
      <c r="M1282">
        <v>1024</v>
      </c>
    </row>
    <row r="1283" spans="1:13">
      <c r="A1283">
        <v>1281</v>
      </c>
      <c r="B1283" t="s">
        <v>292</v>
      </c>
      <c r="C1283" t="s">
        <v>88</v>
      </c>
      <c r="D1283" t="s">
        <v>89</v>
      </c>
      <c r="E1283" t="s">
        <v>84</v>
      </c>
      <c r="F1283">
        <v>0</v>
      </c>
      <c r="G1283">
        <f>MAX(I1281,I1280)</f>
        <v>1314905</v>
      </c>
      <c r="H1283">
        <f>0</f>
        <v>0</v>
      </c>
      <c r="I1283">
        <f>G1283+H1283</f>
        <v>1314905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293</v>
      </c>
      <c r="C1284" t="s">
        <v>88</v>
      </c>
      <c r="D1284" t="s">
        <v>89</v>
      </c>
      <c r="E1284" t="s">
        <v>84</v>
      </c>
      <c r="F1284">
        <v>0</v>
      </c>
      <c r="G1284">
        <f>MAX(I1283,I1282)</f>
        <v>1314905</v>
      </c>
      <c r="H1284">
        <f>0</f>
        <v>116</v>
      </c>
      <c r="I1284">
        <f>G1284+H1284</f>
        <v>1315021</v>
      </c>
      <c r="J1284">
        <f>IF(AND(D1284&lt;&gt;"dram",D1284&lt;&gt;"control"),H1284,0)</f>
        <v>0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294</v>
      </c>
      <c r="C1285" t="s">
        <v>82</v>
      </c>
      <c r="D1285" t="s">
        <v>83</v>
      </c>
      <c r="E1285" t="s">
        <v>86</v>
      </c>
      <c r="F1285">
        <v>49152</v>
      </c>
      <c r="G1285">
        <f>MAX(I1284,I1282)</f>
        <v>1315021</v>
      </c>
      <c r="H1285">
        <f>CEILING((dram_access_latency+F1285/dram_bandwidth)*frequency,1)</f>
        <v>868</v>
      </c>
      <c r="I1285">
        <f>G1285+H1285</f>
        <v>1315889</v>
      </c>
      <c r="J1285">
        <f>IF(AND(D1285&lt;&gt;"dram",D1285&lt;&gt;"control"),H1285,0)</f>
        <v>0</v>
      </c>
      <c r="K1285">
        <f>IF(D1285="dram",H1285,0)</f>
        <v>868</v>
      </c>
      <c r="L1285">
        <v>49152</v>
      </c>
      <c r="M1285">
        <v>0</v>
      </c>
    </row>
    <row r="1286" spans="1:13">
      <c r="A1286">
        <v>1284</v>
      </c>
      <c r="B1286" t="s">
        <v>295</v>
      </c>
      <c r="C1286" t="s">
        <v>82</v>
      </c>
      <c r="D1286" t="s">
        <v>83</v>
      </c>
      <c r="E1286" t="s">
        <v>86</v>
      </c>
      <c r="F1286">
        <v>1024</v>
      </c>
      <c r="G1286">
        <f>MAX(I1284,I1285)</f>
        <v>1315889</v>
      </c>
      <c r="H1286">
        <f>CEILING((dram_access_latency+F1286/dram_bandwidth)*frequency,1)</f>
        <v>116</v>
      </c>
      <c r="I1286">
        <f>G1286+H1286</f>
        <v>1316005</v>
      </c>
      <c r="J1286">
        <f>IF(AND(D1286&lt;&gt;"dram",D1286&lt;&gt;"control"),H1286,0)</f>
        <v>0</v>
      </c>
      <c r="K1286">
        <f>IF(D1286="dram",H1286,0)</f>
        <v>116</v>
      </c>
      <c r="L1286">
        <v>1024</v>
      </c>
      <c r="M1286">
        <v>0</v>
      </c>
    </row>
    <row r="1287" spans="1:13">
      <c r="A1287">
        <v>1285</v>
      </c>
      <c r="B1287" t="s">
        <v>296</v>
      </c>
      <c r="C1287" t="s">
        <v>82</v>
      </c>
      <c r="D1287" t="s">
        <v>83</v>
      </c>
      <c r="E1287" t="s">
        <v>86</v>
      </c>
      <c r="F1287">
        <v>1536</v>
      </c>
      <c r="G1287">
        <f>MAX(I1284,I1286)</f>
        <v>1316005</v>
      </c>
      <c r="H1287">
        <f>CEILING((dram_access_latency+F1287/dram_bandwidth)*frequency,1)</f>
        <v>124</v>
      </c>
      <c r="I1287">
        <f>G1287+H1287</f>
        <v>1316129</v>
      </c>
      <c r="J1287">
        <f>IF(AND(D1287&lt;&gt;"dram",D1287&lt;&gt;"control"),H1287,0)</f>
        <v>0</v>
      </c>
      <c r="K1287">
        <f>IF(D1287="dram",H1287,0)</f>
        <v>124</v>
      </c>
      <c r="L1287">
        <v>1536</v>
      </c>
      <c r="M1287">
        <v>0</v>
      </c>
    </row>
    <row r="1288" spans="1:13">
      <c r="A1288">
        <v>1286</v>
      </c>
      <c r="B1288" t="s">
        <v>297</v>
      </c>
      <c r="C1288" t="s">
        <v>82</v>
      </c>
      <c r="D1288" t="s">
        <v>83</v>
      </c>
      <c r="E1288" t="s">
        <v>86</v>
      </c>
      <c r="F1288">
        <v>32</v>
      </c>
      <c r="G1288">
        <f>MAX(I1284,I1287)</f>
        <v>1316129</v>
      </c>
      <c r="H1288">
        <f>CEILING((dram_access_latency+F1288/dram_bandwidth)*frequency,1)</f>
        <v>101</v>
      </c>
      <c r="I1288">
        <f>G1288+H1288</f>
        <v>1316230</v>
      </c>
      <c r="J1288">
        <f>IF(AND(D1288&lt;&gt;"dram",D1288&lt;&gt;"control"),H1288,0)</f>
        <v>0</v>
      </c>
      <c r="K1288">
        <f>IF(D1288="dram",H1288,0)</f>
        <v>101</v>
      </c>
      <c r="L1288">
        <v>32</v>
      </c>
      <c r="M1288">
        <v>0</v>
      </c>
    </row>
    <row r="1289" spans="1:13">
      <c r="A1289">
        <v>1287</v>
      </c>
      <c r="B1289" t="s">
        <v>298</v>
      </c>
      <c r="C1289" t="s">
        <v>82</v>
      </c>
      <c r="D1289" t="s">
        <v>83</v>
      </c>
      <c r="E1289" t="s">
        <v>86</v>
      </c>
      <c r="F1289">
        <v>1024</v>
      </c>
      <c r="G1289">
        <f>MAX(I1284,I1288)</f>
        <v>1316230</v>
      </c>
      <c r="H1289">
        <f>CEILING((dram_access_latency+F1289/dram_bandwidth)*frequency,1)</f>
        <v>116</v>
      </c>
      <c r="I1289">
        <f>G1289+H1289</f>
        <v>1316346</v>
      </c>
      <c r="J1289">
        <f>IF(AND(D1289&lt;&gt;"dram",D1289&lt;&gt;"control"),H1289,0)</f>
        <v>0</v>
      </c>
      <c r="K1289">
        <f>IF(D1289="dram",H1289,0)</f>
        <v>116</v>
      </c>
      <c r="L1289">
        <v>1024</v>
      </c>
      <c r="M1289">
        <v>0</v>
      </c>
    </row>
    <row r="1290" spans="1:13">
      <c r="A1290">
        <v>1288</v>
      </c>
      <c r="B1290" t="s">
        <v>49</v>
      </c>
      <c r="C1290" t="s">
        <v>90</v>
      </c>
      <c r="D1290" t="s">
        <v>108</v>
      </c>
      <c r="E1290" t="s">
        <v>86</v>
      </c>
      <c r="F1290">
        <v>0</v>
      </c>
      <c r="G1290">
        <f>MAX(I1278,I1036,I1285,I1286,I1287,I1288,I1289)</f>
        <v>1316346</v>
      </c>
      <c r="H1290">
        <f>'Operations'!I19</f>
        <v>1198</v>
      </c>
      <c r="I1290">
        <f>G1290+H1290</f>
        <v>1317544</v>
      </c>
      <c r="J1290">
        <f>IF(AND(D1290&lt;&gt;"dram",D1290&lt;&gt;"control"),H1290,0)</f>
        <v>1198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294</v>
      </c>
      <c r="C1291" t="s">
        <v>82</v>
      </c>
      <c r="D1291" t="s">
        <v>83</v>
      </c>
      <c r="E1291" t="s">
        <v>93</v>
      </c>
      <c r="F1291">
        <v>49152</v>
      </c>
      <c r="G1291">
        <f>MAX(I1284,I1289)</f>
        <v>1316346</v>
      </c>
      <c r="H1291">
        <f>CEILING((dram_access_latency+F1291/dram_bandwidth)*frequency,1)</f>
        <v>868</v>
      </c>
      <c r="I1291">
        <f>G1291+H1291</f>
        <v>1317214</v>
      </c>
      <c r="J1291">
        <f>IF(AND(D1291&lt;&gt;"dram",D1291&lt;&gt;"control"),H1291,0)</f>
        <v>0</v>
      </c>
      <c r="K1291">
        <f>IF(D1291="dram",H1291,0)</f>
        <v>868</v>
      </c>
      <c r="L1291">
        <v>49152</v>
      </c>
      <c r="M1291">
        <v>0</v>
      </c>
    </row>
    <row r="1292" spans="1:13">
      <c r="A1292">
        <v>1290</v>
      </c>
      <c r="B1292" t="s">
        <v>295</v>
      </c>
      <c r="C1292" t="s">
        <v>82</v>
      </c>
      <c r="D1292" t="s">
        <v>83</v>
      </c>
      <c r="E1292" t="s">
        <v>93</v>
      </c>
      <c r="F1292">
        <v>1024</v>
      </c>
      <c r="G1292">
        <f>MAX(I1284,I1291)</f>
        <v>1317214</v>
      </c>
      <c r="H1292">
        <f>CEILING((dram_access_latency+F1292/dram_bandwidth)*frequency,1)</f>
        <v>116</v>
      </c>
      <c r="I1292">
        <f>G1292+H1292</f>
        <v>1317330</v>
      </c>
      <c r="J1292">
        <f>IF(AND(D1292&lt;&gt;"dram",D1292&lt;&gt;"control"),H1292,0)</f>
        <v>0</v>
      </c>
      <c r="K1292">
        <f>IF(D1292="dram",H1292,0)</f>
        <v>116</v>
      </c>
      <c r="L1292">
        <v>1024</v>
      </c>
      <c r="M1292">
        <v>0</v>
      </c>
    </row>
    <row r="1293" spans="1:13">
      <c r="A1293">
        <v>1291</v>
      </c>
      <c r="B1293" t="s">
        <v>296</v>
      </c>
      <c r="C1293" t="s">
        <v>82</v>
      </c>
      <c r="D1293" t="s">
        <v>83</v>
      </c>
      <c r="E1293" t="s">
        <v>93</v>
      </c>
      <c r="F1293">
        <v>1536</v>
      </c>
      <c r="G1293">
        <f>MAX(I1284,I1292)</f>
        <v>1317330</v>
      </c>
      <c r="H1293">
        <f>CEILING((dram_access_latency+F1293/dram_bandwidth)*frequency,1)</f>
        <v>124</v>
      </c>
      <c r="I1293">
        <f>G1293+H1293</f>
        <v>1317454</v>
      </c>
      <c r="J1293">
        <f>IF(AND(D1293&lt;&gt;"dram",D1293&lt;&gt;"control"),H1293,0)</f>
        <v>0</v>
      </c>
      <c r="K1293">
        <f>IF(D1293="dram",H1293,0)</f>
        <v>124</v>
      </c>
      <c r="L1293">
        <v>1536</v>
      </c>
      <c r="M1293">
        <v>0</v>
      </c>
    </row>
    <row r="1294" spans="1:13">
      <c r="A1294">
        <v>1292</v>
      </c>
      <c r="B1294" t="s">
        <v>297</v>
      </c>
      <c r="C1294" t="s">
        <v>82</v>
      </c>
      <c r="D1294" t="s">
        <v>83</v>
      </c>
      <c r="E1294" t="s">
        <v>93</v>
      </c>
      <c r="F1294">
        <v>32</v>
      </c>
      <c r="G1294">
        <f>MAX(I1284,I1293)</f>
        <v>1317454</v>
      </c>
      <c r="H1294">
        <f>CEILING((dram_access_latency+F1294/dram_bandwidth)*frequency,1)</f>
        <v>101</v>
      </c>
      <c r="I1294">
        <f>G1294+H1294</f>
        <v>1317555</v>
      </c>
      <c r="J1294">
        <f>IF(AND(D1294&lt;&gt;"dram",D1294&lt;&gt;"control"),H1294,0)</f>
        <v>0</v>
      </c>
      <c r="K1294">
        <f>IF(D1294="dram",H1294,0)</f>
        <v>101</v>
      </c>
      <c r="L1294">
        <v>32</v>
      </c>
      <c r="M1294">
        <v>0</v>
      </c>
    </row>
    <row r="1295" spans="1:13">
      <c r="A1295">
        <v>1293</v>
      </c>
      <c r="B1295" t="s">
        <v>298</v>
      </c>
      <c r="C1295" t="s">
        <v>82</v>
      </c>
      <c r="D1295" t="s">
        <v>83</v>
      </c>
      <c r="E1295" t="s">
        <v>93</v>
      </c>
      <c r="F1295">
        <v>1024</v>
      </c>
      <c r="G1295">
        <f>MAX(I1284,I1294)</f>
        <v>1317555</v>
      </c>
      <c r="H1295">
        <f>CEILING((dram_access_latency+F1295/dram_bandwidth)*frequency,1)</f>
        <v>116</v>
      </c>
      <c r="I1295">
        <f>G1295+H1295</f>
        <v>1317671</v>
      </c>
      <c r="J1295">
        <f>IF(AND(D1295&lt;&gt;"dram",D1295&lt;&gt;"control"),H1295,0)</f>
        <v>0</v>
      </c>
      <c r="K1295">
        <f>IF(D1295="dram",H1295,0)</f>
        <v>116</v>
      </c>
      <c r="L1295">
        <v>1024</v>
      </c>
      <c r="M1295">
        <v>0</v>
      </c>
    </row>
    <row r="1296" spans="1:13">
      <c r="A1296">
        <v>1294</v>
      </c>
      <c r="B1296" t="s">
        <v>49</v>
      </c>
      <c r="C1296" t="s">
        <v>90</v>
      </c>
      <c r="D1296" t="s">
        <v>108</v>
      </c>
      <c r="E1296" t="s">
        <v>93</v>
      </c>
      <c r="F1296">
        <v>0</v>
      </c>
      <c r="G1296">
        <f>MAX(I1290,I1290,I1291,I1292,I1293,I1294,I1295)</f>
        <v>1317671</v>
      </c>
      <c r="H1296">
        <f>'Operations'!I19</f>
        <v>1198</v>
      </c>
      <c r="I1296">
        <f>G1296+H1296</f>
        <v>1318869</v>
      </c>
      <c r="J1296">
        <f>IF(AND(D1296&lt;&gt;"dram",D1296&lt;&gt;"control"),H1296,0)</f>
        <v>1198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299</v>
      </c>
      <c r="C1297" t="s">
        <v>88</v>
      </c>
      <c r="D1297" t="s">
        <v>89</v>
      </c>
      <c r="E1297" t="s">
        <v>93</v>
      </c>
      <c r="F1297">
        <v>0</v>
      </c>
      <c r="G1297">
        <f>MAX(I1284,I1290)</f>
        <v>1315021</v>
      </c>
      <c r="H1297">
        <f>0</f>
        <v>2523</v>
      </c>
      <c r="I1297">
        <f>G1297+H1297</f>
        <v>1317544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300</v>
      </c>
      <c r="C1298" t="s">
        <v>92</v>
      </c>
      <c r="D1298" t="s">
        <v>83</v>
      </c>
      <c r="E1298" t="s">
        <v>93</v>
      </c>
      <c r="F1298">
        <v>8</v>
      </c>
      <c r="G1298">
        <f>MAX(I1297,I1295)</f>
        <v>1317671</v>
      </c>
      <c r="H1298">
        <f>CEILING((dram_access_latency+F1298/dram_bandwidth)*frequency,1)</f>
        <v>101</v>
      </c>
      <c r="I1298">
        <f>G1298+H1298</f>
        <v>1317772</v>
      </c>
      <c r="J1298">
        <f>IF(AND(D1298&lt;&gt;"dram",D1298&lt;&gt;"control"),H1298,0)</f>
        <v>0</v>
      </c>
      <c r="K1298">
        <f>IF(D1298="dram",H1298,0)</f>
        <v>101</v>
      </c>
      <c r="L1298">
        <v>0</v>
      </c>
      <c r="M1298">
        <v>8</v>
      </c>
    </row>
    <row r="1299" spans="1:13">
      <c r="A1299">
        <v>1297</v>
      </c>
      <c r="B1299" t="s">
        <v>301</v>
      </c>
      <c r="C1299" t="s">
        <v>92</v>
      </c>
      <c r="D1299" t="s">
        <v>83</v>
      </c>
      <c r="E1299" t="s">
        <v>93</v>
      </c>
      <c r="F1299">
        <v>256</v>
      </c>
      <c r="G1299">
        <f>MAX(I1297,I1298)</f>
        <v>1317772</v>
      </c>
      <c r="H1299">
        <f>CEILING((dram_access_latency+F1299/dram_bandwidth)*frequency,1)</f>
        <v>104</v>
      </c>
      <c r="I1299">
        <f>G1299+H1299</f>
        <v>1317876</v>
      </c>
      <c r="J1299">
        <f>IF(AND(D1299&lt;&gt;"dram",D1299&lt;&gt;"control"),H1299,0)</f>
        <v>0</v>
      </c>
      <c r="K1299">
        <f>IF(D1299="dram",H1299,0)</f>
        <v>104</v>
      </c>
      <c r="L1299">
        <v>0</v>
      </c>
      <c r="M1299">
        <v>256</v>
      </c>
    </row>
    <row r="1300" spans="1:13">
      <c r="A1300">
        <v>1298</v>
      </c>
      <c r="B1300" t="s">
        <v>294</v>
      </c>
      <c r="C1300" t="s">
        <v>82</v>
      </c>
      <c r="D1300" t="s">
        <v>83</v>
      </c>
      <c r="E1300" t="s">
        <v>111</v>
      </c>
      <c r="F1300">
        <v>49152</v>
      </c>
      <c r="G1300">
        <f>MAX(I1297,I1299)</f>
        <v>1317876</v>
      </c>
      <c r="H1300">
        <f>CEILING((dram_access_latency+F1300/dram_bandwidth)*frequency,1)</f>
        <v>868</v>
      </c>
      <c r="I1300">
        <f>G1300+H1300</f>
        <v>1318744</v>
      </c>
      <c r="J1300">
        <f>IF(AND(D1300&lt;&gt;"dram",D1300&lt;&gt;"control"),H1300,0)</f>
        <v>0</v>
      </c>
      <c r="K1300">
        <f>IF(D1300="dram",H1300,0)</f>
        <v>868</v>
      </c>
      <c r="L1300">
        <v>49152</v>
      </c>
      <c r="M1300">
        <v>0</v>
      </c>
    </row>
    <row r="1301" spans="1:13">
      <c r="A1301">
        <v>1299</v>
      </c>
      <c r="B1301" t="s">
        <v>295</v>
      </c>
      <c r="C1301" t="s">
        <v>82</v>
      </c>
      <c r="D1301" t="s">
        <v>83</v>
      </c>
      <c r="E1301" t="s">
        <v>111</v>
      </c>
      <c r="F1301">
        <v>1024</v>
      </c>
      <c r="G1301">
        <f>MAX(I1297,I1300)</f>
        <v>1318744</v>
      </c>
      <c r="H1301">
        <f>CEILING((dram_access_latency+F1301/dram_bandwidth)*frequency,1)</f>
        <v>116</v>
      </c>
      <c r="I1301">
        <f>G1301+H1301</f>
        <v>1318860</v>
      </c>
      <c r="J1301">
        <f>IF(AND(D1301&lt;&gt;"dram",D1301&lt;&gt;"control"),H1301,0)</f>
        <v>0</v>
      </c>
      <c r="K1301">
        <f>IF(D1301="dram",H1301,0)</f>
        <v>116</v>
      </c>
      <c r="L1301">
        <v>1024</v>
      </c>
      <c r="M1301">
        <v>0</v>
      </c>
    </row>
    <row r="1302" spans="1:13">
      <c r="A1302">
        <v>1300</v>
      </c>
      <c r="B1302" t="s">
        <v>296</v>
      </c>
      <c r="C1302" t="s">
        <v>82</v>
      </c>
      <c r="D1302" t="s">
        <v>83</v>
      </c>
      <c r="E1302" t="s">
        <v>111</v>
      </c>
      <c r="F1302">
        <v>1536</v>
      </c>
      <c r="G1302">
        <f>MAX(I1297,I1301)</f>
        <v>1318860</v>
      </c>
      <c r="H1302">
        <f>CEILING((dram_access_latency+F1302/dram_bandwidth)*frequency,1)</f>
        <v>124</v>
      </c>
      <c r="I1302">
        <f>G1302+H1302</f>
        <v>1318984</v>
      </c>
      <c r="J1302">
        <f>IF(AND(D1302&lt;&gt;"dram",D1302&lt;&gt;"control"),H1302,0)</f>
        <v>0</v>
      </c>
      <c r="K1302">
        <f>IF(D1302="dram",H1302,0)</f>
        <v>124</v>
      </c>
      <c r="L1302">
        <v>1536</v>
      </c>
      <c r="M1302">
        <v>0</v>
      </c>
    </row>
    <row r="1303" spans="1:13">
      <c r="A1303">
        <v>1301</v>
      </c>
      <c r="B1303" t="s">
        <v>297</v>
      </c>
      <c r="C1303" t="s">
        <v>82</v>
      </c>
      <c r="D1303" t="s">
        <v>83</v>
      </c>
      <c r="E1303" t="s">
        <v>111</v>
      </c>
      <c r="F1303">
        <v>32</v>
      </c>
      <c r="G1303">
        <f>MAX(I1297,I1302)</f>
        <v>1318984</v>
      </c>
      <c r="H1303">
        <f>CEILING((dram_access_latency+F1303/dram_bandwidth)*frequency,1)</f>
        <v>101</v>
      </c>
      <c r="I1303">
        <f>G1303+H1303</f>
        <v>1319085</v>
      </c>
      <c r="J1303">
        <f>IF(AND(D1303&lt;&gt;"dram",D1303&lt;&gt;"control"),H1303,0)</f>
        <v>0</v>
      </c>
      <c r="K1303">
        <f>IF(D1303="dram",H1303,0)</f>
        <v>101</v>
      </c>
      <c r="L1303">
        <v>32</v>
      </c>
      <c r="M1303">
        <v>0</v>
      </c>
    </row>
    <row r="1304" spans="1:13">
      <c r="A1304">
        <v>1302</v>
      </c>
      <c r="B1304" t="s">
        <v>298</v>
      </c>
      <c r="C1304" t="s">
        <v>82</v>
      </c>
      <c r="D1304" t="s">
        <v>83</v>
      </c>
      <c r="E1304" t="s">
        <v>111</v>
      </c>
      <c r="F1304">
        <v>1024</v>
      </c>
      <c r="G1304">
        <f>MAX(I1297,I1303)</f>
        <v>1319085</v>
      </c>
      <c r="H1304">
        <f>CEILING((dram_access_latency+F1304/dram_bandwidth)*frequency,1)</f>
        <v>116</v>
      </c>
      <c r="I1304">
        <f>G1304+H1304</f>
        <v>1319201</v>
      </c>
      <c r="J1304">
        <f>IF(AND(D1304&lt;&gt;"dram",D1304&lt;&gt;"control"),H1304,0)</f>
        <v>0</v>
      </c>
      <c r="K1304">
        <f>IF(D1304="dram",H1304,0)</f>
        <v>116</v>
      </c>
      <c r="L1304">
        <v>1024</v>
      </c>
      <c r="M1304">
        <v>0</v>
      </c>
    </row>
    <row r="1305" spans="1:13">
      <c r="A1305">
        <v>1303</v>
      </c>
      <c r="B1305" t="s">
        <v>49</v>
      </c>
      <c r="C1305" t="s">
        <v>90</v>
      </c>
      <c r="D1305" t="s">
        <v>108</v>
      </c>
      <c r="E1305" t="s">
        <v>111</v>
      </c>
      <c r="F1305">
        <v>0</v>
      </c>
      <c r="G1305">
        <f>MAX(I1296,I1296,I1300,I1301,I1302,I1303,I1304,I1298,I1299)</f>
        <v>1319201</v>
      </c>
      <c r="H1305">
        <f>'Operations'!I19</f>
        <v>1198</v>
      </c>
      <c r="I1305">
        <f>G1305+H1305</f>
        <v>1320399</v>
      </c>
      <c r="J1305">
        <f>IF(AND(D1305&lt;&gt;"dram",D1305&lt;&gt;"control"),H1305,0)</f>
        <v>1198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299</v>
      </c>
      <c r="C1306" t="s">
        <v>88</v>
      </c>
      <c r="D1306" t="s">
        <v>89</v>
      </c>
      <c r="E1306" t="s">
        <v>111</v>
      </c>
      <c r="F1306">
        <v>0</v>
      </c>
      <c r="G1306">
        <f>MAX(I1297,I1296)</f>
        <v>1317544</v>
      </c>
      <c r="H1306">
        <f>0</f>
        <v>1325</v>
      </c>
      <c r="I1306">
        <f>G1306+H1306</f>
        <v>1318869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300</v>
      </c>
      <c r="C1307" t="s">
        <v>92</v>
      </c>
      <c r="D1307" t="s">
        <v>83</v>
      </c>
      <c r="E1307" t="s">
        <v>111</v>
      </c>
      <c r="F1307">
        <v>8</v>
      </c>
      <c r="G1307">
        <f>MAX(I1306,I1304)</f>
        <v>1319201</v>
      </c>
      <c r="H1307">
        <f>CEILING((dram_access_latency+F1307/dram_bandwidth)*frequency,1)</f>
        <v>101</v>
      </c>
      <c r="I1307">
        <f>G1307+H1307</f>
        <v>1319302</v>
      </c>
      <c r="J1307">
        <f>IF(AND(D1307&lt;&gt;"dram",D1307&lt;&gt;"control"),H1307,0)</f>
        <v>0</v>
      </c>
      <c r="K1307">
        <f>IF(D1307="dram",H1307,0)</f>
        <v>101</v>
      </c>
      <c r="L1307">
        <v>0</v>
      </c>
      <c r="M1307">
        <v>8</v>
      </c>
    </row>
    <row r="1308" spans="1:13">
      <c r="A1308">
        <v>1306</v>
      </c>
      <c r="B1308" t="s">
        <v>301</v>
      </c>
      <c r="C1308" t="s">
        <v>92</v>
      </c>
      <c r="D1308" t="s">
        <v>83</v>
      </c>
      <c r="E1308" t="s">
        <v>111</v>
      </c>
      <c r="F1308">
        <v>256</v>
      </c>
      <c r="G1308">
        <f>MAX(I1306,I1307)</f>
        <v>1319302</v>
      </c>
      <c r="H1308">
        <f>CEILING((dram_access_latency+F1308/dram_bandwidth)*frequency,1)</f>
        <v>104</v>
      </c>
      <c r="I1308">
        <f>G1308+H1308</f>
        <v>1319406</v>
      </c>
      <c r="J1308">
        <f>IF(AND(D1308&lt;&gt;"dram",D1308&lt;&gt;"control"),H1308,0)</f>
        <v>0</v>
      </c>
      <c r="K1308">
        <f>IF(D1308="dram",H1308,0)</f>
        <v>104</v>
      </c>
      <c r="L1308">
        <v>0</v>
      </c>
      <c r="M1308">
        <v>256</v>
      </c>
    </row>
    <row r="1309" spans="1:13">
      <c r="A1309">
        <v>1307</v>
      </c>
      <c r="B1309" t="s">
        <v>294</v>
      </c>
      <c r="C1309" t="s">
        <v>82</v>
      </c>
      <c r="D1309" t="s">
        <v>83</v>
      </c>
      <c r="E1309" t="s">
        <v>112</v>
      </c>
      <c r="F1309">
        <v>49152</v>
      </c>
      <c r="G1309">
        <f>MAX(I1306,I1308)</f>
        <v>1319406</v>
      </c>
      <c r="H1309">
        <f>CEILING((dram_access_latency+F1309/dram_bandwidth)*frequency,1)</f>
        <v>868</v>
      </c>
      <c r="I1309">
        <f>G1309+H1309</f>
        <v>1320274</v>
      </c>
      <c r="J1309">
        <f>IF(AND(D1309&lt;&gt;"dram",D1309&lt;&gt;"control"),H1309,0)</f>
        <v>0</v>
      </c>
      <c r="K1309">
        <f>IF(D1309="dram",H1309,0)</f>
        <v>868</v>
      </c>
      <c r="L1309">
        <v>49152</v>
      </c>
      <c r="M1309">
        <v>0</v>
      </c>
    </row>
    <row r="1310" spans="1:13">
      <c r="A1310">
        <v>1308</v>
      </c>
      <c r="B1310" t="s">
        <v>295</v>
      </c>
      <c r="C1310" t="s">
        <v>82</v>
      </c>
      <c r="D1310" t="s">
        <v>83</v>
      </c>
      <c r="E1310" t="s">
        <v>112</v>
      </c>
      <c r="F1310">
        <v>1024</v>
      </c>
      <c r="G1310">
        <f>MAX(I1306,I1309)</f>
        <v>1320274</v>
      </c>
      <c r="H1310">
        <f>CEILING((dram_access_latency+F1310/dram_bandwidth)*frequency,1)</f>
        <v>116</v>
      </c>
      <c r="I1310">
        <f>G1310+H1310</f>
        <v>1320390</v>
      </c>
      <c r="J1310">
        <f>IF(AND(D1310&lt;&gt;"dram",D1310&lt;&gt;"control"),H1310,0)</f>
        <v>0</v>
      </c>
      <c r="K1310">
        <f>IF(D1310="dram",H1310,0)</f>
        <v>116</v>
      </c>
      <c r="L1310">
        <v>1024</v>
      </c>
      <c r="M1310">
        <v>0</v>
      </c>
    </row>
    <row r="1311" spans="1:13">
      <c r="A1311">
        <v>1309</v>
      </c>
      <c r="B1311" t="s">
        <v>296</v>
      </c>
      <c r="C1311" t="s">
        <v>82</v>
      </c>
      <c r="D1311" t="s">
        <v>83</v>
      </c>
      <c r="E1311" t="s">
        <v>112</v>
      </c>
      <c r="F1311">
        <v>1536</v>
      </c>
      <c r="G1311">
        <f>MAX(I1306,I1310)</f>
        <v>1320390</v>
      </c>
      <c r="H1311">
        <f>CEILING((dram_access_latency+F1311/dram_bandwidth)*frequency,1)</f>
        <v>124</v>
      </c>
      <c r="I1311">
        <f>G1311+H1311</f>
        <v>1320514</v>
      </c>
      <c r="J1311">
        <f>IF(AND(D1311&lt;&gt;"dram",D1311&lt;&gt;"control"),H1311,0)</f>
        <v>0</v>
      </c>
      <c r="K1311">
        <f>IF(D1311="dram",H1311,0)</f>
        <v>124</v>
      </c>
      <c r="L1311">
        <v>1536</v>
      </c>
      <c r="M1311">
        <v>0</v>
      </c>
    </row>
    <row r="1312" spans="1:13">
      <c r="A1312">
        <v>1310</v>
      </c>
      <c r="B1312" t="s">
        <v>297</v>
      </c>
      <c r="C1312" t="s">
        <v>82</v>
      </c>
      <c r="D1312" t="s">
        <v>83</v>
      </c>
      <c r="E1312" t="s">
        <v>112</v>
      </c>
      <c r="F1312">
        <v>32</v>
      </c>
      <c r="G1312">
        <f>MAX(I1306,I1311)</f>
        <v>1320514</v>
      </c>
      <c r="H1312">
        <f>CEILING((dram_access_latency+F1312/dram_bandwidth)*frequency,1)</f>
        <v>101</v>
      </c>
      <c r="I1312">
        <f>G1312+H1312</f>
        <v>1320615</v>
      </c>
      <c r="J1312">
        <f>IF(AND(D1312&lt;&gt;"dram",D1312&lt;&gt;"control"),H1312,0)</f>
        <v>0</v>
      </c>
      <c r="K1312">
        <f>IF(D1312="dram",H1312,0)</f>
        <v>101</v>
      </c>
      <c r="L1312">
        <v>32</v>
      </c>
      <c r="M1312">
        <v>0</v>
      </c>
    </row>
    <row r="1313" spans="1:13">
      <c r="A1313">
        <v>1311</v>
      </c>
      <c r="B1313" t="s">
        <v>298</v>
      </c>
      <c r="C1313" t="s">
        <v>82</v>
      </c>
      <c r="D1313" t="s">
        <v>83</v>
      </c>
      <c r="E1313" t="s">
        <v>112</v>
      </c>
      <c r="F1313">
        <v>1024</v>
      </c>
      <c r="G1313">
        <f>MAX(I1306,I1312)</f>
        <v>1320615</v>
      </c>
      <c r="H1313">
        <f>CEILING((dram_access_latency+F1313/dram_bandwidth)*frequency,1)</f>
        <v>116</v>
      </c>
      <c r="I1313">
        <f>G1313+H1313</f>
        <v>1320731</v>
      </c>
      <c r="J1313">
        <f>IF(AND(D1313&lt;&gt;"dram",D1313&lt;&gt;"control"),H1313,0)</f>
        <v>0</v>
      </c>
      <c r="K1313">
        <f>IF(D1313="dram",H1313,0)</f>
        <v>116</v>
      </c>
      <c r="L1313">
        <v>1024</v>
      </c>
      <c r="M1313">
        <v>0</v>
      </c>
    </row>
    <row r="1314" spans="1:13">
      <c r="A1314">
        <v>1312</v>
      </c>
      <c r="B1314" t="s">
        <v>49</v>
      </c>
      <c r="C1314" t="s">
        <v>90</v>
      </c>
      <c r="D1314" t="s">
        <v>108</v>
      </c>
      <c r="E1314" t="s">
        <v>112</v>
      </c>
      <c r="F1314">
        <v>0</v>
      </c>
      <c r="G1314">
        <f>MAX(I1305,I1305,I1309,I1310,I1311,I1312,I1313,I1307,I1308)</f>
        <v>1320731</v>
      </c>
      <c r="H1314">
        <f>'Operations'!I19</f>
        <v>1198</v>
      </c>
      <c r="I1314">
        <f>G1314+H1314</f>
        <v>1321929</v>
      </c>
      <c r="J1314">
        <f>IF(AND(D1314&lt;&gt;"dram",D1314&lt;&gt;"control"),H1314,0)</f>
        <v>1198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299</v>
      </c>
      <c r="C1315" t="s">
        <v>88</v>
      </c>
      <c r="D1315" t="s">
        <v>89</v>
      </c>
      <c r="E1315" t="s">
        <v>112</v>
      </c>
      <c r="F1315">
        <v>0</v>
      </c>
      <c r="G1315">
        <f>MAX(I1306,I1305)</f>
        <v>1318869</v>
      </c>
      <c r="H1315">
        <f>0</f>
        <v>1530</v>
      </c>
      <c r="I1315">
        <f>G1315+H1315</f>
        <v>1320399</v>
      </c>
      <c r="J1315">
        <f>IF(AND(D1315&lt;&gt;"dram",D1315&lt;&gt;"control"),H1315,0)</f>
        <v>0</v>
      </c>
      <c r="K1315">
        <f>IF(D1315="dram",H1315,0)</f>
        <v>0</v>
      </c>
      <c r="L1315">
        <v>0</v>
      </c>
      <c r="M1315">
        <v>0</v>
      </c>
    </row>
    <row r="1316" spans="1:13">
      <c r="A1316">
        <v>1314</v>
      </c>
      <c r="B1316" t="s">
        <v>300</v>
      </c>
      <c r="C1316" t="s">
        <v>92</v>
      </c>
      <c r="D1316" t="s">
        <v>83</v>
      </c>
      <c r="E1316" t="s">
        <v>112</v>
      </c>
      <c r="F1316">
        <v>8</v>
      </c>
      <c r="G1316">
        <f>MAX(I1315,I1313)</f>
        <v>1320731</v>
      </c>
      <c r="H1316">
        <f>CEILING((dram_access_latency+F1316/dram_bandwidth)*frequency,1)</f>
        <v>101</v>
      </c>
      <c r="I1316">
        <f>G1316+H1316</f>
        <v>1320832</v>
      </c>
      <c r="J1316">
        <f>IF(AND(D1316&lt;&gt;"dram",D1316&lt;&gt;"control"),H1316,0)</f>
        <v>0</v>
      </c>
      <c r="K1316">
        <f>IF(D1316="dram",H1316,0)</f>
        <v>101</v>
      </c>
      <c r="L1316">
        <v>0</v>
      </c>
      <c r="M1316">
        <v>8</v>
      </c>
    </row>
    <row r="1317" spans="1:13">
      <c r="A1317">
        <v>1315</v>
      </c>
      <c r="B1317" t="s">
        <v>301</v>
      </c>
      <c r="C1317" t="s">
        <v>92</v>
      </c>
      <c r="D1317" t="s">
        <v>83</v>
      </c>
      <c r="E1317" t="s">
        <v>112</v>
      </c>
      <c r="F1317">
        <v>256</v>
      </c>
      <c r="G1317">
        <f>MAX(I1315,I1316)</f>
        <v>1320832</v>
      </c>
      <c r="H1317">
        <f>CEILING((dram_access_latency+F1317/dram_bandwidth)*frequency,1)</f>
        <v>104</v>
      </c>
      <c r="I1317">
        <f>G1317+H1317</f>
        <v>1320936</v>
      </c>
      <c r="J1317">
        <f>IF(AND(D1317&lt;&gt;"dram",D1317&lt;&gt;"control"),H1317,0)</f>
        <v>0</v>
      </c>
      <c r="K1317">
        <f>IF(D1317="dram",H1317,0)</f>
        <v>104</v>
      </c>
      <c r="L1317">
        <v>0</v>
      </c>
      <c r="M1317">
        <v>256</v>
      </c>
    </row>
    <row r="1318" spans="1:13">
      <c r="A1318">
        <v>1316</v>
      </c>
      <c r="B1318" t="s">
        <v>294</v>
      </c>
      <c r="C1318" t="s">
        <v>82</v>
      </c>
      <c r="D1318" t="s">
        <v>83</v>
      </c>
      <c r="E1318" t="s">
        <v>113</v>
      </c>
      <c r="F1318">
        <v>49152</v>
      </c>
      <c r="G1318">
        <f>MAX(I1315,I1317)</f>
        <v>1320936</v>
      </c>
      <c r="H1318">
        <f>CEILING((dram_access_latency+F1318/dram_bandwidth)*frequency,1)</f>
        <v>868</v>
      </c>
      <c r="I1318">
        <f>G1318+H1318</f>
        <v>1321804</v>
      </c>
      <c r="J1318">
        <f>IF(AND(D1318&lt;&gt;"dram",D1318&lt;&gt;"control"),H1318,0)</f>
        <v>0</v>
      </c>
      <c r="K1318">
        <f>IF(D1318="dram",H1318,0)</f>
        <v>868</v>
      </c>
      <c r="L1318">
        <v>49152</v>
      </c>
      <c r="M1318">
        <v>0</v>
      </c>
    </row>
    <row r="1319" spans="1:13">
      <c r="A1319">
        <v>1317</v>
      </c>
      <c r="B1319" t="s">
        <v>295</v>
      </c>
      <c r="C1319" t="s">
        <v>82</v>
      </c>
      <c r="D1319" t="s">
        <v>83</v>
      </c>
      <c r="E1319" t="s">
        <v>113</v>
      </c>
      <c r="F1319">
        <v>1024</v>
      </c>
      <c r="G1319">
        <f>MAX(I1315,I1318)</f>
        <v>1321804</v>
      </c>
      <c r="H1319">
        <f>CEILING((dram_access_latency+F1319/dram_bandwidth)*frequency,1)</f>
        <v>116</v>
      </c>
      <c r="I1319">
        <f>G1319+H1319</f>
        <v>1321920</v>
      </c>
      <c r="J1319">
        <f>IF(AND(D1319&lt;&gt;"dram",D1319&lt;&gt;"control"),H1319,0)</f>
        <v>0</v>
      </c>
      <c r="K1319">
        <f>IF(D1319="dram",H1319,0)</f>
        <v>116</v>
      </c>
      <c r="L1319">
        <v>1024</v>
      </c>
      <c r="M1319">
        <v>0</v>
      </c>
    </row>
    <row r="1320" spans="1:13">
      <c r="A1320">
        <v>1318</v>
      </c>
      <c r="B1320" t="s">
        <v>296</v>
      </c>
      <c r="C1320" t="s">
        <v>82</v>
      </c>
      <c r="D1320" t="s">
        <v>83</v>
      </c>
      <c r="E1320" t="s">
        <v>113</v>
      </c>
      <c r="F1320">
        <v>1536</v>
      </c>
      <c r="G1320">
        <f>MAX(I1315,I1319)</f>
        <v>1321920</v>
      </c>
      <c r="H1320">
        <f>CEILING((dram_access_latency+F1320/dram_bandwidth)*frequency,1)</f>
        <v>124</v>
      </c>
      <c r="I1320">
        <f>G1320+H1320</f>
        <v>1322044</v>
      </c>
      <c r="J1320">
        <f>IF(AND(D1320&lt;&gt;"dram",D1320&lt;&gt;"control"),H1320,0)</f>
        <v>0</v>
      </c>
      <c r="K1320">
        <f>IF(D1320="dram",H1320,0)</f>
        <v>124</v>
      </c>
      <c r="L1320">
        <v>1536</v>
      </c>
      <c r="M1320">
        <v>0</v>
      </c>
    </row>
    <row r="1321" spans="1:13">
      <c r="A1321">
        <v>1319</v>
      </c>
      <c r="B1321" t="s">
        <v>297</v>
      </c>
      <c r="C1321" t="s">
        <v>82</v>
      </c>
      <c r="D1321" t="s">
        <v>83</v>
      </c>
      <c r="E1321" t="s">
        <v>113</v>
      </c>
      <c r="F1321">
        <v>32</v>
      </c>
      <c r="G1321">
        <f>MAX(I1315,I1320)</f>
        <v>1322044</v>
      </c>
      <c r="H1321">
        <f>CEILING((dram_access_latency+F1321/dram_bandwidth)*frequency,1)</f>
        <v>101</v>
      </c>
      <c r="I1321">
        <f>G1321+H1321</f>
        <v>1322145</v>
      </c>
      <c r="J1321">
        <f>IF(AND(D1321&lt;&gt;"dram",D1321&lt;&gt;"control"),H1321,0)</f>
        <v>0</v>
      </c>
      <c r="K1321">
        <f>IF(D1321="dram",H1321,0)</f>
        <v>101</v>
      </c>
      <c r="L1321">
        <v>32</v>
      </c>
      <c r="M1321">
        <v>0</v>
      </c>
    </row>
    <row r="1322" spans="1:13">
      <c r="A1322">
        <v>1320</v>
      </c>
      <c r="B1322" t="s">
        <v>298</v>
      </c>
      <c r="C1322" t="s">
        <v>82</v>
      </c>
      <c r="D1322" t="s">
        <v>83</v>
      </c>
      <c r="E1322" t="s">
        <v>113</v>
      </c>
      <c r="F1322">
        <v>1024</v>
      </c>
      <c r="G1322">
        <f>MAX(I1315,I1321)</f>
        <v>1322145</v>
      </c>
      <c r="H1322">
        <f>CEILING((dram_access_latency+F1322/dram_bandwidth)*frequency,1)</f>
        <v>116</v>
      </c>
      <c r="I1322">
        <f>G1322+H1322</f>
        <v>1322261</v>
      </c>
      <c r="J1322">
        <f>IF(AND(D1322&lt;&gt;"dram",D1322&lt;&gt;"control"),H1322,0)</f>
        <v>0</v>
      </c>
      <c r="K1322">
        <f>IF(D1322="dram",H1322,0)</f>
        <v>116</v>
      </c>
      <c r="L1322">
        <v>1024</v>
      </c>
      <c r="M1322">
        <v>0</v>
      </c>
    </row>
    <row r="1323" spans="1:13">
      <c r="A1323">
        <v>1321</v>
      </c>
      <c r="B1323" t="s">
        <v>49</v>
      </c>
      <c r="C1323" t="s">
        <v>90</v>
      </c>
      <c r="D1323" t="s">
        <v>108</v>
      </c>
      <c r="E1323" t="s">
        <v>113</v>
      </c>
      <c r="F1323">
        <v>0</v>
      </c>
      <c r="G1323">
        <f>MAX(I1314,I1314,I1318,I1319,I1320,I1321,I1322,I1316,I1317)</f>
        <v>1322261</v>
      </c>
      <c r="H1323">
        <f>'Operations'!I19</f>
        <v>1198</v>
      </c>
      <c r="I1323">
        <f>G1323+H1323</f>
        <v>1323459</v>
      </c>
      <c r="J1323">
        <f>IF(AND(D1323&lt;&gt;"dram",D1323&lt;&gt;"control"),H1323,0)</f>
        <v>1198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299</v>
      </c>
      <c r="C1324" t="s">
        <v>88</v>
      </c>
      <c r="D1324" t="s">
        <v>89</v>
      </c>
      <c r="E1324" t="s">
        <v>113</v>
      </c>
      <c r="F1324">
        <v>0</v>
      </c>
      <c r="G1324">
        <f>MAX(I1315,I1314)</f>
        <v>1320399</v>
      </c>
      <c r="H1324">
        <f>0</f>
        <v>1530</v>
      </c>
      <c r="I1324">
        <f>G1324+H1324</f>
        <v>1321929</v>
      </c>
      <c r="J1324">
        <f>IF(AND(D1324&lt;&gt;"dram",D1324&lt;&gt;"control"),H1324,0)</f>
        <v>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300</v>
      </c>
      <c r="C1325" t="s">
        <v>92</v>
      </c>
      <c r="D1325" t="s">
        <v>83</v>
      </c>
      <c r="E1325" t="s">
        <v>113</v>
      </c>
      <c r="F1325">
        <v>8</v>
      </c>
      <c r="G1325">
        <f>MAX(I1324,I1322)</f>
        <v>1322261</v>
      </c>
      <c r="H1325">
        <f>CEILING((dram_access_latency+F1325/dram_bandwidth)*frequency,1)</f>
        <v>101</v>
      </c>
      <c r="I1325">
        <f>G1325+H1325</f>
        <v>1322362</v>
      </c>
      <c r="J1325">
        <f>IF(AND(D1325&lt;&gt;"dram",D1325&lt;&gt;"control"),H1325,0)</f>
        <v>0</v>
      </c>
      <c r="K1325">
        <f>IF(D1325="dram",H1325,0)</f>
        <v>101</v>
      </c>
      <c r="L1325">
        <v>0</v>
      </c>
      <c r="M1325">
        <v>8</v>
      </c>
    </row>
    <row r="1326" spans="1:13">
      <c r="A1326">
        <v>1324</v>
      </c>
      <c r="B1326" t="s">
        <v>301</v>
      </c>
      <c r="C1326" t="s">
        <v>92</v>
      </c>
      <c r="D1326" t="s">
        <v>83</v>
      </c>
      <c r="E1326" t="s">
        <v>113</v>
      </c>
      <c r="F1326">
        <v>256</v>
      </c>
      <c r="G1326">
        <f>MAX(I1324,I1325)</f>
        <v>1322362</v>
      </c>
      <c r="H1326">
        <f>CEILING((dram_access_latency+F1326/dram_bandwidth)*frequency,1)</f>
        <v>104</v>
      </c>
      <c r="I1326">
        <f>G1326+H1326</f>
        <v>1322466</v>
      </c>
      <c r="J1326">
        <f>IF(AND(D1326&lt;&gt;"dram",D1326&lt;&gt;"control"),H1326,0)</f>
        <v>0</v>
      </c>
      <c r="K1326">
        <f>IF(D1326="dram",H1326,0)</f>
        <v>104</v>
      </c>
      <c r="L1326">
        <v>0</v>
      </c>
      <c r="M1326">
        <v>256</v>
      </c>
    </row>
    <row r="1327" spans="1:13">
      <c r="A1327">
        <v>1325</v>
      </c>
      <c r="B1327" t="s">
        <v>294</v>
      </c>
      <c r="C1327" t="s">
        <v>82</v>
      </c>
      <c r="D1327" t="s">
        <v>83</v>
      </c>
      <c r="E1327" t="s">
        <v>114</v>
      </c>
      <c r="F1327">
        <v>49152</v>
      </c>
      <c r="G1327">
        <f>MAX(I1324,I1326)</f>
        <v>1322466</v>
      </c>
      <c r="H1327">
        <f>CEILING((dram_access_latency+F1327/dram_bandwidth)*frequency,1)</f>
        <v>868</v>
      </c>
      <c r="I1327">
        <f>G1327+H1327</f>
        <v>1323334</v>
      </c>
      <c r="J1327">
        <f>IF(AND(D1327&lt;&gt;"dram",D1327&lt;&gt;"control"),H1327,0)</f>
        <v>0</v>
      </c>
      <c r="K1327">
        <f>IF(D1327="dram",H1327,0)</f>
        <v>868</v>
      </c>
      <c r="L1327">
        <v>49152</v>
      </c>
      <c r="M1327">
        <v>0</v>
      </c>
    </row>
    <row r="1328" spans="1:13">
      <c r="A1328">
        <v>1326</v>
      </c>
      <c r="B1328" t="s">
        <v>295</v>
      </c>
      <c r="C1328" t="s">
        <v>82</v>
      </c>
      <c r="D1328" t="s">
        <v>83</v>
      </c>
      <c r="E1328" t="s">
        <v>114</v>
      </c>
      <c r="F1328">
        <v>1024</v>
      </c>
      <c r="G1328">
        <f>MAX(I1324,I1327)</f>
        <v>1323334</v>
      </c>
      <c r="H1328">
        <f>CEILING((dram_access_latency+F1328/dram_bandwidth)*frequency,1)</f>
        <v>116</v>
      </c>
      <c r="I1328">
        <f>G1328+H1328</f>
        <v>1323450</v>
      </c>
      <c r="J1328">
        <f>IF(AND(D1328&lt;&gt;"dram",D1328&lt;&gt;"control"),H1328,0)</f>
        <v>0</v>
      </c>
      <c r="K1328">
        <f>IF(D1328="dram",H1328,0)</f>
        <v>116</v>
      </c>
      <c r="L1328">
        <v>1024</v>
      </c>
      <c r="M1328">
        <v>0</v>
      </c>
    </row>
    <row r="1329" spans="1:13">
      <c r="A1329">
        <v>1327</v>
      </c>
      <c r="B1329" t="s">
        <v>296</v>
      </c>
      <c r="C1329" t="s">
        <v>82</v>
      </c>
      <c r="D1329" t="s">
        <v>83</v>
      </c>
      <c r="E1329" t="s">
        <v>114</v>
      </c>
      <c r="F1329">
        <v>1536</v>
      </c>
      <c r="G1329">
        <f>MAX(I1324,I1328)</f>
        <v>1323450</v>
      </c>
      <c r="H1329">
        <f>CEILING((dram_access_latency+F1329/dram_bandwidth)*frequency,1)</f>
        <v>124</v>
      </c>
      <c r="I1329">
        <f>G1329+H1329</f>
        <v>1323574</v>
      </c>
      <c r="J1329">
        <f>IF(AND(D1329&lt;&gt;"dram",D1329&lt;&gt;"control"),H1329,0)</f>
        <v>0</v>
      </c>
      <c r="K1329">
        <f>IF(D1329="dram",H1329,0)</f>
        <v>124</v>
      </c>
      <c r="L1329">
        <v>1536</v>
      </c>
      <c r="M1329">
        <v>0</v>
      </c>
    </row>
    <row r="1330" spans="1:13">
      <c r="A1330">
        <v>1328</v>
      </c>
      <c r="B1330" t="s">
        <v>297</v>
      </c>
      <c r="C1330" t="s">
        <v>82</v>
      </c>
      <c r="D1330" t="s">
        <v>83</v>
      </c>
      <c r="E1330" t="s">
        <v>114</v>
      </c>
      <c r="F1330">
        <v>32</v>
      </c>
      <c r="G1330">
        <f>MAX(I1324,I1329)</f>
        <v>1323574</v>
      </c>
      <c r="H1330">
        <f>CEILING((dram_access_latency+F1330/dram_bandwidth)*frequency,1)</f>
        <v>101</v>
      </c>
      <c r="I1330">
        <f>G1330+H1330</f>
        <v>1323675</v>
      </c>
      <c r="J1330">
        <f>IF(AND(D1330&lt;&gt;"dram",D1330&lt;&gt;"control"),H1330,0)</f>
        <v>0</v>
      </c>
      <c r="K1330">
        <f>IF(D1330="dram",H1330,0)</f>
        <v>101</v>
      </c>
      <c r="L1330">
        <v>32</v>
      </c>
      <c r="M1330">
        <v>0</v>
      </c>
    </row>
    <row r="1331" spans="1:13">
      <c r="A1331">
        <v>1329</v>
      </c>
      <c r="B1331" t="s">
        <v>298</v>
      </c>
      <c r="C1331" t="s">
        <v>82</v>
      </c>
      <c r="D1331" t="s">
        <v>83</v>
      </c>
      <c r="E1331" t="s">
        <v>114</v>
      </c>
      <c r="F1331">
        <v>1024</v>
      </c>
      <c r="G1331">
        <f>MAX(I1324,I1330)</f>
        <v>1323675</v>
      </c>
      <c r="H1331">
        <f>CEILING((dram_access_latency+F1331/dram_bandwidth)*frequency,1)</f>
        <v>116</v>
      </c>
      <c r="I1331">
        <f>G1331+H1331</f>
        <v>1323791</v>
      </c>
      <c r="J1331">
        <f>IF(AND(D1331&lt;&gt;"dram",D1331&lt;&gt;"control"),H1331,0)</f>
        <v>0</v>
      </c>
      <c r="K1331">
        <f>IF(D1331="dram",H1331,0)</f>
        <v>116</v>
      </c>
      <c r="L1331">
        <v>1024</v>
      </c>
      <c r="M1331">
        <v>0</v>
      </c>
    </row>
    <row r="1332" spans="1:13">
      <c r="A1332">
        <v>1330</v>
      </c>
      <c r="B1332" t="s">
        <v>49</v>
      </c>
      <c r="C1332" t="s">
        <v>90</v>
      </c>
      <c r="D1332" t="s">
        <v>108</v>
      </c>
      <c r="E1332" t="s">
        <v>114</v>
      </c>
      <c r="F1332">
        <v>0</v>
      </c>
      <c r="G1332">
        <f>MAX(I1323,I1323,I1327,I1328,I1329,I1330,I1331,I1325,I1326)</f>
        <v>1323791</v>
      </c>
      <c r="H1332">
        <f>'Operations'!I19</f>
        <v>1198</v>
      </c>
      <c r="I1332">
        <f>G1332+H1332</f>
        <v>1324989</v>
      </c>
      <c r="J1332">
        <f>IF(AND(D1332&lt;&gt;"dram",D1332&lt;&gt;"control"),H1332,0)</f>
        <v>1198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299</v>
      </c>
      <c r="C1333" t="s">
        <v>88</v>
      </c>
      <c r="D1333" t="s">
        <v>89</v>
      </c>
      <c r="E1333" t="s">
        <v>114</v>
      </c>
      <c r="F1333">
        <v>0</v>
      </c>
      <c r="G1333">
        <f>MAX(I1324,I1323)</f>
        <v>1321929</v>
      </c>
      <c r="H1333">
        <f>0</f>
        <v>1530</v>
      </c>
      <c r="I1333">
        <f>G1333+H1333</f>
        <v>1323459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300</v>
      </c>
      <c r="C1334" t="s">
        <v>92</v>
      </c>
      <c r="D1334" t="s">
        <v>83</v>
      </c>
      <c r="E1334" t="s">
        <v>114</v>
      </c>
      <c r="F1334">
        <v>8</v>
      </c>
      <c r="G1334">
        <f>MAX(I1333,I1331)</f>
        <v>1323791</v>
      </c>
      <c r="H1334">
        <f>CEILING((dram_access_latency+F1334/dram_bandwidth)*frequency,1)</f>
        <v>101</v>
      </c>
      <c r="I1334">
        <f>G1334+H1334</f>
        <v>1323892</v>
      </c>
      <c r="J1334">
        <f>IF(AND(D1334&lt;&gt;"dram",D1334&lt;&gt;"control"),H1334,0)</f>
        <v>0</v>
      </c>
      <c r="K1334">
        <f>IF(D1334="dram",H1334,0)</f>
        <v>101</v>
      </c>
      <c r="L1334">
        <v>0</v>
      </c>
      <c r="M1334">
        <v>8</v>
      </c>
    </row>
    <row r="1335" spans="1:13">
      <c r="A1335">
        <v>1333</v>
      </c>
      <c r="B1335" t="s">
        <v>301</v>
      </c>
      <c r="C1335" t="s">
        <v>92</v>
      </c>
      <c r="D1335" t="s">
        <v>83</v>
      </c>
      <c r="E1335" t="s">
        <v>114</v>
      </c>
      <c r="F1335">
        <v>256</v>
      </c>
      <c r="G1335">
        <f>MAX(I1333,I1334)</f>
        <v>1323892</v>
      </c>
      <c r="H1335">
        <f>CEILING((dram_access_latency+F1335/dram_bandwidth)*frequency,1)</f>
        <v>104</v>
      </c>
      <c r="I1335">
        <f>G1335+H1335</f>
        <v>1323996</v>
      </c>
      <c r="J1335">
        <f>IF(AND(D1335&lt;&gt;"dram",D1335&lt;&gt;"control"),H1335,0)</f>
        <v>0</v>
      </c>
      <c r="K1335">
        <f>IF(D1335="dram",H1335,0)</f>
        <v>104</v>
      </c>
      <c r="L1335">
        <v>0</v>
      </c>
      <c r="M1335">
        <v>256</v>
      </c>
    </row>
    <row r="1336" spans="1:13">
      <c r="A1336">
        <v>1334</v>
      </c>
      <c r="B1336" t="s">
        <v>294</v>
      </c>
      <c r="C1336" t="s">
        <v>82</v>
      </c>
      <c r="D1336" t="s">
        <v>83</v>
      </c>
      <c r="E1336" t="s">
        <v>115</v>
      </c>
      <c r="F1336">
        <v>49152</v>
      </c>
      <c r="G1336">
        <f>MAX(I1333,I1335)</f>
        <v>1323996</v>
      </c>
      <c r="H1336">
        <f>CEILING((dram_access_latency+F1336/dram_bandwidth)*frequency,1)</f>
        <v>868</v>
      </c>
      <c r="I1336">
        <f>G1336+H1336</f>
        <v>1324864</v>
      </c>
      <c r="J1336">
        <f>IF(AND(D1336&lt;&gt;"dram",D1336&lt;&gt;"control"),H1336,0)</f>
        <v>0</v>
      </c>
      <c r="K1336">
        <f>IF(D1336="dram",H1336,0)</f>
        <v>868</v>
      </c>
      <c r="L1336">
        <v>49152</v>
      </c>
      <c r="M1336">
        <v>0</v>
      </c>
    </row>
    <row r="1337" spans="1:13">
      <c r="A1337">
        <v>1335</v>
      </c>
      <c r="B1337" t="s">
        <v>295</v>
      </c>
      <c r="C1337" t="s">
        <v>82</v>
      </c>
      <c r="D1337" t="s">
        <v>83</v>
      </c>
      <c r="E1337" t="s">
        <v>115</v>
      </c>
      <c r="F1337">
        <v>1024</v>
      </c>
      <c r="G1337">
        <f>MAX(I1333,I1336)</f>
        <v>1324864</v>
      </c>
      <c r="H1337">
        <f>CEILING((dram_access_latency+F1337/dram_bandwidth)*frequency,1)</f>
        <v>116</v>
      </c>
      <c r="I1337">
        <f>G1337+H1337</f>
        <v>1324980</v>
      </c>
      <c r="J1337">
        <f>IF(AND(D1337&lt;&gt;"dram",D1337&lt;&gt;"control"),H1337,0)</f>
        <v>0</v>
      </c>
      <c r="K1337">
        <f>IF(D1337="dram",H1337,0)</f>
        <v>116</v>
      </c>
      <c r="L1337">
        <v>1024</v>
      </c>
      <c r="M1337">
        <v>0</v>
      </c>
    </row>
    <row r="1338" spans="1:13">
      <c r="A1338">
        <v>1336</v>
      </c>
      <c r="B1338" t="s">
        <v>296</v>
      </c>
      <c r="C1338" t="s">
        <v>82</v>
      </c>
      <c r="D1338" t="s">
        <v>83</v>
      </c>
      <c r="E1338" t="s">
        <v>115</v>
      </c>
      <c r="F1338">
        <v>1536</v>
      </c>
      <c r="G1338">
        <f>MAX(I1333,I1337)</f>
        <v>1324980</v>
      </c>
      <c r="H1338">
        <f>CEILING((dram_access_latency+F1338/dram_bandwidth)*frequency,1)</f>
        <v>124</v>
      </c>
      <c r="I1338">
        <f>G1338+H1338</f>
        <v>1325104</v>
      </c>
      <c r="J1338">
        <f>IF(AND(D1338&lt;&gt;"dram",D1338&lt;&gt;"control"),H1338,0)</f>
        <v>0</v>
      </c>
      <c r="K1338">
        <f>IF(D1338="dram",H1338,0)</f>
        <v>124</v>
      </c>
      <c r="L1338">
        <v>1536</v>
      </c>
      <c r="M1338">
        <v>0</v>
      </c>
    </row>
    <row r="1339" spans="1:13">
      <c r="A1339">
        <v>1337</v>
      </c>
      <c r="B1339" t="s">
        <v>297</v>
      </c>
      <c r="C1339" t="s">
        <v>82</v>
      </c>
      <c r="D1339" t="s">
        <v>83</v>
      </c>
      <c r="E1339" t="s">
        <v>115</v>
      </c>
      <c r="F1339">
        <v>32</v>
      </c>
      <c r="G1339">
        <f>MAX(I1333,I1338)</f>
        <v>1325104</v>
      </c>
      <c r="H1339">
        <f>CEILING((dram_access_latency+F1339/dram_bandwidth)*frequency,1)</f>
        <v>101</v>
      </c>
      <c r="I1339">
        <f>G1339+H1339</f>
        <v>1325205</v>
      </c>
      <c r="J1339">
        <f>IF(AND(D1339&lt;&gt;"dram",D1339&lt;&gt;"control"),H1339,0)</f>
        <v>0</v>
      </c>
      <c r="K1339">
        <f>IF(D1339="dram",H1339,0)</f>
        <v>101</v>
      </c>
      <c r="L1339">
        <v>32</v>
      </c>
      <c r="M1339">
        <v>0</v>
      </c>
    </row>
    <row r="1340" spans="1:13">
      <c r="A1340">
        <v>1338</v>
      </c>
      <c r="B1340" t="s">
        <v>298</v>
      </c>
      <c r="C1340" t="s">
        <v>82</v>
      </c>
      <c r="D1340" t="s">
        <v>83</v>
      </c>
      <c r="E1340" t="s">
        <v>115</v>
      </c>
      <c r="F1340">
        <v>1024</v>
      </c>
      <c r="G1340">
        <f>MAX(I1333,I1339)</f>
        <v>1325205</v>
      </c>
      <c r="H1340">
        <f>CEILING((dram_access_latency+F1340/dram_bandwidth)*frequency,1)</f>
        <v>116</v>
      </c>
      <c r="I1340">
        <f>G1340+H1340</f>
        <v>1325321</v>
      </c>
      <c r="J1340">
        <f>IF(AND(D1340&lt;&gt;"dram",D1340&lt;&gt;"control"),H1340,0)</f>
        <v>0</v>
      </c>
      <c r="K1340">
        <f>IF(D1340="dram",H1340,0)</f>
        <v>116</v>
      </c>
      <c r="L1340">
        <v>1024</v>
      </c>
      <c r="M1340">
        <v>0</v>
      </c>
    </row>
    <row r="1341" spans="1:13">
      <c r="A1341">
        <v>1339</v>
      </c>
      <c r="B1341" t="s">
        <v>49</v>
      </c>
      <c r="C1341" t="s">
        <v>90</v>
      </c>
      <c r="D1341" t="s">
        <v>108</v>
      </c>
      <c r="E1341" t="s">
        <v>115</v>
      </c>
      <c r="F1341">
        <v>0</v>
      </c>
      <c r="G1341">
        <f>MAX(I1332,I1332,I1336,I1337,I1338,I1339,I1340,I1334,I1335)</f>
        <v>1325321</v>
      </c>
      <c r="H1341">
        <f>'Operations'!I19</f>
        <v>1198</v>
      </c>
      <c r="I1341">
        <f>G1341+H1341</f>
        <v>1326519</v>
      </c>
      <c r="J1341">
        <f>IF(AND(D1341&lt;&gt;"dram",D1341&lt;&gt;"control"),H1341,0)</f>
        <v>1198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299</v>
      </c>
      <c r="C1342" t="s">
        <v>88</v>
      </c>
      <c r="D1342" t="s">
        <v>89</v>
      </c>
      <c r="E1342" t="s">
        <v>115</v>
      </c>
      <c r="F1342">
        <v>0</v>
      </c>
      <c r="G1342">
        <f>MAX(I1333,I1332)</f>
        <v>1323459</v>
      </c>
      <c r="H1342">
        <f>0</f>
        <v>1530</v>
      </c>
      <c r="I1342">
        <f>G1342+H1342</f>
        <v>1324989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300</v>
      </c>
      <c r="C1343" t="s">
        <v>92</v>
      </c>
      <c r="D1343" t="s">
        <v>83</v>
      </c>
      <c r="E1343" t="s">
        <v>115</v>
      </c>
      <c r="F1343">
        <v>8</v>
      </c>
      <c r="G1343">
        <f>MAX(I1342,I1340)</f>
        <v>1325321</v>
      </c>
      <c r="H1343">
        <f>CEILING((dram_access_latency+F1343/dram_bandwidth)*frequency,1)</f>
        <v>101</v>
      </c>
      <c r="I1343">
        <f>G1343+H1343</f>
        <v>1325422</v>
      </c>
      <c r="J1343">
        <f>IF(AND(D1343&lt;&gt;"dram",D1343&lt;&gt;"control"),H1343,0)</f>
        <v>0</v>
      </c>
      <c r="K1343">
        <f>IF(D1343="dram",H1343,0)</f>
        <v>101</v>
      </c>
      <c r="L1343">
        <v>0</v>
      </c>
      <c r="M1343">
        <v>8</v>
      </c>
    </row>
    <row r="1344" spans="1:13">
      <c r="A1344">
        <v>1342</v>
      </c>
      <c r="B1344" t="s">
        <v>301</v>
      </c>
      <c r="C1344" t="s">
        <v>92</v>
      </c>
      <c r="D1344" t="s">
        <v>83</v>
      </c>
      <c r="E1344" t="s">
        <v>115</v>
      </c>
      <c r="F1344">
        <v>256</v>
      </c>
      <c r="G1344">
        <f>MAX(I1342,I1343)</f>
        <v>1325422</v>
      </c>
      <c r="H1344">
        <f>CEILING((dram_access_latency+F1344/dram_bandwidth)*frequency,1)</f>
        <v>104</v>
      </c>
      <c r="I1344">
        <f>G1344+H1344</f>
        <v>1325526</v>
      </c>
      <c r="J1344">
        <f>IF(AND(D1344&lt;&gt;"dram",D1344&lt;&gt;"control"),H1344,0)</f>
        <v>0</v>
      </c>
      <c r="K1344">
        <f>IF(D1344="dram",H1344,0)</f>
        <v>104</v>
      </c>
      <c r="L1344">
        <v>0</v>
      </c>
      <c r="M1344">
        <v>256</v>
      </c>
    </row>
    <row r="1345" spans="1:13">
      <c r="A1345">
        <v>1343</v>
      </c>
      <c r="B1345" t="s">
        <v>294</v>
      </c>
      <c r="C1345" t="s">
        <v>82</v>
      </c>
      <c r="D1345" t="s">
        <v>83</v>
      </c>
      <c r="E1345" t="s">
        <v>116</v>
      </c>
      <c r="F1345">
        <v>49152</v>
      </c>
      <c r="G1345">
        <f>MAX(I1342,I1344)</f>
        <v>1325526</v>
      </c>
      <c r="H1345">
        <f>CEILING((dram_access_latency+F1345/dram_bandwidth)*frequency,1)</f>
        <v>868</v>
      </c>
      <c r="I1345">
        <f>G1345+H1345</f>
        <v>1326394</v>
      </c>
      <c r="J1345">
        <f>IF(AND(D1345&lt;&gt;"dram",D1345&lt;&gt;"control"),H1345,0)</f>
        <v>0</v>
      </c>
      <c r="K1345">
        <f>IF(D1345="dram",H1345,0)</f>
        <v>868</v>
      </c>
      <c r="L1345">
        <v>49152</v>
      </c>
      <c r="M1345">
        <v>0</v>
      </c>
    </row>
    <row r="1346" spans="1:13">
      <c r="A1346">
        <v>1344</v>
      </c>
      <c r="B1346" t="s">
        <v>295</v>
      </c>
      <c r="C1346" t="s">
        <v>82</v>
      </c>
      <c r="D1346" t="s">
        <v>83</v>
      </c>
      <c r="E1346" t="s">
        <v>116</v>
      </c>
      <c r="F1346">
        <v>1024</v>
      </c>
      <c r="G1346">
        <f>MAX(I1342,I1345)</f>
        <v>1326394</v>
      </c>
      <c r="H1346">
        <f>CEILING((dram_access_latency+F1346/dram_bandwidth)*frequency,1)</f>
        <v>116</v>
      </c>
      <c r="I1346">
        <f>G1346+H1346</f>
        <v>1326510</v>
      </c>
      <c r="J1346">
        <f>IF(AND(D1346&lt;&gt;"dram",D1346&lt;&gt;"control"),H1346,0)</f>
        <v>0</v>
      </c>
      <c r="K1346">
        <f>IF(D1346="dram",H1346,0)</f>
        <v>116</v>
      </c>
      <c r="L1346">
        <v>1024</v>
      </c>
      <c r="M1346">
        <v>0</v>
      </c>
    </row>
    <row r="1347" spans="1:13">
      <c r="A1347">
        <v>1345</v>
      </c>
      <c r="B1347" t="s">
        <v>296</v>
      </c>
      <c r="C1347" t="s">
        <v>82</v>
      </c>
      <c r="D1347" t="s">
        <v>83</v>
      </c>
      <c r="E1347" t="s">
        <v>116</v>
      </c>
      <c r="F1347">
        <v>1536</v>
      </c>
      <c r="G1347">
        <f>MAX(I1342,I1346)</f>
        <v>1326510</v>
      </c>
      <c r="H1347">
        <f>CEILING((dram_access_latency+F1347/dram_bandwidth)*frequency,1)</f>
        <v>124</v>
      </c>
      <c r="I1347">
        <f>G1347+H1347</f>
        <v>1326634</v>
      </c>
      <c r="J1347">
        <f>IF(AND(D1347&lt;&gt;"dram",D1347&lt;&gt;"control"),H1347,0)</f>
        <v>0</v>
      </c>
      <c r="K1347">
        <f>IF(D1347="dram",H1347,0)</f>
        <v>124</v>
      </c>
      <c r="L1347">
        <v>1536</v>
      </c>
      <c r="M1347">
        <v>0</v>
      </c>
    </row>
    <row r="1348" spans="1:13">
      <c r="A1348">
        <v>1346</v>
      </c>
      <c r="B1348" t="s">
        <v>297</v>
      </c>
      <c r="C1348" t="s">
        <v>82</v>
      </c>
      <c r="D1348" t="s">
        <v>83</v>
      </c>
      <c r="E1348" t="s">
        <v>116</v>
      </c>
      <c r="F1348">
        <v>32</v>
      </c>
      <c r="G1348">
        <f>MAX(I1342,I1347)</f>
        <v>1326634</v>
      </c>
      <c r="H1348">
        <f>CEILING((dram_access_latency+F1348/dram_bandwidth)*frequency,1)</f>
        <v>101</v>
      </c>
      <c r="I1348">
        <f>G1348+H1348</f>
        <v>1326735</v>
      </c>
      <c r="J1348">
        <f>IF(AND(D1348&lt;&gt;"dram",D1348&lt;&gt;"control"),H1348,0)</f>
        <v>0</v>
      </c>
      <c r="K1348">
        <f>IF(D1348="dram",H1348,0)</f>
        <v>101</v>
      </c>
      <c r="L1348">
        <v>32</v>
      </c>
      <c r="M1348">
        <v>0</v>
      </c>
    </row>
    <row r="1349" spans="1:13">
      <c r="A1349">
        <v>1347</v>
      </c>
      <c r="B1349" t="s">
        <v>298</v>
      </c>
      <c r="C1349" t="s">
        <v>82</v>
      </c>
      <c r="D1349" t="s">
        <v>83</v>
      </c>
      <c r="E1349" t="s">
        <v>116</v>
      </c>
      <c r="F1349">
        <v>1024</v>
      </c>
      <c r="G1349">
        <f>MAX(I1342,I1348)</f>
        <v>1326735</v>
      </c>
      <c r="H1349">
        <f>CEILING((dram_access_latency+F1349/dram_bandwidth)*frequency,1)</f>
        <v>116</v>
      </c>
      <c r="I1349">
        <f>G1349+H1349</f>
        <v>1326851</v>
      </c>
      <c r="J1349">
        <f>IF(AND(D1349&lt;&gt;"dram",D1349&lt;&gt;"control"),H1349,0)</f>
        <v>0</v>
      </c>
      <c r="K1349">
        <f>IF(D1349="dram",H1349,0)</f>
        <v>116</v>
      </c>
      <c r="L1349">
        <v>1024</v>
      </c>
      <c r="M1349">
        <v>0</v>
      </c>
    </row>
    <row r="1350" spans="1:13">
      <c r="A1350">
        <v>1348</v>
      </c>
      <c r="B1350" t="s">
        <v>49</v>
      </c>
      <c r="C1350" t="s">
        <v>90</v>
      </c>
      <c r="D1350" t="s">
        <v>108</v>
      </c>
      <c r="E1350" t="s">
        <v>116</v>
      </c>
      <c r="F1350">
        <v>0</v>
      </c>
      <c r="G1350">
        <f>MAX(I1341,I1341,I1345,I1346,I1347,I1348,I1349,I1343,I1344)</f>
        <v>1326851</v>
      </c>
      <c r="H1350">
        <f>'Operations'!I19</f>
        <v>1198</v>
      </c>
      <c r="I1350">
        <f>G1350+H1350</f>
        <v>1328049</v>
      </c>
      <c r="J1350">
        <f>IF(AND(D1350&lt;&gt;"dram",D1350&lt;&gt;"control"),H1350,0)</f>
        <v>1198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299</v>
      </c>
      <c r="C1351" t="s">
        <v>88</v>
      </c>
      <c r="D1351" t="s">
        <v>89</v>
      </c>
      <c r="E1351" t="s">
        <v>116</v>
      </c>
      <c r="F1351">
        <v>0</v>
      </c>
      <c r="G1351">
        <f>MAX(I1342,I1341)</f>
        <v>1324989</v>
      </c>
      <c r="H1351">
        <f>0</f>
        <v>1530</v>
      </c>
      <c r="I1351">
        <f>G1351+H1351</f>
        <v>1326519</v>
      </c>
      <c r="J1351">
        <f>IF(AND(D1351&lt;&gt;"dram",D1351&lt;&gt;"control"),H1351,0)</f>
        <v>0</v>
      </c>
      <c r="K1351">
        <f>IF(D1351="dram",H1351,0)</f>
        <v>0</v>
      </c>
      <c r="L1351">
        <v>0</v>
      </c>
      <c r="M1351">
        <v>0</v>
      </c>
    </row>
    <row r="1352" spans="1:13">
      <c r="A1352">
        <v>1350</v>
      </c>
      <c r="B1352" t="s">
        <v>300</v>
      </c>
      <c r="C1352" t="s">
        <v>92</v>
      </c>
      <c r="D1352" t="s">
        <v>83</v>
      </c>
      <c r="E1352" t="s">
        <v>116</v>
      </c>
      <c r="F1352">
        <v>8</v>
      </c>
      <c r="G1352">
        <f>MAX(I1351,I1349)</f>
        <v>1326851</v>
      </c>
      <c r="H1352">
        <f>CEILING((dram_access_latency+F1352/dram_bandwidth)*frequency,1)</f>
        <v>101</v>
      </c>
      <c r="I1352">
        <f>G1352+H1352</f>
        <v>1326952</v>
      </c>
      <c r="J1352">
        <f>IF(AND(D1352&lt;&gt;"dram",D1352&lt;&gt;"control"),H1352,0)</f>
        <v>0</v>
      </c>
      <c r="K1352">
        <f>IF(D1352="dram",H1352,0)</f>
        <v>101</v>
      </c>
      <c r="L1352">
        <v>0</v>
      </c>
      <c r="M1352">
        <v>8</v>
      </c>
    </row>
    <row r="1353" spans="1:13">
      <c r="A1353">
        <v>1351</v>
      </c>
      <c r="B1353" t="s">
        <v>301</v>
      </c>
      <c r="C1353" t="s">
        <v>92</v>
      </c>
      <c r="D1353" t="s">
        <v>83</v>
      </c>
      <c r="E1353" t="s">
        <v>116</v>
      </c>
      <c r="F1353">
        <v>256</v>
      </c>
      <c r="G1353">
        <f>MAX(I1351,I1352)</f>
        <v>1326952</v>
      </c>
      <c r="H1353">
        <f>CEILING((dram_access_latency+F1353/dram_bandwidth)*frequency,1)</f>
        <v>104</v>
      </c>
      <c r="I1353">
        <f>G1353+H1353</f>
        <v>1327056</v>
      </c>
      <c r="J1353">
        <f>IF(AND(D1353&lt;&gt;"dram",D1353&lt;&gt;"control"),H1353,0)</f>
        <v>0</v>
      </c>
      <c r="K1353">
        <f>IF(D1353="dram",H1353,0)</f>
        <v>104</v>
      </c>
      <c r="L1353">
        <v>0</v>
      </c>
      <c r="M1353">
        <v>256</v>
      </c>
    </row>
    <row r="1354" spans="1:13">
      <c r="A1354">
        <v>1352</v>
      </c>
      <c r="B1354" t="s">
        <v>294</v>
      </c>
      <c r="C1354" t="s">
        <v>82</v>
      </c>
      <c r="D1354" t="s">
        <v>83</v>
      </c>
      <c r="E1354" t="s">
        <v>117</v>
      </c>
      <c r="F1354">
        <v>49152</v>
      </c>
      <c r="G1354">
        <f>MAX(I1351,I1353)</f>
        <v>1327056</v>
      </c>
      <c r="H1354">
        <f>CEILING((dram_access_latency+F1354/dram_bandwidth)*frequency,1)</f>
        <v>868</v>
      </c>
      <c r="I1354">
        <f>G1354+H1354</f>
        <v>1327924</v>
      </c>
      <c r="J1354">
        <f>IF(AND(D1354&lt;&gt;"dram",D1354&lt;&gt;"control"),H1354,0)</f>
        <v>0</v>
      </c>
      <c r="K1354">
        <f>IF(D1354="dram",H1354,0)</f>
        <v>868</v>
      </c>
      <c r="L1354">
        <v>49152</v>
      </c>
      <c r="M1354">
        <v>0</v>
      </c>
    </row>
    <row r="1355" spans="1:13">
      <c r="A1355">
        <v>1353</v>
      </c>
      <c r="B1355" t="s">
        <v>295</v>
      </c>
      <c r="C1355" t="s">
        <v>82</v>
      </c>
      <c r="D1355" t="s">
        <v>83</v>
      </c>
      <c r="E1355" t="s">
        <v>117</v>
      </c>
      <c r="F1355">
        <v>1024</v>
      </c>
      <c r="G1355">
        <f>MAX(I1351,I1354)</f>
        <v>1327924</v>
      </c>
      <c r="H1355">
        <f>CEILING((dram_access_latency+F1355/dram_bandwidth)*frequency,1)</f>
        <v>116</v>
      </c>
      <c r="I1355">
        <f>G1355+H1355</f>
        <v>1328040</v>
      </c>
      <c r="J1355">
        <f>IF(AND(D1355&lt;&gt;"dram",D1355&lt;&gt;"control"),H1355,0)</f>
        <v>0</v>
      </c>
      <c r="K1355">
        <f>IF(D1355="dram",H1355,0)</f>
        <v>116</v>
      </c>
      <c r="L1355">
        <v>1024</v>
      </c>
      <c r="M1355">
        <v>0</v>
      </c>
    </row>
    <row r="1356" spans="1:13">
      <c r="A1356">
        <v>1354</v>
      </c>
      <c r="B1356" t="s">
        <v>296</v>
      </c>
      <c r="C1356" t="s">
        <v>82</v>
      </c>
      <c r="D1356" t="s">
        <v>83</v>
      </c>
      <c r="E1356" t="s">
        <v>117</v>
      </c>
      <c r="F1356">
        <v>1536</v>
      </c>
      <c r="G1356">
        <f>MAX(I1351,I1355)</f>
        <v>1328040</v>
      </c>
      <c r="H1356">
        <f>CEILING((dram_access_latency+F1356/dram_bandwidth)*frequency,1)</f>
        <v>124</v>
      </c>
      <c r="I1356">
        <f>G1356+H1356</f>
        <v>1328164</v>
      </c>
      <c r="J1356">
        <f>IF(AND(D1356&lt;&gt;"dram",D1356&lt;&gt;"control"),H1356,0)</f>
        <v>0</v>
      </c>
      <c r="K1356">
        <f>IF(D1356="dram",H1356,0)</f>
        <v>124</v>
      </c>
      <c r="L1356">
        <v>1536</v>
      </c>
      <c r="M1356">
        <v>0</v>
      </c>
    </row>
    <row r="1357" spans="1:13">
      <c r="A1357">
        <v>1355</v>
      </c>
      <c r="B1357" t="s">
        <v>297</v>
      </c>
      <c r="C1357" t="s">
        <v>82</v>
      </c>
      <c r="D1357" t="s">
        <v>83</v>
      </c>
      <c r="E1357" t="s">
        <v>117</v>
      </c>
      <c r="F1357">
        <v>32</v>
      </c>
      <c r="G1357">
        <f>MAX(I1351,I1356)</f>
        <v>1328164</v>
      </c>
      <c r="H1357">
        <f>CEILING((dram_access_latency+F1357/dram_bandwidth)*frequency,1)</f>
        <v>101</v>
      </c>
      <c r="I1357">
        <f>G1357+H1357</f>
        <v>1328265</v>
      </c>
      <c r="J1357">
        <f>IF(AND(D1357&lt;&gt;"dram",D1357&lt;&gt;"control"),H1357,0)</f>
        <v>0</v>
      </c>
      <c r="K1357">
        <f>IF(D1357="dram",H1357,0)</f>
        <v>101</v>
      </c>
      <c r="L1357">
        <v>32</v>
      </c>
      <c r="M1357">
        <v>0</v>
      </c>
    </row>
    <row r="1358" spans="1:13">
      <c r="A1358">
        <v>1356</v>
      </c>
      <c r="B1358" t="s">
        <v>298</v>
      </c>
      <c r="C1358" t="s">
        <v>82</v>
      </c>
      <c r="D1358" t="s">
        <v>83</v>
      </c>
      <c r="E1358" t="s">
        <v>117</v>
      </c>
      <c r="F1358">
        <v>1024</v>
      </c>
      <c r="G1358">
        <f>MAX(I1351,I1357)</f>
        <v>1328265</v>
      </c>
      <c r="H1358">
        <f>CEILING((dram_access_latency+F1358/dram_bandwidth)*frequency,1)</f>
        <v>116</v>
      </c>
      <c r="I1358">
        <f>G1358+H1358</f>
        <v>1328381</v>
      </c>
      <c r="J1358">
        <f>IF(AND(D1358&lt;&gt;"dram",D1358&lt;&gt;"control"),H1358,0)</f>
        <v>0</v>
      </c>
      <c r="K1358">
        <f>IF(D1358="dram",H1358,0)</f>
        <v>116</v>
      </c>
      <c r="L1358">
        <v>1024</v>
      </c>
      <c r="M1358">
        <v>0</v>
      </c>
    </row>
    <row r="1359" spans="1:13">
      <c r="A1359">
        <v>1357</v>
      </c>
      <c r="B1359" t="s">
        <v>49</v>
      </c>
      <c r="C1359" t="s">
        <v>90</v>
      </c>
      <c r="D1359" t="s">
        <v>108</v>
      </c>
      <c r="E1359" t="s">
        <v>117</v>
      </c>
      <c r="F1359">
        <v>0</v>
      </c>
      <c r="G1359">
        <f>MAX(I1350,I1350,I1354,I1355,I1356,I1357,I1358,I1352,I1353)</f>
        <v>1328381</v>
      </c>
      <c r="H1359">
        <f>'Operations'!I19</f>
        <v>1198</v>
      </c>
      <c r="I1359">
        <f>G1359+H1359</f>
        <v>1329579</v>
      </c>
      <c r="J1359">
        <f>IF(AND(D1359&lt;&gt;"dram",D1359&lt;&gt;"control"),H1359,0)</f>
        <v>1198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299</v>
      </c>
      <c r="C1360" t="s">
        <v>88</v>
      </c>
      <c r="D1360" t="s">
        <v>89</v>
      </c>
      <c r="E1360" t="s">
        <v>117</v>
      </c>
      <c r="F1360">
        <v>0</v>
      </c>
      <c r="G1360">
        <f>MAX(I1351,I1350)</f>
        <v>1326519</v>
      </c>
      <c r="H1360">
        <f>0</f>
        <v>1530</v>
      </c>
      <c r="I1360">
        <f>G1360+H1360</f>
        <v>1328049</v>
      </c>
      <c r="J1360">
        <f>IF(AND(D1360&lt;&gt;"dram",D1360&lt;&gt;"control"),H1360,0)</f>
        <v>0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300</v>
      </c>
      <c r="C1361" t="s">
        <v>92</v>
      </c>
      <c r="D1361" t="s">
        <v>83</v>
      </c>
      <c r="E1361" t="s">
        <v>117</v>
      </c>
      <c r="F1361">
        <v>8</v>
      </c>
      <c r="G1361">
        <f>MAX(I1360,I1358)</f>
        <v>1328381</v>
      </c>
      <c r="H1361">
        <f>CEILING((dram_access_latency+F1361/dram_bandwidth)*frequency,1)</f>
        <v>101</v>
      </c>
      <c r="I1361">
        <f>G1361+H1361</f>
        <v>1328482</v>
      </c>
      <c r="J1361">
        <f>IF(AND(D1361&lt;&gt;"dram",D1361&lt;&gt;"control"),H1361,0)</f>
        <v>0</v>
      </c>
      <c r="K1361">
        <f>IF(D1361="dram",H1361,0)</f>
        <v>101</v>
      </c>
      <c r="L1361">
        <v>0</v>
      </c>
      <c r="M1361">
        <v>8</v>
      </c>
    </row>
    <row r="1362" spans="1:13">
      <c r="A1362">
        <v>1360</v>
      </c>
      <c r="B1362" t="s">
        <v>301</v>
      </c>
      <c r="C1362" t="s">
        <v>92</v>
      </c>
      <c r="D1362" t="s">
        <v>83</v>
      </c>
      <c r="E1362" t="s">
        <v>117</v>
      </c>
      <c r="F1362">
        <v>256</v>
      </c>
      <c r="G1362">
        <f>MAX(I1360,I1361)</f>
        <v>1328482</v>
      </c>
      <c r="H1362">
        <f>CEILING((dram_access_latency+F1362/dram_bandwidth)*frequency,1)</f>
        <v>104</v>
      </c>
      <c r="I1362">
        <f>G1362+H1362</f>
        <v>1328586</v>
      </c>
      <c r="J1362">
        <f>IF(AND(D1362&lt;&gt;"dram",D1362&lt;&gt;"control"),H1362,0)</f>
        <v>0</v>
      </c>
      <c r="K1362">
        <f>IF(D1362="dram",H1362,0)</f>
        <v>104</v>
      </c>
      <c r="L1362">
        <v>0</v>
      </c>
      <c r="M1362">
        <v>256</v>
      </c>
    </row>
    <row r="1363" spans="1:13">
      <c r="A1363">
        <v>1361</v>
      </c>
      <c r="B1363" t="s">
        <v>294</v>
      </c>
      <c r="C1363" t="s">
        <v>82</v>
      </c>
      <c r="D1363" t="s">
        <v>83</v>
      </c>
      <c r="E1363" t="s">
        <v>118</v>
      </c>
      <c r="F1363">
        <v>49152</v>
      </c>
      <c r="G1363">
        <f>MAX(I1360,I1362)</f>
        <v>1328586</v>
      </c>
      <c r="H1363">
        <f>CEILING((dram_access_latency+F1363/dram_bandwidth)*frequency,1)</f>
        <v>868</v>
      </c>
      <c r="I1363">
        <f>G1363+H1363</f>
        <v>1329454</v>
      </c>
      <c r="J1363">
        <f>IF(AND(D1363&lt;&gt;"dram",D1363&lt;&gt;"control"),H1363,0)</f>
        <v>0</v>
      </c>
      <c r="K1363">
        <f>IF(D1363="dram",H1363,0)</f>
        <v>868</v>
      </c>
      <c r="L1363">
        <v>49152</v>
      </c>
      <c r="M1363">
        <v>0</v>
      </c>
    </row>
    <row r="1364" spans="1:13">
      <c r="A1364">
        <v>1362</v>
      </c>
      <c r="B1364" t="s">
        <v>295</v>
      </c>
      <c r="C1364" t="s">
        <v>82</v>
      </c>
      <c r="D1364" t="s">
        <v>83</v>
      </c>
      <c r="E1364" t="s">
        <v>118</v>
      </c>
      <c r="F1364">
        <v>1024</v>
      </c>
      <c r="G1364">
        <f>MAX(I1360,I1363)</f>
        <v>1329454</v>
      </c>
      <c r="H1364">
        <f>CEILING((dram_access_latency+F1364/dram_bandwidth)*frequency,1)</f>
        <v>116</v>
      </c>
      <c r="I1364">
        <f>G1364+H1364</f>
        <v>1329570</v>
      </c>
      <c r="J1364">
        <f>IF(AND(D1364&lt;&gt;"dram",D1364&lt;&gt;"control"),H1364,0)</f>
        <v>0</v>
      </c>
      <c r="K1364">
        <f>IF(D1364="dram",H1364,0)</f>
        <v>116</v>
      </c>
      <c r="L1364">
        <v>1024</v>
      </c>
      <c r="M1364">
        <v>0</v>
      </c>
    </row>
    <row r="1365" spans="1:13">
      <c r="A1365">
        <v>1363</v>
      </c>
      <c r="B1365" t="s">
        <v>296</v>
      </c>
      <c r="C1365" t="s">
        <v>82</v>
      </c>
      <c r="D1365" t="s">
        <v>83</v>
      </c>
      <c r="E1365" t="s">
        <v>118</v>
      </c>
      <c r="F1365">
        <v>1536</v>
      </c>
      <c r="G1365">
        <f>MAX(I1360,I1364)</f>
        <v>1329570</v>
      </c>
      <c r="H1365">
        <f>CEILING((dram_access_latency+F1365/dram_bandwidth)*frequency,1)</f>
        <v>124</v>
      </c>
      <c r="I1365">
        <f>G1365+H1365</f>
        <v>1329694</v>
      </c>
      <c r="J1365">
        <f>IF(AND(D1365&lt;&gt;"dram",D1365&lt;&gt;"control"),H1365,0)</f>
        <v>0</v>
      </c>
      <c r="K1365">
        <f>IF(D1365="dram",H1365,0)</f>
        <v>124</v>
      </c>
      <c r="L1365">
        <v>1536</v>
      </c>
      <c r="M1365">
        <v>0</v>
      </c>
    </row>
    <row r="1366" spans="1:13">
      <c r="A1366">
        <v>1364</v>
      </c>
      <c r="B1366" t="s">
        <v>297</v>
      </c>
      <c r="C1366" t="s">
        <v>82</v>
      </c>
      <c r="D1366" t="s">
        <v>83</v>
      </c>
      <c r="E1366" t="s">
        <v>118</v>
      </c>
      <c r="F1366">
        <v>32</v>
      </c>
      <c r="G1366">
        <f>MAX(I1360,I1365)</f>
        <v>1329694</v>
      </c>
      <c r="H1366">
        <f>CEILING((dram_access_latency+F1366/dram_bandwidth)*frequency,1)</f>
        <v>101</v>
      </c>
      <c r="I1366">
        <f>G1366+H1366</f>
        <v>1329795</v>
      </c>
      <c r="J1366">
        <f>IF(AND(D1366&lt;&gt;"dram",D1366&lt;&gt;"control"),H1366,0)</f>
        <v>0</v>
      </c>
      <c r="K1366">
        <f>IF(D1366="dram",H1366,0)</f>
        <v>101</v>
      </c>
      <c r="L1366">
        <v>32</v>
      </c>
      <c r="M1366">
        <v>0</v>
      </c>
    </row>
    <row r="1367" spans="1:13">
      <c r="A1367">
        <v>1365</v>
      </c>
      <c r="B1367" t="s">
        <v>298</v>
      </c>
      <c r="C1367" t="s">
        <v>82</v>
      </c>
      <c r="D1367" t="s">
        <v>83</v>
      </c>
      <c r="E1367" t="s">
        <v>118</v>
      </c>
      <c r="F1367">
        <v>1024</v>
      </c>
      <c r="G1367">
        <f>MAX(I1360,I1366)</f>
        <v>1329795</v>
      </c>
      <c r="H1367">
        <f>CEILING((dram_access_latency+F1367/dram_bandwidth)*frequency,1)</f>
        <v>116</v>
      </c>
      <c r="I1367">
        <f>G1367+H1367</f>
        <v>1329911</v>
      </c>
      <c r="J1367">
        <f>IF(AND(D1367&lt;&gt;"dram",D1367&lt;&gt;"control"),H1367,0)</f>
        <v>0</v>
      </c>
      <c r="K1367">
        <f>IF(D1367="dram",H1367,0)</f>
        <v>116</v>
      </c>
      <c r="L1367">
        <v>1024</v>
      </c>
      <c r="M1367">
        <v>0</v>
      </c>
    </row>
    <row r="1368" spans="1:13">
      <c r="A1368">
        <v>1366</v>
      </c>
      <c r="B1368" t="s">
        <v>49</v>
      </c>
      <c r="C1368" t="s">
        <v>90</v>
      </c>
      <c r="D1368" t="s">
        <v>108</v>
      </c>
      <c r="E1368" t="s">
        <v>118</v>
      </c>
      <c r="F1368">
        <v>0</v>
      </c>
      <c r="G1368">
        <f>MAX(I1359,I1359,I1363,I1364,I1365,I1366,I1367,I1361,I1362)</f>
        <v>1329911</v>
      </c>
      <c r="H1368">
        <f>'Operations'!I19</f>
        <v>1198</v>
      </c>
      <c r="I1368">
        <f>G1368+H1368</f>
        <v>1331109</v>
      </c>
      <c r="J1368">
        <f>IF(AND(D1368&lt;&gt;"dram",D1368&lt;&gt;"control"),H1368,0)</f>
        <v>1198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299</v>
      </c>
      <c r="C1369" t="s">
        <v>88</v>
      </c>
      <c r="D1369" t="s">
        <v>89</v>
      </c>
      <c r="E1369" t="s">
        <v>118</v>
      </c>
      <c r="F1369">
        <v>0</v>
      </c>
      <c r="G1369">
        <f>MAX(I1360,I1359)</f>
        <v>1328049</v>
      </c>
      <c r="H1369">
        <f>0</f>
        <v>1530</v>
      </c>
      <c r="I1369">
        <f>G1369+H1369</f>
        <v>1329579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300</v>
      </c>
      <c r="C1370" t="s">
        <v>92</v>
      </c>
      <c r="D1370" t="s">
        <v>83</v>
      </c>
      <c r="E1370" t="s">
        <v>118</v>
      </c>
      <c r="F1370">
        <v>8</v>
      </c>
      <c r="G1370">
        <f>MAX(I1369,I1367)</f>
        <v>1329911</v>
      </c>
      <c r="H1370">
        <f>CEILING((dram_access_latency+F1370/dram_bandwidth)*frequency,1)</f>
        <v>101</v>
      </c>
      <c r="I1370">
        <f>G1370+H1370</f>
        <v>1330012</v>
      </c>
      <c r="J1370">
        <f>IF(AND(D1370&lt;&gt;"dram",D1370&lt;&gt;"control"),H1370,0)</f>
        <v>0</v>
      </c>
      <c r="K1370">
        <f>IF(D1370="dram",H1370,0)</f>
        <v>101</v>
      </c>
      <c r="L1370">
        <v>0</v>
      </c>
      <c r="M1370">
        <v>8</v>
      </c>
    </row>
    <row r="1371" spans="1:13">
      <c r="A1371">
        <v>1369</v>
      </c>
      <c r="B1371" t="s">
        <v>301</v>
      </c>
      <c r="C1371" t="s">
        <v>92</v>
      </c>
      <c r="D1371" t="s">
        <v>83</v>
      </c>
      <c r="E1371" t="s">
        <v>118</v>
      </c>
      <c r="F1371">
        <v>256</v>
      </c>
      <c r="G1371">
        <f>MAX(I1369,I1370)</f>
        <v>1330012</v>
      </c>
      <c r="H1371">
        <f>CEILING((dram_access_latency+F1371/dram_bandwidth)*frequency,1)</f>
        <v>104</v>
      </c>
      <c r="I1371">
        <f>G1371+H1371</f>
        <v>1330116</v>
      </c>
      <c r="J1371">
        <f>IF(AND(D1371&lt;&gt;"dram",D1371&lt;&gt;"control"),H1371,0)</f>
        <v>0</v>
      </c>
      <c r="K1371">
        <f>IF(D1371="dram",H1371,0)</f>
        <v>104</v>
      </c>
      <c r="L1371">
        <v>0</v>
      </c>
      <c r="M1371">
        <v>256</v>
      </c>
    </row>
    <row r="1372" spans="1:13">
      <c r="A1372">
        <v>1370</v>
      </c>
      <c r="B1372" t="s">
        <v>294</v>
      </c>
      <c r="C1372" t="s">
        <v>82</v>
      </c>
      <c r="D1372" t="s">
        <v>83</v>
      </c>
      <c r="E1372" t="s">
        <v>119</v>
      </c>
      <c r="F1372">
        <v>49152</v>
      </c>
      <c r="G1372">
        <f>MAX(I1369,I1371)</f>
        <v>1330116</v>
      </c>
      <c r="H1372">
        <f>CEILING((dram_access_latency+F1372/dram_bandwidth)*frequency,1)</f>
        <v>868</v>
      </c>
      <c r="I1372">
        <f>G1372+H1372</f>
        <v>1330984</v>
      </c>
      <c r="J1372">
        <f>IF(AND(D1372&lt;&gt;"dram",D1372&lt;&gt;"control"),H1372,0)</f>
        <v>0</v>
      </c>
      <c r="K1372">
        <f>IF(D1372="dram",H1372,0)</f>
        <v>868</v>
      </c>
      <c r="L1372">
        <v>49152</v>
      </c>
      <c r="M1372">
        <v>0</v>
      </c>
    </row>
    <row r="1373" spans="1:13">
      <c r="A1373">
        <v>1371</v>
      </c>
      <c r="B1373" t="s">
        <v>295</v>
      </c>
      <c r="C1373" t="s">
        <v>82</v>
      </c>
      <c r="D1373" t="s">
        <v>83</v>
      </c>
      <c r="E1373" t="s">
        <v>119</v>
      </c>
      <c r="F1373">
        <v>1024</v>
      </c>
      <c r="G1373">
        <f>MAX(I1369,I1372)</f>
        <v>1330984</v>
      </c>
      <c r="H1373">
        <f>CEILING((dram_access_latency+F1373/dram_bandwidth)*frequency,1)</f>
        <v>116</v>
      </c>
      <c r="I1373">
        <f>G1373+H1373</f>
        <v>1331100</v>
      </c>
      <c r="J1373">
        <f>IF(AND(D1373&lt;&gt;"dram",D1373&lt;&gt;"control"),H1373,0)</f>
        <v>0</v>
      </c>
      <c r="K1373">
        <f>IF(D1373="dram",H1373,0)</f>
        <v>116</v>
      </c>
      <c r="L1373">
        <v>1024</v>
      </c>
      <c r="M1373">
        <v>0</v>
      </c>
    </row>
    <row r="1374" spans="1:13">
      <c r="A1374">
        <v>1372</v>
      </c>
      <c r="B1374" t="s">
        <v>296</v>
      </c>
      <c r="C1374" t="s">
        <v>82</v>
      </c>
      <c r="D1374" t="s">
        <v>83</v>
      </c>
      <c r="E1374" t="s">
        <v>119</v>
      </c>
      <c r="F1374">
        <v>1536</v>
      </c>
      <c r="G1374">
        <f>MAX(I1369,I1373)</f>
        <v>1331100</v>
      </c>
      <c r="H1374">
        <f>CEILING((dram_access_latency+F1374/dram_bandwidth)*frequency,1)</f>
        <v>124</v>
      </c>
      <c r="I1374">
        <f>G1374+H1374</f>
        <v>1331224</v>
      </c>
      <c r="J1374">
        <f>IF(AND(D1374&lt;&gt;"dram",D1374&lt;&gt;"control"),H1374,0)</f>
        <v>0</v>
      </c>
      <c r="K1374">
        <f>IF(D1374="dram",H1374,0)</f>
        <v>124</v>
      </c>
      <c r="L1374">
        <v>1536</v>
      </c>
      <c r="M1374">
        <v>0</v>
      </c>
    </row>
    <row r="1375" spans="1:13">
      <c r="A1375">
        <v>1373</v>
      </c>
      <c r="B1375" t="s">
        <v>297</v>
      </c>
      <c r="C1375" t="s">
        <v>82</v>
      </c>
      <c r="D1375" t="s">
        <v>83</v>
      </c>
      <c r="E1375" t="s">
        <v>119</v>
      </c>
      <c r="F1375">
        <v>32</v>
      </c>
      <c r="G1375">
        <f>MAX(I1369,I1374)</f>
        <v>1331224</v>
      </c>
      <c r="H1375">
        <f>CEILING((dram_access_latency+F1375/dram_bandwidth)*frequency,1)</f>
        <v>101</v>
      </c>
      <c r="I1375">
        <f>G1375+H1375</f>
        <v>1331325</v>
      </c>
      <c r="J1375">
        <f>IF(AND(D1375&lt;&gt;"dram",D1375&lt;&gt;"control"),H1375,0)</f>
        <v>0</v>
      </c>
      <c r="K1375">
        <f>IF(D1375="dram",H1375,0)</f>
        <v>101</v>
      </c>
      <c r="L1375">
        <v>32</v>
      </c>
      <c r="M1375">
        <v>0</v>
      </c>
    </row>
    <row r="1376" spans="1:13">
      <c r="A1376">
        <v>1374</v>
      </c>
      <c r="B1376" t="s">
        <v>298</v>
      </c>
      <c r="C1376" t="s">
        <v>82</v>
      </c>
      <c r="D1376" t="s">
        <v>83</v>
      </c>
      <c r="E1376" t="s">
        <v>119</v>
      </c>
      <c r="F1376">
        <v>1024</v>
      </c>
      <c r="G1376">
        <f>MAX(I1369,I1375)</f>
        <v>1331325</v>
      </c>
      <c r="H1376">
        <f>CEILING((dram_access_latency+F1376/dram_bandwidth)*frequency,1)</f>
        <v>116</v>
      </c>
      <c r="I1376">
        <f>G1376+H1376</f>
        <v>1331441</v>
      </c>
      <c r="J1376">
        <f>IF(AND(D1376&lt;&gt;"dram",D1376&lt;&gt;"control"),H1376,0)</f>
        <v>0</v>
      </c>
      <c r="K1376">
        <f>IF(D1376="dram",H1376,0)</f>
        <v>116</v>
      </c>
      <c r="L1376">
        <v>1024</v>
      </c>
      <c r="M1376">
        <v>0</v>
      </c>
    </row>
    <row r="1377" spans="1:13">
      <c r="A1377">
        <v>1375</v>
      </c>
      <c r="B1377" t="s">
        <v>49</v>
      </c>
      <c r="C1377" t="s">
        <v>90</v>
      </c>
      <c r="D1377" t="s">
        <v>108</v>
      </c>
      <c r="E1377" t="s">
        <v>119</v>
      </c>
      <c r="F1377">
        <v>0</v>
      </c>
      <c r="G1377">
        <f>MAX(I1368,I1368,I1372,I1373,I1374,I1375,I1376,I1370,I1371)</f>
        <v>1331441</v>
      </c>
      <c r="H1377">
        <f>'Operations'!I19</f>
        <v>1198</v>
      </c>
      <c r="I1377">
        <f>G1377+H1377</f>
        <v>1332639</v>
      </c>
      <c r="J1377">
        <f>IF(AND(D1377&lt;&gt;"dram",D1377&lt;&gt;"control"),H1377,0)</f>
        <v>1198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299</v>
      </c>
      <c r="C1378" t="s">
        <v>88</v>
      </c>
      <c r="D1378" t="s">
        <v>89</v>
      </c>
      <c r="E1378" t="s">
        <v>119</v>
      </c>
      <c r="F1378">
        <v>0</v>
      </c>
      <c r="G1378">
        <f>MAX(I1369,I1368)</f>
        <v>1329579</v>
      </c>
      <c r="H1378">
        <f>0</f>
        <v>1530</v>
      </c>
      <c r="I1378">
        <f>G1378+H1378</f>
        <v>1331109</v>
      </c>
      <c r="J1378">
        <f>IF(AND(D1378&lt;&gt;"dram",D1378&lt;&gt;"control"),H1378,0)</f>
        <v>0</v>
      </c>
      <c r="K1378">
        <f>IF(D1378="dram",H1378,0)</f>
        <v>0</v>
      </c>
      <c r="L1378">
        <v>0</v>
      </c>
      <c r="M1378">
        <v>0</v>
      </c>
    </row>
    <row r="1379" spans="1:13">
      <c r="A1379">
        <v>1377</v>
      </c>
      <c r="B1379" t="s">
        <v>300</v>
      </c>
      <c r="C1379" t="s">
        <v>92</v>
      </c>
      <c r="D1379" t="s">
        <v>83</v>
      </c>
      <c r="E1379" t="s">
        <v>119</v>
      </c>
      <c r="F1379">
        <v>8</v>
      </c>
      <c r="G1379">
        <f>MAX(I1378,I1376)</f>
        <v>1331441</v>
      </c>
      <c r="H1379">
        <f>CEILING((dram_access_latency+F1379/dram_bandwidth)*frequency,1)</f>
        <v>101</v>
      </c>
      <c r="I1379">
        <f>G1379+H1379</f>
        <v>1331542</v>
      </c>
      <c r="J1379">
        <f>IF(AND(D1379&lt;&gt;"dram",D1379&lt;&gt;"control"),H1379,0)</f>
        <v>0</v>
      </c>
      <c r="K1379">
        <f>IF(D1379="dram",H1379,0)</f>
        <v>101</v>
      </c>
      <c r="L1379">
        <v>0</v>
      </c>
      <c r="M1379">
        <v>8</v>
      </c>
    </row>
    <row r="1380" spans="1:13">
      <c r="A1380">
        <v>1378</v>
      </c>
      <c r="B1380" t="s">
        <v>301</v>
      </c>
      <c r="C1380" t="s">
        <v>92</v>
      </c>
      <c r="D1380" t="s">
        <v>83</v>
      </c>
      <c r="E1380" t="s">
        <v>119</v>
      </c>
      <c r="F1380">
        <v>256</v>
      </c>
      <c r="G1380">
        <f>MAX(I1378,I1379)</f>
        <v>1331542</v>
      </c>
      <c r="H1380">
        <f>CEILING((dram_access_latency+F1380/dram_bandwidth)*frequency,1)</f>
        <v>104</v>
      </c>
      <c r="I1380">
        <f>G1380+H1380</f>
        <v>1331646</v>
      </c>
      <c r="J1380">
        <f>IF(AND(D1380&lt;&gt;"dram",D1380&lt;&gt;"control"),H1380,0)</f>
        <v>0</v>
      </c>
      <c r="K1380">
        <f>IF(D1380="dram",H1380,0)</f>
        <v>104</v>
      </c>
      <c r="L1380">
        <v>0</v>
      </c>
      <c r="M1380">
        <v>256</v>
      </c>
    </row>
    <row r="1381" spans="1:13">
      <c r="A1381">
        <v>1379</v>
      </c>
      <c r="B1381" t="s">
        <v>294</v>
      </c>
      <c r="C1381" t="s">
        <v>82</v>
      </c>
      <c r="D1381" t="s">
        <v>83</v>
      </c>
      <c r="E1381" t="s">
        <v>120</v>
      </c>
      <c r="F1381">
        <v>49152</v>
      </c>
      <c r="G1381">
        <f>MAX(I1378,I1380)</f>
        <v>1331646</v>
      </c>
      <c r="H1381">
        <f>CEILING((dram_access_latency+F1381/dram_bandwidth)*frequency,1)</f>
        <v>868</v>
      </c>
      <c r="I1381">
        <f>G1381+H1381</f>
        <v>1332514</v>
      </c>
      <c r="J1381">
        <f>IF(AND(D1381&lt;&gt;"dram",D1381&lt;&gt;"control"),H1381,0)</f>
        <v>0</v>
      </c>
      <c r="K1381">
        <f>IF(D1381="dram",H1381,0)</f>
        <v>868</v>
      </c>
      <c r="L1381">
        <v>49152</v>
      </c>
      <c r="M1381">
        <v>0</v>
      </c>
    </row>
    <row r="1382" spans="1:13">
      <c r="A1382">
        <v>1380</v>
      </c>
      <c r="B1382" t="s">
        <v>295</v>
      </c>
      <c r="C1382" t="s">
        <v>82</v>
      </c>
      <c r="D1382" t="s">
        <v>83</v>
      </c>
      <c r="E1382" t="s">
        <v>120</v>
      </c>
      <c r="F1382">
        <v>1024</v>
      </c>
      <c r="G1382">
        <f>MAX(I1378,I1381)</f>
        <v>1332514</v>
      </c>
      <c r="H1382">
        <f>CEILING((dram_access_latency+F1382/dram_bandwidth)*frequency,1)</f>
        <v>116</v>
      </c>
      <c r="I1382">
        <f>G1382+H1382</f>
        <v>1332630</v>
      </c>
      <c r="J1382">
        <f>IF(AND(D1382&lt;&gt;"dram",D1382&lt;&gt;"control"),H1382,0)</f>
        <v>0</v>
      </c>
      <c r="K1382">
        <f>IF(D1382="dram",H1382,0)</f>
        <v>116</v>
      </c>
      <c r="L1382">
        <v>1024</v>
      </c>
      <c r="M1382">
        <v>0</v>
      </c>
    </row>
    <row r="1383" spans="1:13">
      <c r="A1383">
        <v>1381</v>
      </c>
      <c r="B1383" t="s">
        <v>296</v>
      </c>
      <c r="C1383" t="s">
        <v>82</v>
      </c>
      <c r="D1383" t="s">
        <v>83</v>
      </c>
      <c r="E1383" t="s">
        <v>120</v>
      </c>
      <c r="F1383">
        <v>1536</v>
      </c>
      <c r="G1383">
        <f>MAX(I1378,I1382)</f>
        <v>1332630</v>
      </c>
      <c r="H1383">
        <f>CEILING((dram_access_latency+F1383/dram_bandwidth)*frequency,1)</f>
        <v>124</v>
      </c>
      <c r="I1383">
        <f>G1383+H1383</f>
        <v>1332754</v>
      </c>
      <c r="J1383">
        <f>IF(AND(D1383&lt;&gt;"dram",D1383&lt;&gt;"control"),H1383,0)</f>
        <v>0</v>
      </c>
      <c r="K1383">
        <f>IF(D1383="dram",H1383,0)</f>
        <v>124</v>
      </c>
      <c r="L1383">
        <v>1536</v>
      </c>
      <c r="M1383">
        <v>0</v>
      </c>
    </row>
    <row r="1384" spans="1:13">
      <c r="A1384">
        <v>1382</v>
      </c>
      <c r="B1384" t="s">
        <v>297</v>
      </c>
      <c r="C1384" t="s">
        <v>82</v>
      </c>
      <c r="D1384" t="s">
        <v>83</v>
      </c>
      <c r="E1384" t="s">
        <v>120</v>
      </c>
      <c r="F1384">
        <v>32</v>
      </c>
      <c r="G1384">
        <f>MAX(I1378,I1383)</f>
        <v>1332754</v>
      </c>
      <c r="H1384">
        <f>CEILING((dram_access_latency+F1384/dram_bandwidth)*frequency,1)</f>
        <v>101</v>
      </c>
      <c r="I1384">
        <f>G1384+H1384</f>
        <v>1332855</v>
      </c>
      <c r="J1384">
        <f>IF(AND(D1384&lt;&gt;"dram",D1384&lt;&gt;"control"),H1384,0)</f>
        <v>0</v>
      </c>
      <c r="K1384">
        <f>IF(D1384="dram",H1384,0)</f>
        <v>101</v>
      </c>
      <c r="L1384">
        <v>32</v>
      </c>
      <c r="M1384">
        <v>0</v>
      </c>
    </row>
    <row r="1385" spans="1:13">
      <c r="A1385">
        <v>1383</v>
      </c>
      <c r="B1385" t="s">
        <v>298</v>
      </c>
      <c r="C1385" t="s">
        <v>82</v>
      </c>
      <c r="D1385" t="s">
        <v>83</v>
      </c>
      <c r="E1385" t="s">
        <v>120</v>
      </c>
      <c r="F1385">
        <v>1024</v>
      </c>
      <c r="G1385">
        <f>MAX(I1378,I1384)</f>
        <v>1332855</v>
      </c>
      <c r="H1385">
        <f>CEILING((dram_access_latency+F1385/dram_bandwidth)*frequency,1)</f>
        <v>116</v>
      </c>
      <c r="I1385">
        <f>G1385+H1385</f>
        <v>1332971</v>
      </c>
      <c r="J1385">
        <f>IF(AND(D1385&lt;&gt;"dram",D1385&lt;&gt;"control"),H1385,0)</f>
        <v>0</v>
      </c>
      <c r="K1385">
        <f>IF(D1385="dram",H1385,0)</f>
        <v>116</v>
      </c>
      <c r="L1385">
        <v>1024</v>
      </c>
      <c r="M1385">
        <v>0</v>
      </c>
    </row>
    <row r="1386" spans="1:13">
      <c r="A1386">
        <v>1384</v>
      </c>
      <c r="B1386" t="s">
        <v>49</v>
      </c>
      <c r="C1386" t="s">
        <v>90</v>
      </c>
      <c r="D1386" t="s">
        <v>108</v>
      </c>
      <c r="E1386" t="s">
        <v>120</v>
      </c>
      <c r="F1386">
        <v>0</v>
      </c>
      <c r="G1386">
        <f>MAX(I1377,I1377,I1381,I1382,I1383,I1384,I1385,I1379,I1380)</f>
        <v>1332971</v>
      </c>
      <c r="H1386">
        <f>'Operations'!I19</f>
        <v>1198</v>
      </c>
      <c r="I1386">
        <f>G1386+H1386</f>
        <v>1334169</v>
      </c>
      <c r="J1386">
        <f>IF(AND(D1386&lt;&gt;"dram",D1386&lt;&gt;"control"),H1386,0)</f>
        <v>1198</v>
      </c>
      <c r="K1386">
        <f>IF(D1386="dram",H1386,0)</f>
        <v>0</v>
      </c>
      <c r="L1386">
        <v>0</v>
      </c>
      <c r="M1386">
        <v>0</v>
      </c>
    </row>
    <row r="1387" spans="1:13">
      <c r="A1387">
        <v>1385</v>
      </c>
      <c r="B1387" t="s">
        <v>299</v>
      </c>
      <c r="C1387" t="s">
        <v>88</v>
      </c>
      <c r="D1387" t="s">
        <v>89</v>
      </c>
      <c r="E1387" t="s">
        <v>120</v>
      </c>
      <c r="F1387">
        <v>0</v>
      </c>
      <c r="G1387">
        <f>MAX(I1378,I1377)</f>
        <v>1331109</v>
      </c>
      <c r="H1387">
        <f>0</f>
        <v>1530</v>
      </c>
      <c r="I1387">
        <f>G1387+H1387</f>
        <v>1332639</v>
      </c>
      <c r="J1387">
        <f>IF(AND(D1387&lt;&gt;"dram",D1387&lt;&gt;"control"),H1387,0)</f>
        <v>0</v>
      </c>
      <c r="K1387">
        <f>IF(D1387="dram",H1387,0)</f>
        <v>0</v>
      </c>
      <c r="L1387">
        <v>0</v>
      </c>
      <c r="M1387">
        <v>0</v>
      </c>
    </row>
    <row r="1388" spans="1:13">
      <c r="A1388">
        <v>1386</v>
      </c>
      <c r="B1388" t="s">
        <v>300</v>
      </c>
      <c r="C1388" t="s">
        <v>92</v>
      </c>
      <c r="D1388" t="s">
        <v>83</v>
      </c>
      <c r="E1388" t="s">
        <v>120</v>
      </c>
      <c r="F1388">
        <v>8</v>
      </c>
      <c r="G1388">
        <f>MAX(I1387,I1385)</f>
        <v>1332971</v>
      </c>
      <c r="H1388">
        <f>CEILING((dram_access_latency+F1388/dram_bandwidth)*frequency,1)</f>
        <v>101</v>
      </c>
      <c r="I1388">
        <f>G1388+H1388</f>
        <v>1333072</v>
      </c>
      <c r="J1388">
        <f>IF(AND(D1388&lt;&gt;"dram",D1388&lt;&gt;"control"),H1388,0)</f>
        <v>0</v>
      </c>
      <c r="K1388">
        <f>IF(D1388="dram",H1388,0)</f>
        <v>101</v>
      </c>
      <c r="L1388">
        <v>0</v>
      </c>
      <c r="M1388">
        <v>8</v>
      </c>
    </row>
    <row r="1389" spans="1:13">
      <c r="A1389">
        <v>1387</v>
      </c>
      <c r="B1389" t="s">
        <v>301</v>
      </c>
      <c r="C1389" t="s">
        <v>92</v>
      </c>
      <c r="D1389" t="s">
        <v>83</v>
      </c>
      <c r="E1389" t="s">
        <v>120</v>
      </c>
      <c r="F1389">
        <v>256</v>
      </c>
      <c r="G1389">
        <f>MAX(I1387,I1388)</f>
        <v>1333072</v>
      </c>
      <c r="H1389">
        <f>CEILING((dram_access_latency+F1389/dram_bandwidth)*frequency,1)</f>
        <v>104</v>
      </c>
      <c r="I1389">
        <f>G1389+H1389</f>
        <v>1333176</v>
      </c>
      <c r="J1389">
        <f>IF(AND(D1389&lt;&gt;"dram",D1389&lt;&gt;"control"),H1389,0)</f>
        <v>0</v>
      </c>
      <c r="K1389">
        <f>IF(D1389="dram",H1389,0)</f>
        <v>104</v>
      </c>
      <c r="L1389">
        <v>0</v>
      </c>
      <c r="M1389">
        <v>256</v>
      </c>
    </row>
    <row r="1390" spans="1:13">
      <c r="A1390">
        <v>1388</v>
      </c>
      <c r="B1390" t="s">
        <v>294</v>
      </c>
      <c r="C1390" t="s">
        <v>82</v>
      </c>
      <c r="D1390" t="s">
        <v>83</v>
      </c>
      <c r="E1390" t="s">
        <v>121</v>
      </c>
      <c r="F1390">
        <v>49152</v>
      </c>
      <c r="G1390">
        <f>MAX(I1387,I1389)</f>
        <v>1333176</v>
      </c>
      <c r="H1390">
        <f>CEILING((dram_access_latency+F1390/dram_bandwidth)*frequency,1)</f>
        <v>868</v>
      </c>
      <c r="I1390">
        <f>G1390+H1390</f>
        <v>1334044</v>
      </c>
      <c r="J1390">
        <f>IF(AND(D1390&lt;&gt;"dram",D1390&lt;&gt;"control"),H1390,0)</f>
        <v>0</v>
      </c>
      <c r="K1390">
        <f>IF(D1390="dram",H1390,0)</f>
        <v>868</v>
      </c>
      <c r="L1390">
        <v>49152</v>
      </c>
      <c r="M1390">
        <v>0</v>
      </c>
    </row>
    <row r="1391" spans="1:13">
      <c r="A1391">
        <v>1389</v>
      </c>
      <c r="B1391" t="s">
        <v>295</v>
      </c>
      <c r="C1391" t="s">
        <v>82</v>
      </c>
      <c r="D1391" t="s">
        <v>83</v>
      </c>
      <c r="E1391" t="s">
        <v>121</v>
      </c>
      <c r="F1391">
        <v>1024</v>
      </c>
      <c r="G1391">
        <f>MAX(I1387,I1390)</f>
        <v>1334044</v>
      </c>
      <c r="H1391">
        <f>CEILING((dram_access_latency+F1391/dram_bandwidth)*frequency,1)</f>
        <v>116</v>
      </c>
      <c r="I1391">
        <f>G1391+H1391</f>
        <v>1334160</v>
      </c>
      <c r="J1391">
        <f>IF(AND(D1391&lt;&gt;"dram",D1391&lt;&gt;"control"),H1391,0)</f>
        <v>0</v>
      </c>
      <c r="K1391">
        <f>IF(D1391="dram",H1391,0)</f>
        <v>116</v>
      </c>
      <c r="L1391">
        <v>1024</v>
      </c>
      <c r="M1391">
        <v>0</v>
      </c>
    </row>
    <row r="1392" spans="1:13">
      <c r="A1392">
        <v>1390</v>
      </c>
      <c r="B1392" t="s">
        <v>296</v>
      </c>
      <c r="C1392" t="s">
        <v>82</v>
      </c>
      <c r="D1392" t="s">
        <v>83</v>
      </c>
      <c r="E1392" t="s">
        <v>121</v>
      </c>
      <c r="F1392">
        <v>1536</v>
      </c>
      <c r="G1392">
        <f>MAX(I1387,I1391)</f>
        <v>1334160</v>
      </c>
      <c r="H1392">
        <f>CEILING((dram_access_latency+F1392/dram_bandwidth)*frequency,1)</f>
        <v>124</v>
      </c>
      <c r="I1392">
        <f>G1392+H1392</f>
        <v>1334284</v>
      </c>
      <c r="J1392">
        <f>IF(AND(D1392&lt;&gt;"dram",D1392&lt;&gt;"control"),H1392,0)</f>
        <v>0</v>
      </c>
      <c r="K1392">
        <f>IF(D1392="dram",H1392,0)</f>
        <v>124</v>
      </c>
      <c r="L1392">
        <v>1536</v>
      </c>
      <c r="M1392">
        <v>0</v>
      </c>
    </row>
    <row r="1393" spans="1:13">
      <c r="A1393">
        <v>1391</v>
      </c>
      <c r="B1393" t="s">
        <v>297</v>
      </c>
      <c r="C1393" t="s">
        <v>82</v>
      </c>
      <c r="D1393" t="s">
        <v>83</v>
      </c>
      <c r="E1393" t="s">
        <v>121</v>
      </c>
      <c r="F1393">
        <v>32</v>
      </c>
      <c r="G1393">
        <f>MAX(I1387,I1392)</f>
        <v>1334284</v>
      </c>
      <c r="H1393">
        <f>CEILING((dram_access_latency+F1393/dram_bandwidth)*frequency,1)</f>
        <v>101</v>
      </c>
      <c r="I1393">
        <f>G1393+H1393</f>
        <v>1334385</v>
      </c>
      <c r="J1393">
        <f>IF(AND(D1393&lt;&gt;"dram",D1393&lt;&gt;"control"),H1393,0)</f>
        <v>0</v>
      </c>
      <c r="K1393">
        <f>IF(D1393="dram",H1393,0)</f>
        <v>101</v>
      </c>
      <c r="L1393">
        <v>32</v>
      </c>
      <c r="M1393">
        <v>0</v>
      </c>
    </row>
    <row r="1394" spans="1:13">
      <c r="A1394">
        <v>1392</v>
      </c>
      <c r="B1394" t="s">
        <v>298</v>
      </c>
      <c r="C1394" t="s">
        <v>82</v>
      </c>
      <c r="D1394" t="s">
        <v>83</v>
      </c>
      <c r="E1394" t="s">
        <v>121</v>
      </c>
      <c r="F1394">
        <v>1024</v>
      </c>
      <c r="G1394">
        <f>MAX(I1387,I1393)</f>
        <v>1334385</v>
      </c>
      <c r="H1394">
        <f>CEILING((dram_access_latency+F1394/dram_bandwidth)*frequency,1)</f>
        <v>116</v>
      </c>
      <c r="I1394">
        <f>G1394+H1394</f>
        <v>1334501</v>
      </c>
      <c r="J1394">
        <f>IF(AND(D1394&lt;&gt;"dram",D1394&lt;&gt;"control"),H1394,0)</f>
        <v>0</v>
      </c>
      <c r="K1394">
        <f>IF(D1394="dram",H1394,0)</f>
        <v>116</v>
      </c>
      <c r="L1394">
        <v>1024</v>
      </c>
      <c r="M1394">
        <v>0</v>
      </c>
    </row>
    <row r="1395" spans="1:13">
      <c r="A1395">
        <v>1393</v>
      </c>
      <c r="B1395" t="s">
        <v>49</v>
      </c>
      <c r="C1395" t="s">
        <v>90</v>
      </c>
      <c r="D1395" t="s">
        <v>108</v>
      </c>
      <c r="E1395" t="s">
        <v>121</v>
      </c>
      <c r="F1395">
        <v>0</v>
      </c>
      <c r="G1395">
        <f>MAX(I1386,I1386,I1390,I1391,I1392,I1393,I1394,I1388,I1389)</f>
        <v>1334501</v>
      </c>
      <c r="H1395">
        <f>'Operations'!I19</f>
        <v>1198</v>
      </c>
      <c r="I1395">
        <f>G1395+H1395</f>
        <v>1335699</v>
      </c>
      <c r="J1395">
        <f>IF(AND(D1395&lt;&gt;"dram",D1395&lt;&gt;"control"),H1395,0)</f>
        <v>1198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299</v>
      </c>
      <c r="C1396" t="s">
        <v>88</v>
      </c>
      <c r="D1396" t="s">
        <v>89</v>
      </c>
      <c r="E1396" t="s">
        <v>121</v>
      </c>
      <c r="F1396">
        <v>0</v>
      </c>
      <c r="G1396">
        <f>MAX(I1387,I1386)</f>
        <v>1332639</v>
      </c>
      <c r="H1396">
        <f>0</f>
        <v>1530</v>
      </c>
      <c r="I1396">
        <f>G1396+H1396</f>
        <v>1334169</v>
      </c>
      <c r="J1396">
        <f>IF(AND(D1396&lt;&gt;"dram",D1396&lt;&gt;"control"),H1396,0)</f>
        <v>0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300</v>
      </c>
      <c r="C1397" t="s">
        <v>92</v>
      </c>
      <c r="D1397" t="s">
        <v>83</v>
      </c>
      <c r="E1397" t="s">
        <v>121</v>
      </c>
      <c r="F1397">
        <v>8</v>
      </c>
      <c r="G1397">
        <f>MAX(I1396,I1394)</f>
        <v>1334501</v>
      </c>
      <c r="H1397">
        <f>CEILING((dram_access_latency+F1397/dram_bandwidth)*frequency,1)</f>
        <v>101</v>
      </c>
      <c r="I1397">
        <f>G1397+H1397</f>
        <v>1334602</v>
      </c>
      <c r="J1397">
        <f>IF(AND(D1397&lt;&gt;"dram",D1397&lt;&gt;"control"),H1397,0)</f>
        <v>0</v>
      </c>
      <c r="K1397">
        <f>IF(D1397="dram",H1397,0)</f>
        <v>101</v>
      </c>
      <c r="L1397">
        <v>0</v>
      </c>
      <c r="M1397">
        <v>8</v>
      </c>
    </row>
    <row r="1398" spans="1:13">
      <c r="A1398">
        <v>1396</v>
      </c>
      <c r="B1398" t="s">
        <v>301</v>
      </c>
      <c r="C1398" t="s">
        <v>92</v>
      </c>
      <c r="D1398" t="s">
        <v>83</v>
      </c>
      <c r="E1398" t="s">
        <v>121</v>
      </c>
      <c r="F1398">
        <v>256</v>
      </c>
      <c r="G1398">
        <f>MAX(I1396,I1397)</f>
        <v>1334602</v>
      </c>
      <c r="H1398">
        <f>CEILING((dram_access_latency+F1398/dram_bandwidth)*frequency,1)</f>
        <v>104</v>
      </c>
      <c r="I1398">
        <f>G1398+H1398</f>
        <v>1334706</v>
      </c>
      <c r="J1398">
        <f>IF(AND(D1398&lt;&gt;"dram",D1398&lt;&gt;"control"),H1398,0)</f>
        <v>0</v>
      </c>
      <c r="K1398">
        <f>IF(D1398="dram",H1398,0)</f>
        <v>104</v>
      </c>
      <c r="L1398">
        <v>0</v>
      </c>
      <c r="M1398">
        <v>256</v>
      </c>
    </row>
    <row r="1399" spans="1:13">
      <c r="A1399">
        <v>1397</v>
      </c>
      <c r="B1399" t="s">
        <v>294</v>
      </c>
      <c r="C1399" t="s">
        <v>82</v>
      </c>
      <c r="D1399" t="s">
        <v>83</v>
      </c>
      <c r="E1399" t="s">
        <v>122</v>
      </c>
      <c r="F1399">
        <v>49152</v>
      </c>
      <c r="G1399">
        <f>MAX(I1396,I1398)</f>
        <v>1334706</v>
      </c>
      <c r="H1399">
        <f>CEILING((dram_access_latency+F1399/dram_bandwidth)*frequency,1)</f>
        <v>868</v>
      </c>
      <c r="I1399">
        <f>G1399+H1399</f>
        <v>1335574</v>
      </c>
      <c r="J1399">
        <f>IF(AND(D1399&lt;&gt;"dram",D1399&lt;&gt;"control"),H1399,0)</f>
        <v>0</v>
      </c>
      <c r="K1399">
        <f>IF(D1399="dram",H1399,0)</f>
        <v>868</v>
      </c>
      <c r="L1399">
        <v>49152</v>
      </c>
      <c r="M1399">
        <v>0</v>
      </c>
    </row>
    <row r="1400" spans="1:13">
      <c r="A1400">
        <v>1398</v>
      </c>
      <c r="B1400" t="s">
        <v>295</v>
      </c>
      <c r="C1400" t="s">
        <v>82</v>
      </c>
      <c r="D1400" t="s">
        <v>83</v>
      </c>
      <c r="E1400" t="s">
        <v>122</v>
      </c>
      <c r="F1400">
        <v>1024</v>
      </c>
      <c r="G1400">
        <f>MAX(I1396,I1399)</f>
        <v>1335574</v>
      </c>
      <c r="H1400">
        <f>CEILING((dram_access_latency+F1400/dram_bandwidth)*frequency,1)</f>
        <v>116</v>
      </c>
      <c r="I1400">
        <f>G1400+H1400</f>
        <v>1335690</v>
      </c>
      <c r="J1400">
        <f>IF(AND(D1400&lt;&gt;"dram",D1400&lt;&gt;"control"),H1400,0)</f>
        <v>0</v>
      </c>
      <c r="K1400">
        <f>IF(D1400="dram",H1400,0)</f>
        <v>116</v>
      </c>
      <c r="L1400">
        <v>1024</v>
      </c>
      <c r="M1400">
        <v>0</v>
      </c>
    </row>
    <row r="1401" spans="1:13">
      <c r="A1401">
        <v>1399</v>
      </c>
      <c r="B1401" t="s">
        <v>296</v>
      </c>
      <c r="C1401" t="s">
        <v>82</v>
      </c>
      <c r="D1401" t="s">
        <v>83</v>
      </c>
      <c r="E1401" t="s">
        <v>122</v>
      </c>
      <c r="F1401">
        <v>1536</v>
      </c>
      <c r="G1401">
        <f>MAX(I1396,I1400)</f>
        <v>1335690</v>
      </c>
      <c r="H1401">
        <f>CEILING((dram_access_latency+F1401/dram_bandwidth)*frequency,1)</f>
        <v>124</v>
      </c>
      <c r="I1401">
        <f>G1401+H1401</f>
        <v>1335814</v>
      </c>
      <c r="J1401">
        <f>IF(AND(D1401&lt;&gt;"dram",D1401&lt;&gt;"control"),H1401,0)</f>
        <v>0</v>
      </c>
      <c r="K1401">
        <f>IF(D1401="dram",H1401,0)</f>
        <v>124</v>
      </c>
      <c r="L1401">
        <v>1536</v>
      </c>
      <c r="M1401">
        <v>0</v>
      </c>
    </row>
    <row r="1402" spans="1:13">
      <c r="A1402">
        <v>1400</v>
      </c>
      <c r="B1402" t="s">
        <v>297</v>
      </c>
      <c r="C1402" t="s">
        <v>82</v>
      </c>
      <c r="D1402" t="s">
        <v>83</v>
      </c>
      <c r="E1402" t="s">
        <v>122</v>
      </c>
      <c r="F1402">
        <v>32</v>
      </c>
      <c r="G1402">
        <f>MAX(I1396,I1401)</f>
        <v>1335814</v>
      </c>
      <c r="H1402">
        <f>CEILING((dram_access_latency+F1402/dram_bandwidth)*frequency,1)</f>
        <v>101</v>
      </c>
      <c r="I1402">
        <f>G1402+H1402</f>
        <v>1335915</v>
      </c>
      <c r="J1402">
        <f>IF(AND(D1402&lt;&gt;"dram",D1402&lt;&gt;"control"),H1402,0)</f>
        <v>0</v>
      </c>
      <c r="K1402">
        <f>IF(D1402="dram",H1402,0)</f>
        <v>101</v>
      </c>
      <c r="L1402">
        <v>32</v>
      </c>
      <c r="M1402">
        <v>0</v>
      </c>
    </row>
    <row r="1403" spans="1:13">
      <c r="A1403">
        <v>1401</v>
      </c>
      <c r="B1403" t="s">
        <v>298</v>
      </c>
      <c r="C1403" t="s">
        <v>82</v>
      </c>
      <c r="D1403" t="s">
        <v>83</v>
      </c>
      <c r="E1403" t="s">
        <v>122</v>
      </c>
      <c r="F1403">
        <v>1024</v>
      </c>
      <c r="G1403">
        <f>MAX(I1396,I1402)</f>
        <v>1335915</v>
      </c>
      <c r="H1403">
        <f>CEILING((dram_access_latency+F1403/dram_bandwidth)*frequency,1)</f>
        <v>116</v>
      </c>
      <c r="I1403">
        <f>G1403+H1403</f>
        <v>1336031</v>
      </c>
      <c r="J1403">
        <f>IF(AND(D1403&lt;&gt;"dram",D1403&lt;&gt;"control"),H1403,0)</f>
        <v>0</v>
      </c>
      <c r="K1403">
        <f>IF(D1403="dram",H1403,0)</f>
        <v>116</v>
      </c>
      <c r="L1403">
        <v>1024</v>
      </c>
      <c r="M1403">
        <v>0</v>
      </c>
    </row>
    <row r="1404" spans="1:13">
      <c r="A1404">
        <v>1402</v>
      </c>
      <c r="B1404" t="s">
        <v>49</v>
      </c>
      <c r="C1404" t="s">
        <v>90</v>
      </c>
      <c r="D1404" t="s">
        <v>108</v>
      </c>
      <c r="E1404" t="s">
        <v>122</v>
      </c>
      <c r="F1404">
        <v>0</v>
      </c>
      <c r="G1404">
        <f>MAX(I1395,I1395,I1399,I1400,I1401,I1402,I1403,I1397,I1398)</f>
        <v>1336031</v>
      </c>
      <c r="H1404">
        <f>'Operations'!I19</f>
        <v>1198</v>
      </c>
      <c r="I1404">
        <f>G1404+H1404</f>
        <v>1337229</v>
      </c>
      <c r="J1404">
        <f>IF(AND(D1404&lt;&gt;"dram",D1404&lt;&gt;"control"),H1404,0)</f>
        <v>1198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299</v>
      </c>
      <c r="C1405" t="s">
        <v>88</v>
      </c>
      <c r="D1405" t="s">
        <v>89</v>
      </c>
      <c r="E1405" t="s">
        <v>122</v>
      </c>
      <c r="F1405">
        <v>0</v>
      </c>
      <c r="G1405">
        <f>MAX(I1396,I1395)</f>
        <v>1334169</v>
      </c>
      <c r="H1405">
        <f>0</f>
        <v>1530</v>
      </c>
      <c r="I1405">
        <f>G1405+H1405</f>
        <v>1335699</v>
      </c>
      <c r="J1405">
        <f>IF(AND(D1405&lt;&gt;"dram",D1405&lt;&gt;"control"),H1405,0)</f>
        <v>0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300</v>
      </c>
      <c r="C1406" t="s">
        <v>92</v>
      </c>
      <c r="D1406" t="s">
        <v>83</v>
      </c>
      <c r="E1406" t="s">
        <v>122</v>
      </c>
      <c r="F1406">
        <v>8</v>
      </c>
      <c r="G1406">
        <f>MAX(I1405,I1403)</f>
        <v>1336031</v>
      </c>
      <c r="H1406">
        <f>CEILING((dram_access_latency+F1406/dram_bandwidth)*frequency,1)</f>
        <v>101</v>
      </c>
      <c r="I1406">
        <f>G1406+H1406</f>
        <v>1336132</v>
      </c>
      <c r="J1406">
        <f>IF(AND(D1406&lt;&gt;"dram",D1406&lt;&gt;"control"),H1406,0)</f>
        <v>0</v>
      </c>
      <c r="K1406">
        <f>IF(D1406="dram",H1406,0)</f>
        <v>101</v>
      </c>
      <c r="L1406">
        <v>0</v>
      </c>
      <c r="M1406">
        <v>8</v>
      </c>
    </row>
    <row r="1407" spans="1:13">
      <c r="A1407">
        <v>1405</v>
      </c>
      <c r="B1407" t="s">
        <v>301</v>
      </c>
      <c r="C1407" t="s">
        <v>92</v>
      </c>
      <c r="D1407" t="s">
        <v>83</v>
      </c>
      <c r="E1407" t="s">
        <v>122</v>
      </c>
      <c r="F1407">
        <v>256</v>
      </c>
      <c r="G1407">
        <f>MAX(I1405,I1406)</f>
        <v>1336132</v>
      </c>
      <c r="H1407">
        <f>CEILING((dram_access_latency+F1407/dram_bandwidth)*frequency,1)</f>
        <v>104</v>
      </c>
      <c r="I1407">
        <f>G1407+H1407</f>
        <v>1336236</v>
      </c>
      <c r="J1407">
        <f>IF(AND(D1407&lt;&gt;"dram",D1407&lt;&gt;"control"),H1407,0)</f>
        <v>0</v>
      </c>
      <c r="K1407">
        <f>IF(D1407="dram",H1407,0)</f>
        <v>104</v>
      </c>
      <c r="L1407">
        <v>0</v>
      </c>
      <c r="M1407">
        <v>256</v>
      </c>
    </row>
    <row r="1408" spans="1:13">
      <c r="A1408">
        <v>1406</v>
      </c>
      <c r="B1408" t="s">
        <v>294</v>
      </c>
      <c r="C1408" t="s">
        <v>82</v>
      </c>
      <c r="D1408" t="s">
        <v>83</v>
      </c>
      <c r="E1408" t="s">
        <v>123</v>
      </c>
      <c r="F1408">
        <v>49152</v>
      </c>
      <c r="G1408">
        <f>MAX(I1405,I1407)</f>
        <v>1336236</v>
      </c>
      <c r="H1408">
        <f>CEILING((dram_access_latency+F1408/dram_bandwidth)*frequency,1)</f>
        <v>868</v>
      </c>
      <c r="I1408">
        <f>G1408+H1408</f>
        <v>1337104</v>
      </c>
      <c r="J1408">
        <f>IF(AND(D1408&lt;&gt;"dram",D1408&lt;&gt;"control"),H1408,0)</f>
        <v>0</v>
      </c>
      <c r="K1408">
        <f>IF(D1408="dram",H1408,0)</f>
        <v>868</v>
      </c>
      <c r="L1408">
        <v>49152</v>
      </c>
      <c r="M1408">
        <v>0</v>
      </c>
    </row>
    <row r="1409" spans="1:13">
      <c r="A1409">
        <v>1407</v>
      </c>
      <c r="B1409" t="s">
        <v>295</v>
      </c>
      <c r="C1409" t="s">
        <v>82</v>
      </c>
      <c r="D1409" t="s">
        <v>83</v>
      </c>
      <c r="E1409" t="s">
        <v>123</v>
      </c>
      <c r="F1409">
        <v>1024</v>
      </c>
      <c r="G1409">
        <f>MAX(I1405,I1408)</f>
        <v>1337104</v>
      </c>
      <c r="H1409">
        <f>CEILING((dram_access_latency+F1409/dram_bandwidth)*frequency,1)</f>
        <v>116</v>
      </c>
      <c r="I1409">
        <f>G1409+H1409</f>
        <v>1337220</v>
      </c>
      <c r="J1409">
        <f>IF(AND(D1409&lt;&gt;"dram",D1409&lt;&gt;"control"),H1409,0)</f>
        <v>0</v>
      </c>
      <c r="K1409">
        <f>IF(D1409="dram",H1409,0)</f>
        <v>116</v>
      </c>
      <c r="L1409">
        <v>1024</v>
      </c>
      <c r="M1409">
        <v>0</v>
      </c>
    </row>
    <row r="1410" spans="1:13">
      <c r="A1410">
        <v>1408</v>
      </c>
      <c r="B1410" t="s">
        <v>296</v>
      </c>
      <c r="C1410" t="s">
        <v>82</v>
      </c>
      <c r="D1410" t="s">
        <v>83</v>
      </c>
      <c r="E1410" t="s">
        <v>123</v>
      </c>
      <c r="F1410">
        <v>1536</v>
      </c>
      <c r="G1410">
        <f>MAX(I1405,I1409)</f>
        <v>1337220</v>
      </c>
      <c r="H1410">
        <f>CEILING((dram_access_latency+F1410/dram_bandwidth)*frequency,1)</f>
        <v>124</v>
      </c>
      <c r="I1410">
        <f>G1410+H1410</f>
        <v>1337344</v>
      </c>
      <c r="J1410">
        <f>IF(AND(D1410&lt;&gt;"dram",D1410&lt;&gt;"control"),H1410,0)</f>
        <v>0</v>
      </c>
      <c r="K1410">
        <f>IF(D1410="dram",H1410,0)</f>
        <v>124</v>
      </c>
      <c r="L1410">
        <v>1536</v>
      </c>
      <c r="M1410">
        <v>0</v>
      </c>
    </row>
    <row r="1411" spans="1:13">
      <c r="A1411">
        <v>1409</v>
      </c>
      <c r="B1411" t="s">
        <v>297</v>
      </c>
      <c r="C1411" t="s">
        <v>82</v>
      </c>
      <c r="D1411" t="s">
        <v>83</v>
      </c>
      <c r="E1411" t="s">
        <v>123</v>
      </c>
      <c r="F1411">
        <v>32</v>
      </c>
      <c r="G1411">
        <f>MAX(I1405,I1410)</f>
        <v>1337344</v>
      </c>
      <c r="H1411">
        <f>CEILING((dram_access_latency+F1411/dram_bandwidth)*frequency,1)</f>
        <v>101</v>
      </c>
      <c r="I1411">
        <f>G1411+H1411</f>
        <v>1337445</v>
      </c>
      <c r="J1411">
        <f>IF(AND(D1411&lt;&gt;"dram",D1411&lt;&gt;"control"),H1411,0)</f>
        <v>0</v>
      </c>
      <c r="K1411">
        <f>IF(D1411="dram",H1411,0)</f>
        <v>101</v>
      </c>
      <c r="L1411">
        <v>32</v>
      </c>
      <c r="M1411">
        <v>0</v>
      </c>
    </row>
    <row r="1412" spans="1:13">
      <c r="A1412">
        <v>1410</v>
      </c>
      <c r="B1412" t="s">
        <v>298</v>
      </c>
      <c r="C1412" t="s">
        <v>82</v>
      </c>
      <c r="D1412" t="s">
        <v>83</v>
      </c>
      <c r="E1412" t="s">
        <v>123</v>
      </c>
      <c r="F1412">
        <v>1024</v>
      </c>
      <c r="G1412">
        <f>MAX(I1405,I1411)</f>
        <v>1337445</v>
      </c>
      <c r="H1412">
        <f>CEILING((dram_access_latency+F1412/dram_bandwidth)*frequency,1)</f>
        <v>116</v>
      </c>
      <c r="I1412">
        <f>G1412+H1412</f>
        <v>1337561</v>
      </c>
      <c r="J1412">
        <f>IF(AND(D1412&lt;&gt;"dram",D1412&lt;&gt;"control"),H1412,0)</f>
        <v>0</v>
      </c>
      <c r="K1412">
        <f>IF(D1412="dram",H1412,0)</f>
        <v>116</v>
      </c>
      <c r="L1412">
        <v>1024</v>
      </c>
      <c r="M1412">
        <v>0</v>
      </c>
    </row>
    <row r="1413" spans="1:13">
      <c r="A1413">
        <v>1411</v>
      </c>
      <c r="B1413" t="s">
        <v>49</v>
      </c>
      <c r="C1413" t="s">
        <v>90</v>
      </c>
      <c r="D1413" t="s">
        <v>108</v>
      </c>
      <c r="E1413" t="s">
        <v>123</v>
      </c>
      <c r="F1413">
        <v>0</v>
      </c>
      <c r="G1413">
        <f>MAX(I1404,I1404,I1408,I1409,I1410,I1411,I1412,I1406,I1407)</f>
        <v>1337561</v>
      </c>
      <c r="H1413">
        <f>'Operations'!I19</f>
        <v>1198</v>
      </c>
      <c r="I1413">
        <f>G1413+H1413</f>
        <v>1338759</v>
      </c>
      <c r="J1413">
        <f>IF(AND(D1413&lt;&gt;"dram",D1413&lt;&gt;"control"),H1413,0)</f>
        <v>1198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299</v>
      </c>
      <c r="C1414" t="s">
        <v>88</v>
      </c>
      <c r="D1414" t="s">
        <v>89</v>
      </c>
      <c r="E1414" t="s">
        <v>123</v>
      </c>
      <c r="F1414">
        <v>0</v>
      </c>
      <c r="G1414">
        <f>MAX(I1405,I1404)</f>
        <v>1335699</v>
      </c>
      <c r="H1414">
        <f>0</f>
        <v>1530</v>
      </c>
      <c r="I1414">
        <f>G1414+H1414</f>
        <v>1337229</v>
      </c>
      <c r="J1414">
        <f>IF(AND(D1414&lt;&gt;"dram",D1414&lt;&gt;"control"),H1414,0)</f>
        <v>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300</v>
      </c>
      <c r="C1415" t="s">
        <v>92</v>
      </c>
      <c r="D1415" t="s">
        <v>83</v>
      </c>
      <c r="E1415" t="s">
        <v>123</v>
      </c>
      <c r="F1415">
        <v>8</v>
      </c>
      <c r="G1415">
        <f>MAX(I1414,I1412)</f>
        <v>1337561</v>
      </c>
      <c r="H1415">
        <f>CEILING((dram_access_latency+F1415/dram_bandwidth)*frequency,1)</f>
        <v>101</v>
      </c>
      <c r="I1415">
        <f>G1415+H1415</f>
        <v>1337662</v>
      </c>
      <c r="J1415">
        <f>IF(AND(D1415&lt;&gt;"dram",D1415&lt;&gt;"control"),H1415,0)</f>
        <v>0</v>
      </c>
      <c r="K1415">
        <f>IF(D1415="dram",H1415,0)</f>
        <v>101</v>
      </c>
      <c r="L1415">
        <v>0</v>
      </c>
      <c r="M1415">
        <v>8</v>
      </c>
    </row>
    <row r="1416" spans="1:13">
      <c r="A1416">
        <v>1414</v>
      </c>
      <c r="B1416" t="s">
        <v>301</v>
      </c>
      <c r="C1416" t="s">
        <v>92</v>
      </c>
      <c r="D1416" t="s">
        <v>83</v>
      </c>
      <c r="E1416" t="s">
        <v>123</v>
      </c>
      <c r="F1416">
        <v>256</v>
      </c>
      <c r="G1416">
        <f>MAX(I1414,I1415)</f>
        <v>1337662</v>
      </c>
      <c r="H1416">
        <f>CEILING((dram_access_latency+F1416/dram_bandwidth)*frequency,1)</f>
        <v>104</v>
      </c>
      <c r="I1416">
        <f>G1416+H1416</f>
        <v>1337766</v>
      </c>
      <c r="J1416">
        <f>IF(AND(D1416&lt;&gt;"dram",D1416&lt;&gt;"control"),H1416,0)</f>
        <v>0</v>
      </c>
      <c r="K1416">
        <f>IF(D1416="dram",H1416,0)</f>
        <v>104</v>
      </c>
      <c r="L1416">
        <v>0</v>
      </c>
      <c r="M1416">
        <v>256</v>
      </c>
    </row>
    <row r="1417" spans="1:13">
      <c r="A1417">
        <v>1415</v>
      </c>
      <c r="B1417" t="s">
        <v>294</v>
      </c>
      <c r="C1417" t="s">
        <v>82</v>
      </c>
      <c r="D1417" t="s">
        <v>83</v>
      </c>
      <c r="E1417" t="s">
        <v>124</v>
      </c>
      <c r="F1417">
        <v>49152</v>
      </c>
      <c r="G1417">
        <f>MAX(I1414,I1416)</f>
        <v>1337766</v>
      </c>
      <c r="H1417">
        <f>CEILING((dram_access_latency+F1417/dram_bandwidth)*frequency,1)</f>
        <v>868</v>
      </c>
      <c r="I1417">
        <f>G1417+H1417</f>
        <v>1338634</v>
      </c>
      <c r="J1417">
        <f>IF(AND(D1417&lt;&gt;"dram",D1417&lt;&gt;"control"),H1417,0)</f>
        <v>0</v>
      </c>
      <c r="K1417">
        <f>IF(D1417="dram",H1417,0)</f>
        <v>868</v>
      </c>
      <c r="L1417">
        <v>49152</v>
      </c>
      <c r="M1417">
        <v>0</v>
      </c>
    </row>
    <row r="1418" spans="1:13">
      <c r="A1418">
        <v>1416</v>
      </c>
      <c r="B1418" t="s">
        <v>295</v>
      </c>
      <c r="C1418" t="s">
        <v>82</v>
      </c>
      <c r="D1418" t="s">
        <v>83</v>
      </c>
      <c r="E1418" t="s">
        <v>124</v>
      </c>
      <c r="F1418">
        <v>1024</v>
      </c>
      <c r="G1418">
        <f>MAX(I1414,I1417)</f>
        <v>1338634</v>
      </c>
      <c r="H1418">
        <f>CEILING((dram_access_latency+F1418/dram_bandwidth)*frequency,1)</f>
        <v>116</v>
      </c>
      <c r="I1418">
        <f>G1418+H1418</f>
        <v>1338750</v>
      </c>
      <c r="J1418">
        <f>IF(AND(D1418&lt;&gt;"dram",D1418&lt;&gt;"control"),H1418,0)</f>
        <v>0</v>
      </c>
      <c r="K1418">
        <f>IF(D1418="dram",H1418,0)</f>
        <v>116</v>
      </c>
      <c r="L1418">
        <v>1024</v>
      </c>
      <c r="M1418">
        <v>0</v>
      </c>
    </row>
    <row r="1419" spans="1:13">
      <c r="A1419">
        <v>1417</v>
      </c>
      <c r="B1419" t="s">
        <v>296</v>
      </c>
      <c r="C1419" t="s">
        <v>82</v>
      </c>
      <c r="D1419" t="s">
        <v>83</v>
      </c>
      <c r="E1419" t="s">
        <v>124</v>
      </c>
      <c r="F1419">
        <v>1536</v>
      </c>
      <c r="G1419">
        <f>MAX(I1414,I1418)</f>
        <v>1338750</v>
      </c>
      <c r="H1419">
        <f>CEILING((dram_access_latency+F1419/dram_bandwidth)*frequency,1)</f>
        <v>124</v>
      </c>
      <c r="I1419">
        <f>G1419+H1419</f>
        <v>1338874</v>
      </c>
      <c r="J1419">
        <f>IF(AND(D1419&lt;&gt;"dram",D1419&lt;&gt;"control"),H1419,0)</f>
        <v>0</v>
      </c>
      <c r="K1419">
        <f>IF(D1419="dram",H1419,0)</f>
        <v>124</v>
      </c>
      <c r="L1419">
        <v>1536</v>
      </c>
      <c r="M1419">
        <v>0</v>
      </c>
    </row>
    <row r="1420" spans="1:13">
      <c r="A1420">
        <v>1418</v>
      </c>
      <c r="B1420" t="s">
        <v>297</v>
      </c>
      <c r="C1420" t="s">
        <v>82</v>
      </c>
      <c r="D1420" t="s">
        <v>83</v>
      </c>
      <c r="E1420" t="s">
        <v>124</v>
      </c>
      <c r="F1420">
        <v>32</v>
      </c>
      <c r="G1420">
        <f>MAX(I1414,I1419)</f>
        <v>1338874</v>
      </c>
      <c r="H1420">
        <f>CEILING((dram_access_latency+F1420/dram_bandwidth)*frequency,1)</f>
        <v>101</v>
      </c>
      <c r="I1420">
        <f>G1420+H1420</f>
        <v>1338975</v>
      </c>
      <c r="J1420">
        <f>IF(AND(D1420&lt;&gt;"dram",D1420&lt;&gt;"control"),H1420,0)</f>
        <v>0</v>
      </c>
      <c r="K1420">
        <f>IF(D1420="dram",H1420,0)</f>
        <v>101</v>
      </c>
      <c r="L1420">
        <v>32</v>
      </c>
      <c r="M1420">
        <v>0</v>
      </c>
    </row>
    <row r="1421" spans="1:13">
      <c r="A1421">
        <v>1419</v>
      </c>
      <c r="B1421" t="s">
        <v>298</v>
      </c>
      <c r="C1421" t="s">
        <v>82</v>
      </c>
      <c r="D1421" t="s">
        <v>83</v>
      </c>
      <c r="E1421" t="s">
        <v>124</v>
      </c>
      <c r="F1421">
        <v>1024</v>
      </c>
      <c r="G1421">
        <f>MAX(I1414,I1420)</f>
        <v>1338975</v>
      </c>
      <c r="H1421">
        <f>CEILING((dram_access_latency+F1421/dram_bandwidth)*frequency,1)</f>
        <v>116</v>
      </c>
      <c r="I1421">
        <f>G1421+H1421</f>
        <v>1339091</v>
      </c>
      <c r="J1421">
        <f>IF(AND(D1421&lt;&gt;"dram",D1421&lt;&gt;"control"),H1421,0)</f>
        <v>0</v>
      </c>
      <c r="K1421">
        <f>IF(D1421="dram",H1421,0)</f>
        <v>116</v>
      </c>
      <c r="L1421">
        <v>1024</v>
      </c>
      <c r="M1421">
        <v>0</v>
      </c>
    </row>
    <row r="1422" spans="1:13">
      <c r="A1422">
        <v>1420</v>
      </c>
      <c r="B1422" t="s">
        <v>49</v>
      </c>
      <c r="C1422" t="s">
        <v>90</v>
      </c>
      <c r="D1422" t="s">
        <v>108</v>
      </c>
      <c r="E1422" t="s">
        <v>124</v>
      </c>
      <c r="F1422">
        <v>0</v>
      </c>
      <c r="G1422">
        <f>MAX(I1413,I1413,I1417,I1418,I1419,I1420,I1421,I1415,I1416)</f>
        <v>1339091</v>
      </c>
      <c r="H1422">
        <f>'Operations'!I19</f>
        <v>1198</v>
      </c>
      <c r="I1422">
        <f>G1422+H1422</f>
        <v>1340289</v>
      </c>
      <c r="J1422">
        <f>IF(AND(D1422&lt;&gt;"dram",D1422&lt;&gt;"control"),H1422,0)</f>
        <v>1198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299</v>
      </c>
      <c r="C1423" t="s">
        <v>88</v>
      </c>
      <c r="D1423" t="s">
        <v>89</v>
      </c>
      <c r="E1423" t="s">
        <v>124</v>
      </c>
      <c r="F1423">
        <v>0</v>
      </c>
      <c r="G1423">
        <f>MAX(I1414,I1413)</f>
        <v>1337229</v>
      </c>
      <c r="H1423">
        <f>0</f>
        <v>1530</v>
      </c>
      <c r="I1423">
        <f>G1423+H1423</f>
        <v>1338759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300</v>
      </c>
      <c r="C1424" t="s">
        <v>92</v>
      </c>
      <c r="D1424" t="s">
        <v>83</v>
      </c>
      <c r="E1424" t="s">
        <v>124</v>
      </c>
      <c r="F1424">
        <v>8</v>
      </c>
      <c r="G1424">
        <f>MAX(I1423,I1421)</f>
        <v>1339091</v>
      </c>
      <c r="H1424">
        <f>CEILING((dram_access_latency+F1424/dram_bandwidth)*frequency,1)</f>
        <v>101</v>
      </c>
      <c r="I1424">
        <f>G1424+H1424</f>
        <v>1339192</v>
      </c>
      <c r="J1424">
        <f>IF(AND(D1424&lt;&gt;"dram",D1424&lt;&gt;"control"),H1424,0)</f>
        <v>0</v>
      </c>
      <c r="K1424">
        <f>IF(D1424="dram",H1424,0)</f>
        <v>101</v>
      </c>
      <c r="L1424">
        <v>0</v>
      </c>
      <c r="M1424">
        <v>8</v>
      </c>
    </row>
    <row r="1425" spans="1:13">
      <c r="A1425">
        <v>1423</v>
      </c>
      <c r="B1425" t="s">
        <v>301</v>
      </c>
      <c r="C1425" t="s">
        <v>92</v>
      </c>
      <c r="D1425" t="s">
        <v>83</v>
      </c>
      <c r="E1425" t="s">
        <v>124</v>
      </c>
      <c r="F1425">
        <v>256</v>
      </c>
      <c r="G1425">
        <f>MAX(I1423,I1424)</f>
        <v>1339192</v>
      </c>
      <c r="H1425">
        <f>CEILING((dram_access_latency+F1425/dram_bandwidth)*frequency,1)</f>
        <v>104</v>
      </c>
      <c r="I1425">
        <f>G1425+H1425</f>
        <v>1339296</v>
      </c>
      <c r="J1425">
        <f>IF(AND(D1425&lt;&gt;"dram",D1425&lt;&gt;"control"),H1425,0)</f>
        <v>0</v>
      </c>
      <c r="K1425">
        <f>IF(D1425="dram",H1425,0)</f>
        <v>104</v>
      </c>
      <c r="L1425">
        <v>0</v>
      </c>
      <c r="M1425">
        <v>256</v>
      </c>
    </row>
    <row r="1426" spans="1:13">
      <c r="A1426">
        <v>1424</v>
      </c>
      <c r="B1426" t="s">
        <v>294</v>
      </c>
      <c r="C1426" t="s">
        <v>82</v>
      </c>
      <c r="D1426" t="s">
        <v>83</v>
      </c>
      <c r="E1426" t="s">
        <v>125</v>
      </c>
      <c r="F1426">
        <v>49152</v>
      </c>
      <c r="G1426">
        <f>MAX(I1423,I1425)</f>
        <v>1339296</v>
      </c>
      <c r="H1426">
        <f>CEILING((dram_access_latency+F1426/dram_bandwidth)*frequency,1)</f>
        <v>868</v>
      </c>
      <c r="I1426">
        <f>G1426+H1426</f>
        <v>1340164</v>
      </c>
      <c r="J1426">
        <f>IF(AND(D1426&lt;&gt;"dram",D1426&lt;&gt;"control"),H1426,0)</f>
        <v>0</v>
      </c>
      <c r="K1426">
        <f>IF(D1426="dram",H1426,0)</f>
        <v>868</v>
      </c>
      <c r="L1426">
        <v>49152</v>
      </c>
      <c r="M1426">
        <v>0</v>
      </c>
    </row>
    <row r="1427" spans="1:13">
      <c r="A1427">
        <v>1425</v>
      </c>
      <c r="B1427" t="s">
        <v>295</v>
      </c>
      <c r="C1427" t="s">
        <v>82</v>
      </c>
      <c r="D1427" t="s">
        <v>83</v>
      </c>
      <c r="E1427" t="s">
        <v>125</v>
      </c>
      <c r="F1427">
        <v>1024</v>
      </c>
      <c r="G1427">
        <f>MAX(I1423,I1426)</f>
        <v>1340164</v>
      </c>
      <c r="H1427">
        <f>CEILING((dram_access_latency+F1427/dram_bandwidth)*frequency,1)</f>
        <v>116</v>
      </c>
      <c r="I1427">
        <f>G1427+H1427</f>
        <v>1340280</v>
      </c>
      <c r="J1427">
        <f>IF(AND(D1427&lt;&gt;"dram",D1427&lt;&gt;"control"),H1427,0)</f>
        <v>0</v>
      </c>
      <c r="K1427">
        <f>IF(D1427="dram",H1427,0)</f>
        <v>116</v>
      </c>
      <c r="L1427">
        <v>1024</v>
      </c>
      <c r="M1427">
        <v>0</v>
      </c>
    </row>
    <row r="1428" spans="1:13">
      <c r="A1428">
        <v>1426</v>
      </c>
      <c r="B1428" t="s">
        <v>296</v>
      </c>
      <c r="C1428" t="s">
        <v>82</v>
      </c>
      <c r="D1428" t="s">
        <v>83</v>
      </c>
      <c r="E1428" t="s">
        <v>125</v>
      </c>
      <c r="F1428">
        <v>1536</v>
      </c>
      <c r="G1428">
        <f>MAX(I1423,I1427)</f>
        <v>1340280</v>
      </c>
      <c r="H1428">
        <f>CEILING((dram_access_latency+F1428/dram_bandwidth)*frequency,1)</f>
        <v>124</v>
      </c>
      <c r="I1428">
        <f>G1428+H1428</f>
        <v>1340404</v>
      </c>
      <c r="J1428">
        <f>IF(AND(D1428&lt;&gt;"dram",D1428&lt;&gt;"control"),H1428,0)</f>
        <v>0</v>
      </c>
      <c r="K1428">
        <f>IF(D1428="dram",H1428,0)</f>
        <v>124</v>
      </c>
      <c r="L1428">
        <v>1536</v>
      </c>
      <c r="M1428">
        <v>0</v>
      </c>
    </row>
    <row r="1429" spans="1:13">
      <c r="A1429">
        <v>1427</v>
      </c>
      <c r="B1429" t="s">
        <v>297</v>
      </c>
      <c r="C1429" t="s">
        <v>82</v>
      </c>
      <c r="D1429" t="s">
        <v>83</v>
      </c>
      <c r="E1429" t="s">
        <v>125</v>
      </c>
      <c r="F1429">
        <v>32</v>
      </c>
      <c r="G1429">
        <f>MAX(I1423,I1428)</f>
        <v>1340404</v>
      </c>
      <c r="H1429">
        <f>CEILING((dram_access_latency+F1429/dram_bandwidth)*frequency,1)</f>
        <v>101</v>
      </c>
      <c r="I1429">
        <f>G1429+H1429</f>
        <v>1340505</v>
      </c>
      <c r="J1429">
        <f>IF(AND(D1429&lt;&gt;"dram",D1429&lt;&gt;"control"),H1429,0)</f>
        <v>0</v>
      </c>
      <c r="K1429">
        <f>IF(D1429="dram",H1429,0)</f>
        <v>101</v>
      </c>
      <c r="L1429">
        <v>32</v>
      </c>
      <c r="M1429">
        <v>0</v>
      </c>
    </row>
    <row r="1430" spans="1:13">
      <c r="A1430">
        <v>1428</v>
      </c>
      <c r="B1430" t="s">
        <v>298</v>
      </c>
      <c r="C1430" t="s">
        <v>82</v>
      </c>
      <c r="D1430" t="s">
        <v>83</v>
      </c>
      <c r="E1430" t="s">
        <v>125</v>
      </c>
      <c r="F1430">
        <v>1024</v>
      </c>
      <c r="G1430">
        <f>MAX(I1423,I1429)</f>
        <v>1340505</v>
      </c>
      <c r="H1430">
        <f>CEILING((dram_access_latency+F1430/dram_bandwidth)*frequency,1)</f>
        <v>116</v>
      </c>
      <c r="I1430">
        <f>G1430+H1430</f>
        <v>1340621</v>
      </c>
      <c r="J1430">
        <f>IF(AND(D1430&lt;&gt;"dram",D1430&lt;&gt;"control"),H1430,0)</f>
        <v>0</v>
      </c>
      <c r="K1430">
        <f>IF(D1430="dram",H1430,0)</f>
        <v>116</v>
      </c>
      <c r="L1430">
        <v>1024</v>
      </c>
      <c r="M1430">
        <v>0</v>
      </c>
    </row>
    <row r="1431" spans="1:13">
      <c r="A1431">
        <v>1429</v>
      </c>
      <c r="B1431" t="s">
        <v>49</v>
      </c>
      <c r="C1431" t="s">
        <v>90</v>
      </c>
      <c r="D1431" t="s">
        <v>108</v>
      </c>
      <c r="E1431" t="s">
        <v>125</v>
      </c>
      <c r="F1431">
        <v>0</v>
      </c>
      <c r="G1431">
        <f>MAX(I1422,I1422,I1426,I1427,I1428,I1429,I1430,I1424,I1425)</f>
        <v>1340621</v>
      </c>
      <c r="H1431">
        <f>'Operations'!I19</f>
        <v>1198</v>
      </c>
      <c r="I1431">
        <f>G1431+H1431</f>
        <v>1341819</v>
      </c>
      <c r="J1431">
        <f>IF(AND(D1431&lt;&gt;"dram",D1431&lt;&gt;"control"),H1431,0)</f>
        <v>1198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299</v>
      </c>
      <c r="C1432" t="s">
        <v>88</v>
      </c>
      <c r="D1432" t="s">
        <v>89</v>
      </c>
      <c r="E1432" t="s">
        <v>125</v>
      </c>
      <c r="F1432">
        <v>0</v>
      </c>
      <c r="G1432">
        <f>MAX(I1423,I1422)</f>
        <v>1338759</v>
      </c>
      <c r="H1432">
        <f>0</f>
        <v>1530</v>
      </c>
      <c r="I1432">
        <f>G1432+H1432</f>
        <v>1340289</v>
      </c>
      <c r="J1432">
        <f>IF(AND(D1432&lt;&gt;"dram",D1432&lt;&gt;"control"),H1432,0)</f>
        <v>0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300</v>
      </c>
      <c r="C1433" t="s">
        <v>92</v>
      </c>
      <c r="D1433" t="s">
        <v>83</v>
      </c>
      <c r="E1433" t="s">
        <v>125</v>
      </c>
      <c r="F1433">
        <v>8</v>
      </c>
      <c r="G1433">
        <f>MAX(I1432,I1430)</f>
        <v>1340621</v>
      </c>
      <c r="H1433">
        <f>CEILING((dram_access_latency+F1433/dram_bandwidth)*frequency,1)</f>
        <v>101</v>
      </c>
      <c r="I1433">
        <f>G1433+H1433</f>
        <v>1340722</v>
      </c>
      <c r="J1433">
        <f>IF(AND(D1433&lt;&gt;"dram",D1433&lt;&gt;"control"),H1433,0)</f>
        <v>0</v>
      </c>
      <c r="K1433">
        <f>IF(D1433="dram",H1433,0)</f>
        <v>101</v>
      </c>
      <c r="L1433">
        <v>0</v>
      </c>
      <c r="M1433">
        <v>8</v>
      </c>
    </row>
    <row r="1434" spans="1:13">
      <c r="A1434">
        <v>1432</v>
      </c>
      <c r="B1434" t="s">
        <v>301</v>
      </c>
      <c r="C1434" t="s">
        <v>92</v>
      </c>
      <c r="D1434" t="s">
        <v>83</v>
      </c>
      <c r="E1434" t="s">
        <v>125</v>
      </c>
      <c r="F1434">
        <v>256</v>
      </c>
      <c r="G1434">
        <f>MAX(I1432,I1433)</f>
        <v>1340722</v>
      </c>
      <c r="H1434">
        <f>CEILING((dram_access_latency+F1434/dram_bandwidth)*frequency,1)</f>
        <v>104</v>
      </c>
      <c r="I1434">
        <f>G1434+H1434</f>
        <v>1340826</v>
      </c>
      <c r="J1434">
        <f>IF(AND(D1434&lt;&gt;"dram",D1434&lt;&gt;"control"),H1434,0)</f>
        <v>0</v>
      </c>
      <c r="K1434">
        <f>IF(D1434="dram",H1434,0)</f>
        <v>104</v>
      </c>
      <c r="L1434">
        <v>0</v>
      </c>
      <c r="M1434">
        <v>256</v>
      </c>
    </row>
    <row r="1435" spans="1:13">
      <c r="A1435">
        <v>1433</v>
      </c>
      <c r="B1435" t="s">
        <v>294</v>
      </c>
      <c r="C1435" t="s">
        <v>82</v>
      </c>
      <c r="D1435" t="s">
        <v>83</v>
      </c>
      <c r="E1435" t="s">
        <v>126</v>
      </c>
      <c r="F1435">
        <v>49152</v>
      </c>
      <c r="G1435">
        <f>MAX(I1432,I1434)</f>
        <v>1340826</v>
      </c>
      <c r="H1435">
        <f>CEILING((dram_access_latency+F1435/dram_bandwidth)*frequency,1)</f>
        <v>868</v>
      </c>
      <c r="I1435">
        <f>G1435+H1435</f>
        <v>1341694</v>
      </c>
      <c r="J1435">
        <f>IF(AND(D1435&lt;&gt;"dram",D1435&lt;&gt;"control"),H1435,0)</f>
        <v>0</v>
      </c>
      <c r="K1435">
        <f>IF(D1435="dram",H1435,0)</f>
        <v>868</v>
      </c>
      <c r="L1435">
        <v>49152</v>
      </c>
      <c r="M1435">
        <v>0</v>
      </c>
    </row>
    <row r="1436" spans="1:13">
      <c r="A1436">
        <v>1434</v>
      </c>
      <c r="B1436" t="s">
        <v>295</v>
      </c>
      <c r="C1436" t="s">
        <v>82</v>
      </c>
      <c r="D1436" t="s">
        <v>83</v>
      </c>
      <c r="E1436" t="s">
        <v>126</v>
      </c>
      <c r="F1436">
        <v>1024</v>
      </c>
      <c r="G1436">
        <f>MAX(I1432,I1435)</f>
        <v>1341694</v>
      </c>
      <c r="H1436">
        <f>CEILING((dram_access_latency+F1436/dram_bandwidth)*frequency,1)</f>
        <v>116</v>
      </c>
      <c r="I1436">
        <f>G1436+H1436</f>
        <v>1341810</v>
      </c>
      <c r="J1436">
        <f>IF(AND(D1436&lt;&gt;"dram",D1436&lt;&gt;"control"),H1436,0)</f>
        <v>0</v>
      </c>
      <c r="K1436">
        <f>IF(D1436="dram",H1436,0)</f>
        <v>116</v>
      </c>
      <c r="L1436">
        <v>1024</v>
      </c>
      <c r="M1436">
        <v>0</v>
      </c>
    </row>
    <row r="1437" spans="1:13">
      <c r="A1437">
        <v>1435</v>
      </c>
      <c r="B1437" t="s">
        <v>296</v>
      </c>
      <c r="C1437" t="s">
        <v>82</v>
      </c>
      <c r="D1437" t="s">
        <v>83</v>
      </c>
      <c r="E1437" t="s">
        <v>126</v>
      </c>
      <c r="F1437">
        <v>1536</v>
      </c>
      <c r="G1437">
        <f>MAX(I1432,I1436)</f>
        <v>1341810</v>
      </c>
      <c r="H1437">
        <f>CEILING((dram_access_latency+F1437/dram_bandwidth)*frequency,1)</f>
        <v>124</v>
      </c>
      <c r="I1437">
        <f>G1437+H1437</f>
        <v>1341934</v>
      </c>
      <c r="J1437">
        <f>IF(AND(D1437&lt;&gt;"dram",D1437&lt;&gt;"control"),H1437,0)</f>
        <v>0</v>
      </c>
      <c r="K1437">
        <f>IF(D1437="dram",H1437,0)</f>
        <v>124</v>
      </c>
      <c r="L1437">
        <v>1536</v>
      </c>
      <c r="M1437">
        <v>0</v>
      </c>
    </row>
    <row r="1438" spans="1:13">
      <c r="A1438">
        <v>1436</v>
      </c>
      <c r="B1438" t="s">
        <v>297</v>
      </c>
      <c r="C1438" t="s">
        <v>82</v>
      </c>
      <c r="D1438" t="s">
        <v>83</v>
      </c>
      <c r="E1438" t="s">
        <v>126</v>
      </c>
      <c r="F1438">
        <v>32</v>
      </c>
      <c r="G1438">
        <f>MAX(I1432,I1437)</f>
        <v>1341934</v>
      </c>
      <c r="H1438">
        <f>CEILING((dram_access_latency+F1438/dram_bandwidth)*frequency,1)</f>
        <v>101</v>
      </c>
      <c r="I1438">
        <f>G1438+H1438</f>
        <v>1342035</v>
      </c>
      <c r="J1438">
        <f>IF(AND(D1438&lt;&gt;"dram",D1438&lt;&gt;"control"),H1438,0)</f>
        <v>0</v>
      </c>
      <c r="K1438">
        <f>IF(D1438="dram",H1438,0)</f>
        <v>101</v>
      </c>
      <c r="L1438">
        <v>32</v>
      </c>
      <c r="M1438">
        <v>0</v>
      </c>
    </row>
    <row r="1439" spans="1:13">
      <c r="A1439">
        <v>1437</v>
      </c>
      <c r="B1439" t="s">
        <v>298</v>
      </c>
      <c r="C1439" t="s">
        <v>82</v>
      </c>
      <c r="D1439" t="s">
        <v>83</v>
      </c>
      <c r="E1439" t="s">
        <v>126</v>
      </c>
      <c r="F1439">
        <v>1024</v>
      </c>
      <c r="G1439">
        <f>MAX(I1432,I1438)</f>
        <v>1342035</v>
      </c>
      <c r="H1439">
        <f>CEILING((dram_access_latency+F1439/dram_bandwidth)*frequency,1)</f>
        <v>116</v>
      </c>
      <c r="I1439">
        <f>G1439+H1439</f>
        <v>1342151</v>
      </c>
      <c r="J1439">
        <f>IF(AND(D1439&lt;&gt;"dram",D1439&lt;&gt;"control"),H1439,0)</f>
        <v>0</v>
      </c>
      <c r="K1439">
        <f>IF(D1439="dram",H1439,0)</f>
        <v>116</v>
      </c>
      <c r="L1439">
        <v>1024</v>
      </c>
      <c r="M1439">
        <v>0</v>
      </c>
    </row>
    <row r="1440" spans="1:13">
      <c r="A1440">
        <v>1438</v>
      </c>
      <c r="B1440" t="s">
        <v>49</v>
      </c>
      <c r="C1440" t="s">
        <v>90</v>
      </c>
      <c r="D1440" t="s">
        <v>108</v>
      </c>
      <c r="E1440" t="s">
        <v>126</v>
      </c>
      <c r="F1440">
        <v>0</v>
      </c>
      <c r="G1440">
        <f>MAX(I1431,I1431,I1435,I1436,I1437,I1438,I1439,I1433,I1434)</f>
        <v>1342151</v>
      </c>
      <c r="H1440">
        <f>'Operations'!I19</f>
        <v>1198</v>
      </c>
      <c r="I1440">
        <f>G1440+H1440</f>
        <v>1343349</v>
      </c>
      <c r="J1440">
        <f>IF(AND(D1440&lt;&gt;"dram",D1440&lt;&gt;"control"),H1440,0)</f>
        <v>1198</v>
      </c>
      <c r="K1440">
        <f>IF(D1440="dram",H1440,0)</f>
        <v>0</v>
      </c>
      <c r="L1440">
        <v>0</v>
      </c>
      <c r="M1440">
        <v>0</v>
      </c>
    </row>
    <row r="1441" spans="1:13">
      <c r="A1441">
        <v>1439</v>
      </c>
      <c r="B1441" t="s">
        <v>299</v>
      </c>
      <c r="C1441" t="s">
        <v>88</v>
      </c>
      <c r="D1441" t="s">
        <v>89</v>
      </c>
      <c r="E1441" t="s">
        <v>126</v>
      </c>
      <c r="F1441">
        <v>0</v>
      </c>
      <c r="G1441">
        <f>MAX(I1432,I1431)</f>
        <v>1340289</v>
      </c>
      <c r="H1441">
        <f>0</f>
        <v>1530</v>
      </c>
      <c r="I1441">
        <f>G1441+H1441</f>
        <v>1341819</v>
      </c>
      <c r="J1441">
        <f>IF(AND(D1441&lt;&gt;"dram",D1441&lt;&gt;"control"),H1441,0)</f>
        <v>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300</v>
      </c>
      <c r="C1442" t="s">
        <v>92</v>
      </c>
      <c r="D1442" t="s">
        <v>83</v>
      </c>
      <c r="E1442" t="s">
        <v>126</v>
      </c>
      <c r="F1442">
        <v>8</v>
      </c>
      <c r="G1442">
        <f>MAX(I1441,I1439)</f>
        <v>1342151</v>
      </c>
      <c r="H1442">
        <f>CEILING((dram_access_latency+F1442/dram_bandwidth)*frequency,1)</f>
        <v>101</v>
      </c>
      <c r="I1442">
        <f>G1442+H1442</f>
        <v>1342252</v>
      </c>
      <c r="J1442">
        <f>IF(AND(D1442&lt;&gt;"dram",D1442&lt;&gt;"control"),H1442,0)</f>
        <v>0</v>
      </c>
      <c r="K1442">
        <f>IF(D1442="dram",H1442,0)</f>
        <v>101</v>
      </c>
      <c r="L1442">
        <v>0</v>
      </c>
      <c r="M1442">
        <v>8</v>
      </c>
    </row>
    <row r="1443" spans="1:13">
      <c r="A1443">
        <v>1441</v>
      </c>
      <c r="B1443" t="s">
        <v>301</v>
      </c>
      <c r="C1443" t="s">
        <v>92</v>
      </c>
      <c r="D1443" t="s">
        <v>83</v>
      </c>
      <c r="E1443" t="s">
        <v>126</v>
      </c>
      <c r="F1443">
        <v>256</v>
      </c>
      <c r="G1443">
        <f>MAX(I1441,I1442)</f>
        <v>1342252</v>
      </c>
      <c r="H1443">
        <f>CEILING((dram_access_latency+F1443/dram_bandwidth)*frequency,1)</f>
        <v>104</v>
      </c>
      <c r="I1443">
        <f>G1443+H1443</f>
        <v>1342356</v>
      </c>
      <c r="J1443">
        <f>IF(AND(D1443&lt;&gt;"dram",D1443&lt;&gt;"control"),H1443,0)</f>
        <v>0</v>
      </c>
      <c r="K1443">
        <f>IF(D1443="dram",H1443,0)</f>
        <v>104</v>
      </c>
      <c r="L1443">
        <v>0</v>
      </c>
      <c r="M1443">
        <v>256</v>
      </c>
    </row>
    <row r="1444" spans="1:13">
      <c r="A1444">
        <v>1442</v>
      </c>
      <c r="B1444" t="s">
        <v>294</v>
      </c>
      <c r="C1444" t="s">
        <v>82</v>
      </c>
      <c r="D1444" t="s">
        <v>83</v>
      </c>
      <c r="E1444" t="s">
        <v>127</v>
      </c>
      <c r="F1444">
        <v>49152</v>
      </c>
      <c r="G1444">
        <f>MAX(I1441,I1443)</f>
        <v>1342356</v>
      </c>
      <c r="H1444">
        <f>CEILING((dram_access_latency+F1444/dram_bandwidth)*frequency,1)</f>
        <v>868</v>
      </c>
      <c r="I1444">
        <f>G1444+H1444</f>
        <v>1343224</v>
      </c>
      <c r="J1444">
        <f>IF(AND(D1444&lt;&gt;"dram",D1444&lt;&gt;"control"),H1444,0)</f>
        <v>0</v>
      </c>
      <c r="K1444">
        <f>IF(D1444="dram",H1444,0)</f>
        <v>868</v>
      </c>
      <c r="L1444">
        <v>49152</v>
      </c>
      <c r="M1444">
        <v>0</v>
      </c>
    </row>
    <row r="1445" spans="1:13">
      <c r="A1445">
        <v>1443</v>
      </c>
      <c r="B1445" t="s">
        <v>295</v>
      </c>
      <c r="C1445" t="s">
        <v>82</v>
      </c>
      <c r="D1445" t="s">
        <v>83</v>
      </c>
      <c r="E1445" t="s">
        <v>127</v>
      </c>
      <c r="F1445">
        <v>1024</v>
      </c>
      <c r="G1445">
        <f>MAX(I1441,I1444)</f>
        <v>1343224</v>
      </c>
      <c r="H1445">
        <f>CEILING((dram_access_latency+F1445/dram_bandwidth)*frequency,1)</f>
        <v>116</v>
      </c>
      <c r="I1445">
        <f>G1445+H1445</f>
        <v>1343340</v>
      </c>
      <c r="J1445">
        <f>IF(AND(D1445&lt;&gt;"dram",D1445&lt;&gt;"control"),H1445,0)</f>
        <v>0</v>
      </c>
      <c r="K1445">
        <f>IF(D1445="dram",H1445,0)</f>
        <v>116</v>
      </c>
      <c r="L1445">
        <v>1024</v>
      </c>
      <c r="M1445">
        <v>0</v>
      </c>
    </row>
    <row r="1446" spans="1:13">
      <c r="A1446">
        <v>1444</v>
      </c>
      <c r="B1446" t="s">
        <v>296</v>
      </c>
      <c r="C1446" t="s">
        <v>82</v>
      </c>
      <c r="D1446" t="s">
        <v>83</v>
      </c>
      <c r="E1446" t="s">
        <v>127</v>
      </c>
      <c r="F1446">
        <v>1536</v>
      </c>
      <c r="G1446">
        <f>MAX(I1441,I1445)</f>
        <v>1343340</v>
      </c>
      <c r="H1446">
        <f>CEILING((dram_access_latency+F1446/dram_bandwidth)*frequency,1)</f>
        <v>124</v>
      </c>
      <c r="I1446">
        <f>G1446+H1446</f>
        <v>1343464</v>
      </c>
      <c r="J1446">
        <f>IF(AND(D1446&lt;&gt;"dram",D1446&lt;&gt;"control"),H1446,0)</f>
        <v>0</v>
      </c>
      <c r="K1446">
        <f>IF(D1446="dram",H1446,0)</f>
        <v>124</v>
      </c>
      <c r="L1446">
        <v>1536</v>
      </c>
      <c r="M1446">
        <v>0</v>
      </c>
    </row>
    <row r="1447" spans="1:13">
      <c r="A1447">
        <v>1445</v>
      </c>
      <c r="B1447" t="s">
        <v>297</v>
      </c>
      <c r="C1447" t="s">
        <v>82</v>
      </c>
      <c r="D1447" t="s">
        <v>83</v>
      </c>
      <c r="E1447" t="s">
        <v>127</v>
      </c>
      <c r="F1447">
        <v>32</v>
      </c>
      <c r="G1447">
        <f>MAX(I1441,I1446)</f>
        <v>1343464</v>
      </c>
      <c r="H1447">
        <f>CEILING((dram_access_latency+F1447/dram_bandwidth)*frequency,1)</f>
        <v>101</v>
      </c>
      <c r="I1447">
        <f>G1447+H1447</f>
        <v>1343565</v>
      </c>
      <c r="J1447">
        <f>IF(AND(D1447&lt;&gt;"dram",D1447&lt;&gt;"control"),H1447,0)</f>
        <v>0</v>
      </c>
      <c r="K1447">
        <f>IF(D1447="dram",H1447,0)</f>
        <v>101</v>
      </c>
      <c r="L1447">
        <v>32</v>
      </c>
      <c r="M1447">
        <v>0</v>
      </c>
    </row>
    <row r="1448" spans="1:13">
      <c r="A1448">
        <v>1446</v>
      </c>
      <c r="B1448" t="s">
        <v>298</v>
      </c>
      <c r="C1448" t="s">
        <v>82</v>
      </c>
      <c r="D1448" t="s">
        <v>83</v>
      </c>
      <c r="E1448" t="s">
        <v>127</v>
      </c>
      <c r="F1448">
        <v>1024</v>
      </c>
      <c r="G1448">
        <f>MAX(I1441,I1447)</f>
        <v>1343565</v>
      </c>
      <c r="H1448">
        <f>CEILING((dram_access_latency+F1448/dram_bandwidth)*frequency,1)</f>
        <v>116</v>
      </c>
      <c r="I1448">
        <f>G1448+H1448</f>
        <v>1343681</v>
      </c>
      <c r="J1448">
        <f>IF(AND(D1448&lt;&gt;"dram",D1448&lt;&gt;"control"),H1448,0)</f>
        <v>0</v>
      </c>
      <c r="K1448">
        <f>IF(D1448="dram",H1448,0)</f>
        <v>116</v>
      </c>
      <c r="L1448">
        <v>1024</v>
      </c>
      <c r="M1448">
        <v>0</v>
      </c>
    </row>
    <row r="1449" spans="1:13">
      <c r="A1449">
        <v>1447</v>
      </c>
      <c r="B1449" t="s">
        <v>49</v>
      </c>
      <c r="C1449" t="s">
        <v>90</v>
      </c>
      <c r="D1449" t="s">
        <v>108</v>
      </c>
      <c r="E1449" t="s">
        <v>127</v>
      </c>
      <c r="F1449">
        <v>0</v>
      </c>
      <c r="G1449">
        <f>MAX(I1440,I1440,I1444,I1445,I1446,I1447,I1448,I1442,I1443)</f>
        <v>1343681</v>
      </c>
      <c r="H1449">
        <f>'Operations'!I19</f>
        <v>1198</v>
      </c>
      <c r="I1449">
        <f>G1449+H1449</f>
        <v>1344879</v>
      </c>
      <c r="J1449">
        <f>IF(AND(D1449&lt;&gt;"dram",D1449&lt;&gt;"control"),H1449,0)</f>
        <v>1198</v>
      </c>
      <c r="K1449">
        <f>IF(D1449="dram",H1449,0)</f>
        <v>0</v>
      </c>
      <c r="L1449">
        <v>0</v>
      </c>
      <c r="M1449">
        <v>0</v>
      </c>
    </row>
    <row r="1450" spans="1:13">
      <c r="A1450">
        <v>1448</v>
      </c>
      <c r="B1450" t="s">
        <v>299</v>
      </c>
      <c r="C1450" t="s">
        <v>88</v>
      </c>
      <c r="D1450" t="s">
        <v>89</v>
      </c>
      <c r="E1450" t="s">
        <v>127</v>
      </c>
      <c r="F1450">
        <v>0</v>
      </c>
      <c r="G1450">
        <f>MAX(I1441,I1440)</f>
        <v>1341819</v>
      </c>
      <c r="H1450">
        <f>0</f>
        <v>1530</v>
      </c>
      <c r="I1450">
        <f>G1450+H1450</f>
        <v>1343349</v>
      </c>
      <c r="J1450">
        <f>IF(AND(D1450&lt;&gt;"dram",D1450&lt;&gt;"control"),H1450,0)</f>
        <v>0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300</v>
      </c>
      <c r="C1451" t="s">
        <v>92</v>
      </c>
      <c r="D1451" t="s">
        <v>83</v>
      </c>
      <c r="E1451" t="s">
        <v>127</v>
      </c>
      <c r="F1451">
        <v>8</v>
      </c>
      <c r="G1451">
        <f>MAX(I1450,I1448)</f>
        <v>1343681</v>
      </c>
      <c r="H1451">
        <f>CEILING((dram_access_latency+F1451/dram_bandwidth)*frequency,1)</f>
        <v>101</v>
      </c>
      <c r="I1451">
        <f>G1451+H1451</f>
        <v>1343782</v>
      </c>
      <c r="J1451">
        <f>IF(AND(D1451&lt;&gt;"dram",D1451&lt;&gt;"control"),H1451,0)</f>
        <v>0</v>
      </c>
      <c r="K1451">
        <f>IF(D1451="dram",H1451,0)</f>
        <v>101</v>
      </c>
      <c r="L1451">
        <v>0</v>
      </c>
      <c r="M1451">
        <v>8</v>
      </c>
    </row>
    <row r="1452" spans="1:13">
      <c r="A1452">
        <v>1450</v>
      </c>
      <c r="B1452" t="s">
        <v>301</v>
      </c>
      <c r="C1452" t="s">
        <v>92</v>
      </c>
      <c r="D1452" t="s">
        <v>83</v>
      </c>
      <c r="E1452" t="s">
        <v>127</v>
      </c>
      <c r="F1452">
        <v>256</v>
      </c>
      <c r="G1452">
        <f>MAX(I1450,I1451)</f>
        <v>1343782</v>
      </c>
      <c r="H1452">
        <f>CEILING((dram_access_latency+F1452/dram_bandwidth)*frequency,1)</f>
        <v>104</v>
      </c>
      <c r="I1452">
        <f>G1452+H1452</f>
        <v>1343886</v>
      </c>
      <c r="J1452">
        <f>IF(AND(D1452&lt;&gt;"dram",D1452&lt;&gt;"control"),H1452,0)</f>
        <v>0</v>
      </c>
      <c r="K1452">
        <f>IF(D1452="dram",H1452,0)</f>
        <v>104</v>
      </c>
      <c r="L1452">
        <v>0</v>
      </c>
      <c r="M1452">
        <v>256</v>
      </c>
    </row>
    <row r="1453" spans="1:13">
      <c r="A1453">
        <v>1451</v>
      </c>
      <c r="B1453" t="s">
        <v>294</v>
      </c>
      <c r="C1453" t="s">
        <v>82</v>
      </c>
      <c r="D1453" t="s">
        <v>83</v>
      </c>
      <c r="E1453" t="s">
        <v>128</v>
      </c>
      <c r="F1453">
        <v>49152</v>
      </c>
      <c r="G1453">
        <f>MAX(I1450,I1452)</f>
        <v>1343886</v>
      </c>
      <c r="H1453">
        <f>CEILING((dram_access_latency+F1453/dram_bandwidth)*frequency,1)</f>
        <v>868</v>
      </c>
      <c r="I1453">
        <f>G1453+H1453</f>
        <v>1344754</v>
      </c>
      <c r="J1453">
        <f>IF(AND(D1453&lt;&gt;"dram",D1453&lt;&gt;"control"),H1453,0)</f>
        <v>0</v>
      </c>
      <c r="K1453">
        <f>IF(D1453="dram",H1453,0)</f>
        <v>868</v>
      </c>
      <c r="L1453">
        <v>49152</v>
      </c>
      <c r="M1453">
        <v>0</v>
      </c>
    </row>
    <row r="1454" spans="1:13">
      <c r="A1454">
        <v>1452</v>
      </c>
      <c r="B1454" t="s">
        <v>295</v>
      </c>
      <c r="C1454" t="s">
        <v>82</v>
      </c>
      <c r="D1454" t="s">
        <v>83</v>
      </c>
      <c r="E1454" t="s">
        <v>128</v>
      </c>
      <c r="F1454">
        <v>1024</v>
      </c>
      <c r="G1454">
        <f>MAX(I1450,I1453)</f>
        <v>1344754</v>
      </c>
      <c r="H1454">
        <f>CEILING((dram_access_latency+F1454/dram_bandwidth)*frequency,1)</f>
        <v>116</v>
      </c>
      <c r="I1454">
        <f>G1454+H1454</f>
        <v>1344870</v>
      </c>
      <c r="J1454">
        <f>IF(AND(D1454&lt;&gt;"dram",D1454&lt;&gt;"control"),H1454,0)</f>
        <v>0</v>
      </c>
      <c r="K1454">
        <f>IF(D1454="dram",H1454,0)</f>
        <v>116</v>
      </c>
      <c r="L1454">
        <v>1024</v>
      </c>
      <c r="M1454">
        <v>0</v>
      </c>
    </row>
    <row r="1455" spans="1:13">
      <c r="A1455">
        <v>1453</v>
      </c>
      <c r="B1455" t="s">
        <v>296</v>
      </c>
      <c r="C1455" t="s">
        <v>82</v>
      </c>
      <c r="D1455" t="s">
        <v>83</v>
      </c>
      <c r="E1455" t="s">
        <v>128</v>
      </c>
      <c r="F1455">
        <v>1536</v>
      </c>
      <c r="G1455">
        <f>MAX(I1450,I1454)</f>
        <v>1344870</v>
      </c>
      <c r="H1455">
        <f>CEILING((dram_access_latency+F1455/dram_bandwidth)*frequency,1)</f>
        <v>124</v>
      </c>
      <c r="I1455">
        <f>G1455+H1455</f>
        <v>1344994</v>
      </c>
      <c r="J1455">
        <f>IF(AND(D1455&lt;&gt;"dram",D1455&lt;&gt;"control"),H1455,0)</f>
        <v>0</v>
      </c>
      <c r="K1455">
        <f>IF(D1455="dram",H1455,0)</f>
        <v>124</v>
      </c>
      <c r="L1455">
        <v>1536</v>
      </c>
      <c r="M1455">
        <v>0</v>
      </c>
    </row>
    <row r="1456" spans="1:13">
      <c r="A1456">
        <v>1454</v>
      </c>
      <c r="B1456" t="s">
        <v>297</v>
      </c>
      <c r="C1456" t="s">
        <v>82</v>
      </c>
      <c r="D1456" t="s">
        <v>83</v>
      </c>
      <c r="E1456" t="s">
        <v>128</v>
      </c>
      <c r="F1456">
        <v>32</v>
      </c>
      <c r="G1456">
        <f>MAX(I1450,I1455)</f>
        <v>1344994</v>
      </c>
      <c r="H1456">
        <f>CEILING((dram_access_latency+F1456/dram_bandwidth)*frequency,1)</f>
        <v>101</v>
      </c>
      <c r="I1456">
        <f>G1456+H1456</f>
        <v>1345095</v>
      </c>
      <c r="J1456">
        <f>IF(AND(D1456&lt;&gt;"dram",D1456&lt;&gt;"control"),H1456,0)</f>
        <v>0</v>
      </c>
      <c r="K1456">
        <f>IF(D1456="dram",H1456,0)</f>
        <v>101</v>
      </c>
      <c r="L1456">
        <v>32</v>
      </c>
      <c r="M1456">
        <v>0</v>
      </c>
    </row>
    <row r="1457" spans="1:13">
      <c r="A1457">
        <v>1455</v>
      </c>
      <c r="B1457" t="s">
        <v>298</v>
      </c>
      <c r="C1457" t="s">
        <v>82</v>
      </c>
      <c r="D1457" t="s">
        <v>83</v>
      </c>
      <c r="E1457" t="s">
        <v>128</v>
      </c>
      <c r="F1457">
        <v>1024</v>
      </c>
      <c r="G1457">
        <f>MAX(I1450,I1456)</f>
        <v>1345095</v>
      </c>
      <c r="H1457">
        <f>CEILING((dram_access_latency+F1457/dram_bandwidth)*frequency,1)</f>
        <v>116</v>
      </c>
      <c r="I1457">
        <f>G1457+H1457</f>
        <v>1345211</v>
      </c>
      <c r="J1457">
        <f>IF(AND(D1457&lt;&gt;"dram",D1457&lt;&gt;"control"),H1457,0)</f>
        <v>0</v>
      </c>
      <c r="K1457">
        <f>IF(D1457="dram",H1457,0)</f>
        <v>116</v>
      </c>
      <c r="L1457">
        <v>1024</v>
      </c>
      <c r="M1457">
        <v>0</v>
      </c>
    </row>
    <row r="1458" spans="1:13">
      <c r="A1458">
        <v>1456</v>
      </c>
      <c r="B1458" t="s">
        <v>49</v>
      </c>
      <c r="C1458" t="s">
        <v>90</v>
      </c>
      <c r="D1458" t="s">
        <v>108</v>
      </c>
      <c r="E1458" t="s">
        <v>128</v>
      </c>
      <c r="F1458">
        <v>0</v>
      </c>
      <c r="G1458">
        <f>MAX(I1449,I1449,I1453,I1454,I1455,I1456,I1457,I1451,I1452)</f>
        <v>1345211</v>
      </c>
      <c r="H1458">
        <f>'Operations'!I19</f>
        <v>1198</v>
      </c>
      <c r="I1458">
        <f>G1458+H1458</f>
        <v>1346409</v>
      </c>
      <c r="J1458">
        <f>IF(AND(D1458&lt;&gt;"dram",D1458&lt;&gt;"control"),H1458,0)</f>
        <v>1198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299</v>
      </c>
      <c r="C1459" t="s">
        <v>88</v>
      </c>
      <c r="D1459" t="s">
        <v>89</v>
      </c>
      <c r="E1459" t="s">
        <v>128</v>
      </c>
      <c r="F1459">
        <v>0</v>
      </c>
      <c r="G1459">
        <f>MAX(I1450,I1449)</f>
        <v>1343349</v>
      </c>
      <c r="H1459">
        <f>0</f>
        <v>1530</v>
      </c>
      <c r="I1459">
        <f>G1459+H1459</f>
        <v>1344879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300</v>
      </c>
      <c r="C1460" t="s">
        <v>92</v>
      </c>
      <c r="D1460" t="s">
        <v>83</v>
      </c>
      <c r="E1460" t="s">
        <v>128</v>
      </c>
      <c r="F1460">
        <v>8</v>
      </c>
      <c r="G1460">
        <f>MAX(I1459,I1457)</f>
        <v>1345211</v>
      </c>
      <c r="H1460">
        <f>CEILING((dram_access_latency+F1460/dram_bandwidth)*frequency,1)</f>
        <v>101</v>
      </c>
      <c r="I1460">
        <f>G1460+H1460</f>
        <v>1345312</v>
      </c>
      <c r="J1460">
        <f>IF(AND(D1460&lt;&gt;"dram",D1460&lt;&gt;"control"),H1460,0)</f>
        <v>0</v>
      </c>
      <c r="K1460">
        <f>IF(D1460="dram",H1460,0)</f>
        <v>101</v>
      </c>
      <c r="L1460">
        <v>0</v>
      </c>
      <c r="M1460">
        <v>8</v>
      </c>
    </row>
    <row r="1461" spans="1:13">
      <c r="A1461">
        <v>1459</v>
      </c>
      <c r="B1461" t="s">
        <v>301</v>
      </c>
      <c r="C1461" t="s">
        <v>92</v>
      </c>
      <c r="D1461" t="s">
        <v>83</v>
      </c>
      <c r="E1461" t="s">
        <v>128</v>
      </c>
      <c r="F1461">
        <v>256</v>
      </c>
      <c r="G1461">
        <f>MAX(I1459,I1460)</f>
        <v>1345312</v>
      </c>
      <c r="H1461">
        <f>CEILING((dram_access_latency+F1461/dram_bandwidth)*frequency,1)</f>
        <v>104</v>
      </c>
      <c r="I1461">
        <f>G1461+H1461</f>
        <v>1345416</v>
      </c>
      <c r="J1461">
        <f>IF(AND(D1461&lt;&gt;"dram",D1461&lt;&gt;"control"),H1461,0)</f>
        <v>0</v>
      </c>
      <c r="K1461">
        <f>IF(D1461="dram",H1461,0)</f>
        <v>104</v>
      </c>
      <c r="L1461">
        <v>0</v>
      </c>
      <c r="M1461">
        <v>256</v>
      </c>
    </row>
    <row r="1462" spans="1:13">
      <c r="A1462">
        <v>1460</v>
      </c>
      <c r="B1462" t="s">
        <v>294</v>
      </c>
      <c r="C1462" t="s">
        <v>82</v>
      </c>
      <c r="D1462" t="s">
        <v>83</v>
      </c>
      <c r="E1462" t="s">
        <v>129</v>
      </c>
      <c r="F1462">
        <v>49152</v>
      </c>
      <c r="G1462">
        <f>MAX(I1459,I1461)</f>
        <v>1345416</v>
      </c>
      <c r="H1462">
        <f>CEILING((dram_access_latency+F1462/dram_bandwidth)*frequency,1)</f>
        <v>868</v>
      </c>
      <c r="I1462">
        <f>G1462+H1462</f>
        <v>1346284</v>
      </c>
      <c r="J1462">
        <f>IF(AND(D1462&lt;&gt;"dram",D1462&lt;&gt;"control"),H1462,0)</f>
        <v>0</v>
      </c>
      <c r="K1462">
        <f>IF(D1462="dram",H1462,0)</f>
        <v>868</v>
      </c>
      <c r="L1462">
        <v>49152</v>
      </c>
      <c r="M1462">
        <v>0</v>
      </c>
    </row>
    <row r="1463" spans="1:13">
      <c r="A1463">
        <v>1461</v>
      </c>
      <c r="B1463" t="s">
        <v>295</v>
      </c>
      <c r="C1463" t="s">
        <v>82</v>
      </c>
      <c r="D1463" t="s">
        <v>83</v>
      </c>
      <c r="E1463" t="s">
        <v>129</v>
      </c>
      <c r="F1463">
        <v>1024</v>
      </c>
      <c r="G1463">
        <f>MAX(I1459,I1462)</f>
        <v>1346284</v>
      </c>
      <c r="H1463">
        <f>CEILING((dram_access_latency+F1463/dram_bandwidth)*frequency,1)</f>
        <v>116</v>
      </c>
      <c r="I1463">
        <f>G1463+H1463</f>
        <v>1346400</v>
      </c>
      <c r="J1463">
        <f>IF(AND(D1463&lt;&gt;"dram",D1463&lt;&gt;"control"),H1463,0)</f>
        <v>0</v>
      </c>
      <c r="K1463">
        <f>IF(D1463="dram",H1463,0)</f>
        <v>116</v>
      </c>
      <c r="L1463">
        <v>1024</v>
      </c>
      <c r="M1463">
        <v>0</v>
      </c>
    </row>
    <row r="1464" spans="1:13">
      <c r="A1464">
        <v>1462</v>
      </c>
      <c r="B1464" t="s">
        <v>296</v>
      </c>
      <c r="C1464" t="s">
        <v>82</v>
      </c>
      <c r="D1464" t="s">
        <v>83</v>
      </c>
      <c r="E1464" t="s">
        <v>129</v>
      </c>
      <c r="F1464">
        <v>1536</v>
      </c>
      <c r="G1464">
        <f>MAX(I1459,I1463)</f>
        <v>1346400</v>
      </c>
      <c r="H1464">
        <f>CEILING((dram_access_latency+F1464/dram_bandwidth)*frequency,1)</f>
        <v>124</v>
      </c>
      <c r="I1464">
        <f>G1464+H1464</f>
        <v>1346524</v>
      </c>
      <c r="J1464">
        <f>IF(AND(D1464&lt;&gt;"dram",D1464&lt;&gt;"control"),H1464,0)</f>
        <v>0</v>
      </c>
      <c r="K1464">
        <f>IF(D1464="dram",H1464,0)</f>
        <v>124</v>
      </c>
      <c r="L1464">
        <v>1536</v>
      </c>
      <c r="M1464">
        <v>0</v>
      </c>
    </row>
    <row r="1465" spans="1:13">
      <c r="A1465">
        <v>1463</v>
      </c>
      <c r="B1465" t="s">
        <v>297</v>
      </c>
      <c r="C1465" t="s">
        <v>82</v>
      </c>
      <c r="D1465" t="s">
        <v>83</v>
      </c>
      <c r="E1465" t="s">
        <v>129</v>
      </c>
      <c r="F1465">
        <v>32</v>
      </c>
      <c r="G1465">
        <f>MAX(I1459,I1464)</f>
        <v>1346524</v>
      </c>
      <c r="H1465">
        <f>CEILING((dram_access_latency+F1465/dram_bandwidth)*frequency,1)</f>
        <v>101</v>
      </c>
      <c r="I1465">
        <f>G1465+H1465</f>
        <v>1346625</v>
      </c>
      <c r="J1465">
        <f>IF(AND(D1465&lt;&gt;"dram",D1465&lt;&gt;"control"),H1465,0)</f>
        <v>0</v>
      </c>
      <c r="K1465">
        <f>IF(D1465="dram",H1465,0)</f>
        <v>101</v>
      </c>
      <c r="L1465">
        <v>32</v>
      </c>
      <c r="M1465">
        <v>0</v>
      </c>
    </row>
    <row r="1466" spans="1:13">
      <c r="A1466">
        <v>1464</v>
      </c>
      <c r="B1466" t="s">
        <v>298</v>
      </c>
      <c r="C1466" t="s">
        <v>82</v>
      </c>
      <c r="D1466" t="s">
        <v>83</v>
      </c>
      <c r="E1466" t="s">
        <v>129</v>
      </c>
      <c r="F1466">
        <v>1024</v>
      </c>
      <c r="G1466">
        <f>MAX(I1459,I1465)</f>
        <v>1346625</v>
      </c>
      <c r="H1466">
        <f>CEILING((dram_access_latency+F1466/dram_bandwidth)*frequency,1)</f>
        <v>116</v>
      </c>
      <c r="I1466">
        <f>G1466+H1466</f>
        <v>1346741</v>
      </c>
      <c r="J1466">
        <f>IF(AND(D1466&lt;&gt;"dram",D1466&lt;&gt;"control"),H1466,0)</f>
        <v>0</v>
      </c>
      <c r="K1466">
        <f>IF(D1466="dram",H1466,0)</f>
        <v>116</v>
      </c>
      <c r="L1466">
        <v>1024</v>
      </c>
      <c r="M1466">
        <v>0</v>
      </c>
    </row>
    <row r="1467" spans="1:13">
      <c r="A1467">
        <v>1465</v>
      </c>
      <c r="B1467" t="s">
        <v>49</v>
      </c>
      <c r="C1467" t="s">
        <v>90</v>
      </c>
      <c r="D1467" t="s">
        <v>108</v>
      </c>
      <c r="E1467" t="s">
        <v>129</v>
      </c>
      <c r="F1467">
        <v>0</v>
      </c>
      <c r="G1467">
        <f>MAX(I1458,I1458,I1462,I1463,I1464,I1465,I1466,I1460,I1461)</f>
        <v>1346741</v>
      </c>
      <c r="H1467">
        <f>'Operations'!I19</f>
        <v>1198</v>
      </c>
      <c r="I1467">
        <f>G1467+H1467</f>
        <v>1347939</v>
      </c>
      <c r="J1467">
        <f>IF(AND(D1467&lt;&gt;"dram",D1467&lt;&gt;"control"),H1467,0)</f>
        <v>1198</v>
      </c>
      <c r="K1467">
        <f>IF(D1467="dram",H1467,0)</f>
        <v>0</v>
      </c>
      <c r="L1467">
        <v>0</v>
      </c>
      <c r="M1467">
        <v>0</v>
      </c>
    </row>
    <row r="1468" spans="1:13">
      <c r="A1468">
        <v>1466</v>
      </c>
      <c r="B1468" t="s">
        <v>299</v>
      </c>
      <c r="C1468" t="s">
        <v>88</v>
      </c>
      <c r="D1468" t="s">
        <v>89</v>
      </c>
      <c r="E1468" t="s">
        <v>129</v>
      </c>
      <c r="F1468">
        <v>0</v>
      </c>
      <c r="G1468">
        <f>MAX(I1459,I1458)</f>
        <v>1344879</v>
      </c>
      <c r="H1468">
        <f>0</f>
        <v>1530</v>
      </c>
      <c r="I1468">
        <f>G1468+H1468</f>
        <v>1346409</v>
      </c>
      <c r="J1468">
        <f>IF(AND(D1468&lt;&gt;"dram",D1468&lt;&gt;"control"),H1468,0)</f>
        <v>0</v>
      </c>
      <c r="K1468">
        <f>IF(D1468="dram",H1468,0)</f>
        <v>0</v>
      </c>
      <c r="L1468">
        <v>0</v>
      </c>
      <c r="M1468">
        <v>0</v>
      </c>
    </row>
    <row r="1469" spans="1:13">
      <c r="A1469">
        <v>1467</v>
      </c>
      <c r="B1469" t="s">
        <v>300</v>
      </c>
      <c r="C1469" t="s">
        <v>92</v>
      </c>
      <c r="D1469" t="s">
        <v>83</v>
      </c>
      <c r="E1469" t="s">
        <v>129</v>
      </c>
      <c r="F1469">
        <v>8</v>
      </c>
      <c r="G1469">
        <f>MAX(I1468,I1466)</f>
        <v>1346741</v>
      </c>
      <c r="H1469">
        <f>CEILING((dram_access_latency+F1469/dram_bandwidth)*frequency,1)</f>
        <v>101</v>
      </c>
      <c r="I1469">
        <f>G1469+H1469</f>
        <v>1346842</v>
      </c>
      <c r="J1469">
        <f>IF(AND(D1469&lt;&gt;"dram",D1469&lt;&gt;"control"),H1469,0)</f>
        <v>0</v>
      </c>
      <c r="K1469">
        <f>IF(D1469="dram",H1469,0)</f>
        <v>101</v>
      </c>
      <c r="L1469">
        <v>0</v>
      </c>
      <c r="M1469">
        <v>8</v>
      </c>
    </row>
    <row r="1470" spans="1:13">
      <c r="A1470">
        <v>1468</v>
      </c>
      <c r="B1470" t="s">
        <v>301</v>
      </c>
      <c r="C1470" t="s">
        <v>92</v>
      </c>
      <c r="D1470" t="s">
        <v>83</v>
      </c>
      <c r="E1470" t="s">
        <v>129</v>
      </c>
      <c r="F1470">
        <v>256</v>
      </c>
      <c r="G1470">
        <f>MAX(I1468,I1469)</f>
        <v>1346842</v>
      </c>
      <c r="H1470">
        <f>CEILING((dram_access_latency+F1470/dram_bandwidth)*frequency,1)</f>
        <v>104</v>
      </c>
      <c r="I1470">
        <f>G1470+H1470</f>
        <v>1346946</v>
      </c>
      <c r="J1470">
        <f>IF(AND(D1470&lt;&gt;"dram",D1470&lt;&gt;"control"),H1470,0)</f>
        <v>0</v>
      </c>
      <c r="K1470">
        <f>IF(D1470="dram",H1470,0)</f>
        <v>104</v>
      </c>
      <c r="L1470">
        <v>0</v>
      </c>
      <c r="M1470">
        <v>256</v>
      </c>
    </row>
    <row r="1471" spans="1:13">
      <c r="A1471">
        <v>1469</v>
      </c>
      <c r="B1471" t="s">
        <v>294</v>
      </c>
      <c r="C1471" t="s">
        <v>82</v>
      </c>
      <c r="D1471" t="s">
        <v>83</v>
      </c>
      <c r="E1471" t="s">
        <v>130</v>
      </c>
      <c r="F1471">
        <v>49152</v>
      </c>
      <c r="G1471">
        <f>MAX(I1468,I1470)</f>
        <v>1346946</v>
      </c>
      <c r="H1471">
        <f>CEILING((dram_access_latency+F1471/dram_bandwidth)*frequency,1)</f>
        <v>868</v>
      </c>
      <c r="I1471">
        <f>G1471+H1471</f>
        <v>1347814</v>
      </c>
      <c r="J1471">
        <f>IF(AND(D1471&lt;&gt;"dram",D1471&lt;&gt;"control"),H1471,0)</f>
        <v>0</v>
      </c>
      <c r="K1471">
        <f>IF(D1471="dram",H1471,0)</f>
        <v>868</v>
      </c>
      <c r="L1471">
        <v>49152</v>
      </c>
      <c r="M1471">
        <v>0</v>
      </c>
    </row>
    <row r="1472" spans="1:13">
      <c r="A1472">
        <v>1470</v>
      </c>
      <c r="B1472" t="s">
        <v>295</v>
      </c>
      <c r="C1472" t="s">
        <v>82</v>
      </c>
      <c r="D1472" t="s">
        <v>83</v>
      </c>
      <c r="E1472" t="s">
        <v>130</v>
      </c>
      <c r="F1472">
        <v>1024</v>
      </c>
      <c r="G1472">
        <f>MAX(I1468,I1471)</f>
        <v>1347814</v>
      </c>
      <c r="H1472">
        <f>CEILING((dram_access_latency+F1472/dram_bandwidth)*frequency,1)</f>
        <v>116</v>
      </c>
      <c r="I1472">
        <f>G1472+H1472</f>
        <v>1347930</v>
      </c>
      <c r="J1472">
        <f>IF(AND(D1472&lt;&gt;"dram",D1472&lt;&gt;"control"),H1472,0)</f>
        <v>0</v>
      </c>
      <c r="K1472">
        <f>IF(D1472="dram",H1472,0)</f>
        <v>116</v>
      </c>
      <c r="L1472">
        <v>1024</v>
      </c>
      <c r="M1472">
        <v>0</v>
      </c>
    </row>
    <row r="1473" spans="1:13">
      <c r="A1473">
        <v>1471</v>
      </c>
      <c r="B1473" t="s">
        <v>296</v>
      </c>
      <c r="C1473" t="s">
        <v>82</v>
      </c>
      <c r="D1473" t="s">
        <v>83</v>
      </c>
      <c r="E1473" t="s">
        <v>130</v>
      </c>
      <c r="F1473">
        <v>1536</v>
      </c>
      <c r="G1473">
        <f>MAX(I1468,I1472)</f>
        <v>1347930</v>
      </c>
      <c r="H1473">
        <f>CEILING((dram_access_latency+F1473/dram_bandwidth)*frequency,1)</f>
        <v>124</v>
      </c>
      <c r="I1473">
        <f>G1473+H1473</f>
        <v>1348054</v>
      </c>
      <c r="J1473">
        <f>IF(AND(D1473&lt;&gt;"dram",D1473&lt;&gt;"control"),H1473,0)</f>
        <v>0</v>
      </c>
      <c r="K1473">
        <f>IF(D1473="dram",H1473,0)</f>
        <v>124</v>
      </c>
      <c r="L1473">
        <v>1536</v>
      </c>
      <c r="M1473">
        <v>0</v>
      </c>
    </row>
    <row r="1474" spans="1:13">
      <c r="A1474">
        <v>1472</v>
      </c>
      <c r="B1474" t="s">
        <v>297</v>
      </c>
      <c r="C1474" t="s">
        <v>82</v>
      </c>
      <c r="D1474" t="s">
        <v>83</v>
      </c>
      <c r="E1474" t="s">
        <v>130</v>
      </c>
      <c r="F1474">
        <v>32</v>
      </c>
      <c r="G1474">
        <f>MAX(I1468,I1473)</f>
        <v>1348054</v>
      </c>
      <c r="H1474">
        <f>CEILING((dram_access_latency+F1474/dram_bandwidth)*frequency,1)</f>
        <v>101</v>
      </c>
      <c r="I1474">
        <f>G1474+H1474</f>
        <v>1348155</v>
      </c>
      <c r="J1474">
        <f>IF(AND(D1474&lt;&gt;"dram",D1474&lt;&gt;"control"),H1474,0)</f>
        <v>0</v>
      </c>
      <c r="K1474">
        <f>IF(D1474="dram",H1474,0)</f>
        <v>101</v>
      </c>
      <c r="L1474">
        <v>32</v>
      </c>
      <c r="M1474">
        <v>0</v>
      </c>
    </row>
    <row r="1475" spans="1:13">
      <c r="A1475">
        <v>1473</v>
      </c>
      <c r="B1475" t="s">
        <v>298</v>
      </c>
      <c r="C1475" t="s">
        <v>82</v>
      </c>
      <c r="D1475" t="s">
        <v>83</v>
      </c>
      <c r="E1475" t="s">
        <v>130</v>
      </c>
      <c r="F1475">
        <v>1024</v>
      </c>
      <c r="G1475">
        <f>MAX(I1468,I1474)</f>
        <v>1348155</v>
      </c>
      <c r="H1475">
        <f>CEILING((dram_access_latency+F1475/dram_bandwidth)*frequency,1)</f>
        <v>116</v>
      </c>
      <c r="I1475">
        <f>G1475+H1475</f>
        <v>1348271</v>
      </c>
      <c r="J1475">
        <f>IF(AND(D1475&lt;&gt;"dram",D1475&lt;&gt;"control"),H1475,0)</f>
        <v>0</v>
      </c>
      <c r="K1475">
        <f>IF(D1475="dram",H1475,0)</f>
        <v>116</v>
      </c>
      <c r="L1475">
        <v>1024</v>
      </c>
      <c r="M1475">
        <v>0</v>
      </c>
    </row>
    <row r="1476" spans="1:13">
      <c r="A1476">
        <v>1474</v>
      </c>
      <c r="B1476" t="s">
        <v>49</v>
      </c>
      <c r="C1476" t="s">
        <v>90</v>
      </c>
      <c r="D1476" t="s">
        <v>108</v>
      </c>
      <c r="E1476" t="s">
        <v>130</v>
      </c>
      <c r="F1476">
        <v>0</v>
      </c>
      <c r="G1476">
        <f>MAX(I1467,I1467,I1471,I1472,I1473,I1474,I1475,I1469,I1470)</f>
        <v>1348271</v>
      </c>
      <c r="H1476">
        <f>'Operations'!I19</f>
        <v>1198</v>
      </c>
      <c r="I1476">
        <f>G1476+H1476</f>
        <v>1349469</v>
      </c>
      <c r="J1476">
        <f>IF(AND(D1476&lt;&gt;"dram",D1476&lt;&gt;"control"),H1476,0)</f>
        <v>1198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299</v>
      </c>
      <c r="C1477" t="s">
        <v>88</v>
      </c>
      <c r="D1477" t="s">
        <v>89</v>
      </c>
      <c r="E1477" t="s">
        <v>130</v>
      </c>
      <c r="F1477">
        <v>0</v>
      </c>
      <c r="G1477">
        <f>MAX(I1468,I1467)</f>
        <v>1346409</v>
      </c>
      <c r="H1477">
        <f>0</f>
        <v>1530</v>
      </c>
      <c r="I1477">
        <f>G1477+H1477</f>
        <v>1347939</v>
      </c>
      <c r="J1477">
        <f>IF(AND(D1477&lt;&gt;"dram",D1477&lt;&gt;"control"),H1477,0)</f>
        <v>0</v>
      </c>
      <c r="K1477">
        <f>IF(D1477="dram",H1477,0)</f>
        <v>0</v>
      </c>
      <c r="L1477">
        <v>0</v>
      </c>
      <c r="M1477">
        <v>0</v>
      </c>
    </row>
    <row r="1478" spans="1:13">
      <c r="A1478">
        <v>1476</v>
      </c>
      <c r="B1478" t="s">
        <v>300</v>
      </c>
      <c r="C1478" t="s">
        <v>92</v>
      </c>
      <c r="D1478" t="s">
        <v>83</v>
      </c>
      <c r="E1478" t="s">
        <v>130</v>
      </c>
      <c r="F1478">
        <v>8</v>
      </c>
      <c r="G1478">
        <f>MAX(I1477,I1475)</f>
        <v>1348271</v>
      </c>
      <c r="H1478">
        <f>CEILING((dram_access_latency+F1478/dram_bandwidth)*frequency,1)</f>
        <v>101</v>
      </c>
      <c r="I1478">
        <f>G1478+H1478</f>
        <v>1348372</v>
      </c>
      <c r="J1478">
        <f>IF(AND(D1478&lt;&gt;"dram",D1478&lt;&gt;"control"),H1478,0)</f>
        <v>0</v>
      </c>
      <c r="K1478">
        <f>IF(D1478="dram",H1478,0)</f>
        <v>101</v>
      </c>
      <c r="L1478">
        <v>0</v>
      </c>
      <c r="M1478">
        <v>8</v>
      </c>
    </row>
    <row r="1479" spans="1:13">
      <c r="A1479">
        <v>1477</v>
      </c>
      <c r="B1479" t="s">
        <v>301</v>
      </c>
      <c r="C1479" t="s">
        <v>92</v>
      </c>
      <c r="D1479" t="s">
        <v>83</v>
      </c>
      <c r="E1479" t="s">
        <v>130</v>
      </c>
      <c r="F1479">
        <v>256</v>
      </c>
      <c r="G1479">
        <f>MAX(I1477,I1478)</f>
        <v>1348372</v>
      </c>
      <c r="H1479">
        <f>CEILING((dram_access_latency+F1479/dram_bandwidth)*frequency,1)</f>
        <v>104</v>
      </c>
      <c r="I1479">
        <f>G1479+H1479</f>
        <v>1348476</v>
      </c>
      <c r="J1479">
        <f>IF(AND(D1479&lt;&gt;"dram",D1479&lt;&gt;"control"),H1479,0)</f>
        <v>0</v>
      </c>
      <c r="K1479">
        <f>IF(D1479="dram",H1479,0)</f>
        <v>104</v>
      </c>
      <c r="L1479">
        <v>0</v>
      </c>
      <c r="M1479">
        <v>256</v>
      </c>
    </row>
    <row r="1480" spans="1:13">
      <c r="A1480">
        <v>1478</v>
      </c>
      <c r="B1480" t="s">
        <v>294</v>
      </c>
      <c r="C1480" t="s">
        <v>82</v>
      </c>
      <c r="D1480" t="s">
        <v>83</v>
      </c>
      <c r="E1480" t="s">
        <v>131</v>
      </c>
      <c r="F1480">
        <v>49152</v>
      </c>
      <c r="G1480">
        <f>MAX(I1477,I1479)</f>
        <v>1348476</v>
      </c>
      <c r="H1480">
        <f>CEILING((dram_access_latency+F1480/dram_bandwidth)*frequency,1)</f>
        <v>868</v>
      </c>
      <c r="I1480">
        <f>G1480+H1480</f>
        <v>1349344</v>
      </c>
      <c r="J1480">
        <f>IF(AND(D1480&lt;&gt;"dram",D1480&lt;&gt;"control"),H1480,0)</f>
        <v>0</v>
      </c>
      <c r="K1480">
        <f>IF(D1480="dram",H1480,0)</f>
        <v>868</v>
      </c>
      <c r="L1480">
        <v>49152</v>
      </c>
      <c r="M1480">
        <v>0</v>
      </c>
    </row>
    <row r="1481" spans="1:13">
      <c r="A1481">
        <v>1479</v>
      </c>
      <c r="B1481" t="s">
        <v>295</v>
      </c>
      <c r="C1481" t="s">
        <v>82</v>
      </c>
      <c r="D1481" t="s">
        <v>83</v>
      </c>
      <c r="E1481" t="s">
        <v>131</v>
      </c>
      <c r="F1481">
        <v>1024</v>
      </c>
      <c r="G1481">
        <f>MAX(I1477,I1480)</f>
        <v>1349344</v>
      </c>
      <c r="H1481">
        <f>CEILING((dram_access_latency+F1481/dram_bandwidth)*frequency,1)</f>
        <v>116</v>
      </c>
      <c r="I1481">
        <f>G1481+H1481</f>
        <v>1349460</v>
      </c>
      <c r="J1481">
        <f>IF(AND(D1481&lt;&gt;"dram",D1481&lt;&gt;"control"),H1481,0)</f>
        <v>0</v>
      </c>
      <c r="K1481">
        <f>IF(D1481="dram",H1481,0)</f>
        <v>116</v>
      </c>
      <c r="L1481">
        <v>1024</v>
      </c>
      <c r="M1481">
        <v>0</v>
      </c>
    </row>
    <row r="1482" spans="1:13">
      <c r="A1482">
        <v>1480</v>
      </c>
      <c r="B1482" t="s">
        <v>296</v>
      </c>
      <c r="C1482" t="s">
        <v>82</v>
      </c>
      <c r="D1482" t="s">
        <v>83</v>
      </c>
      <c r="E1482" t="s">
        <v>131</v>
      </c>
      <c r="F1482">
        <v>1536</v>
      </c>
      <c r="G1482">
        <f>MAX(I1477,I1481)</f>
        <v>1349460</v>
      </c>
      <c r="H1482">
        <f>CEILING((dram_access_latency+F1482/dram_bandwidth)*frequency,1)</f>
        <v>124</v>
      </c>
      <c r="I1482">
        <f>G1482+H1482</f>
        <v>1349584</v>
      </c>
      <c r="J1482">
        <f>IF(AND(D1482&lt;&gt;"dram",D1482&lt;&gt;"control"),H1482,0)</f>
        <v>0</v>
      </c>
      <c r="K1482">
        <f>IF(D1482="dram",H1482,0)</f>
        <v>124</v>
      </c>
      <c r="L1482">
        <v>1536</v>
      </c>
      <c r="M1482">
        <v>0</v>
      </c>
    </row>
    <row r="1483" spans="1:13">
      <c r="A1483">
        <v>1481</v>
      </c>
      <c r="B1483" t="s">
        <v>297</v>
      </c>
      <c r="C1483" t="s">
        <v>82</v>
      </c>
      <c r="D1483" t="s">
        <v>83</v>
      </c>
      <c r="E1483" t="s">
        <v>131</v>
      </c>
      <c r="F1483">
        <v>32</v>
      </c>
      <c r="G1483">
        <f>MAX(I1477,I1482)</f>
        <v>1349584</v>
      </c>
      <c r="H1483">
        <f>CEILING((dram_access_latency+F1483/dram_bandwidth)*frequency,1)</f>
        <v>101</v>
      </c>
      <c r="I1483">
        <f>G1483+H1483</f>
        <v>1349685</v>
      </c>
      <c r="J1483">
        <f>IF(AND(D1483&lt;&gt;"dram",D1483&lt;&gt;"control"),H1483,0)</f>
        <v>0</v>
      </c>
      <c r="K1483">
        <f>IF(D1483="dram",H1483,0)</f>
        <v>101</v>
      </c>
      <c r="L1483">
        <v>32</v>
      </c>
      <c r="M1483">
        <v>0</v>
      </c>
    </row>
    <row r="1484" spans="1:13">
      <c r="A1484">
        <v>1482</v>
      </c>
      <c r="B1484" t="s">
        <v>298</v>
      </c>
      <c r="C1484" t="s">
        <v>82</v>
      </c>
      <c r="D1484" t="s">
        <v>83</v>
      </c>
      <c r="E1484" t="s">
        <v>131</v>
      </c>
      <c r="F1484">
        <v>1024</v>
      </c>
      <c r="G1484">
        <f>MAX(I1477,I1483)</f>
        <v>1349685</v>
      </c>
      <c r="H1484">
        <f>CEILING((dram_access_latency+F1484/dram_bandwidth)*frequency,1)</f>
        <v>116</v>
      </c>
      <c r="I1484">
        <f>G1484+H1484</f>
        <v>1349801</v>
      </c>
      <c r="J1484">
        <f>IF(AND(D1484&lt;&gt;"dram",D1484&lt;&gt;"control"),H1484,0)</f>
        <v>0</v>
      </c>
      <c r="K1484">
        <f>IF(D1484="dram",H1484,0)</f>
        <v>116</v>
      </c>
      <c r="L1484">
        <v>1024</v>
      </c>
      <c r="M1484">
        <v>0</v>
      </c>
    </row>
    <row r="1485" spans="1:13">
      <c r="A1485">
        <v>1483</v>
      </c>
      <c r="B1485" t="s">
        <v>49</v>
      </c>
      <c r="C1485" t="s">
        <v>90</v>
      </c>
      <c r="D1485" t="s">
        <v>108</v>
      </c>
      <c r="E1485" t="s">
        <v>131</v>
      </c>
      <c r="F1485">
        <v>0</v>
      </c>
      <c r="G1485">
        <f>MAX(I1476,I1476,I1480,I1481,I1482,I1483,I1484,I1478,I1479)</f>
        <v>1349801</v>
      </c>
      <c r="H1485">
        <f>'Operations'!I19</f>
        <v>1198</v>
      </c>
      <c r="I1485">
        <f>G1485+H1485</f>
        <v>1350999</v>
      </c>
      <c r="J1485">
        <f>IF(AND(D1485&lt;&gt;"dram",D1485&lt;&gt;"control"),H1485,0)</f>
        <v>1198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299</v>
      </c>
      <c r="C1486" t="s">
        <v>88</v>
      </c>
      <c r="D1486" t="s">
        <v>89</v>
      </c>
      <c r="E1486" t="s">
        <v>131</v>
      </c>
      <c r="F1486">
        <v>0</v>
      </c>
      <c r="G1486">
        <f>MAX(I1477,I1476)</f>
        <v>1347939</v>
      </c>
      <c r="H1486">
        <f>0</f>
        <v>1530</v>
      </c>
      <c r="I1486">
        <f>G1486+H1486</f>
        <v>1349469</v>
      </c>
      <c r="J1486">
        <f>IF(AND(D1486&lt;&gt;"dram",D1486&lt;&gt;"control"),H1486,0)</f>
        <v>0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300</v>
      </c>
      <c r="C1487" t="s">
        <v>92</v>
      </c>
      <c r="D1487" t="s">
        <v>83</v>
      </c>
      <c r="E1487" t="s">
        <v>131</v>
      </c>
      <c r="F1487">
        <v>8</v>
      </c>
      <c r="G1487">
        <f>MAX(I1486,I1484)</f>
        <v>1349801</v>
      </c>
      <c r="H1487">
        <f>CEILING((dram_access_latency+F1487/dram_bandwidth)*frequency,1)</f>
        <v>101</v>
      </c>
      <c r="I1487">
        <f>G1487+H1487</f>
        <v>1349902</v>
      </c>
      <c r="J1487">
        <f>IF(AND(D1487&lt;&gt;"dram",D1487&lt;&gt;"control"),H1487,0)</f>
        <v>0</v>
      </c>
      <c r="K1487">
        <f>IF(D1487="dram",H1487,0)</f>
        <v>101</v>
      </c>
      <c r="L1487">
        <v>0</v>
      </c>
      <c r="M1487">
        <v>8</v>
      </c>
    </row>
    <row r="1488" spans="1:13">
      <c r="A1488">
        <v>1486</v>
      </c>
      <c r="B1488" t="s">
        <v>301</v>
      </c>
      <c r="C1488" t="s">
        <v>92</v>
      </c>
      <c r="D1488" t="s">
        <v>83</v>
      </c>
      <c r="E1488" t="s">
        <v>131</v>
      </c>
      <c r="F1488">
        <v>256</v>
      </c>
      <c r="G1488">
        <f>MAX(I1486,I1487)</f>
        <v>1349902</v>
      </c>
      <c r="H1488">
        <f>CEILING((dram_access_latency+F1488/dram_bandwidth)*frequency,1)</f>
        <v>104</v>
      </c>
      <c r="I1488">
        <f>G1488+H1488</f>
        <v>1350006</v>
      </c>
      <c r="J1488">
        <f>IF(AND(D1488&lt;&gt;"dram",D1488&lt;&gt;"control"),H1488,0)</f>
        <v>0</v>
      </c>
      <c r="K1488">
        <f>IF(D1488="dram",H1488,0)</f>
        <v>104</v>
      </c>
      <c r="L1488">
        <v>0</v>
      </c>
      <c r="M1488">
        <v>256</v>
      </c>
    </row>
    <row r="1489" spans="1:13">
      <c r="A1489">
        <v>1487</v>
      </c>
      <c r="B1489" t="s">
        <v>294</v>
      </c>
      <c r="C1489" t="s">
        <v>82</v>
      </c>
      <c r="D1489" t="s">
        <v>83</v>
      </c>
      <c r="E1489" t="s">
        <v>132</v>
      </c>
      <c r="F1489">
        <v>49152</v>
      </c>
      <c r="G1489">
        <f>MAX(I1486,I1488)</f>
        <v>1350006</v>
      </c>
      <c r="H1489">
        <f>CEILING((dram_access_latency+F1489/dram_bandwidth)*frequency,1)</f>
        <v>868</v>
      </c>
      <c r="I1489">
        <f>G1489+H1489</f>
        <v>1350874</v>
      </c>
      <c r="J1489">
        <f>IF(AND(D1489&lt;&gt;"dram",D1489&lt;&gt;"control"),H1489,0)</f>
        <v>0</v>
      </c>
      <c r="K1489">
        <f>IF(D1489="dram",H1489,0)</f>
        <v>868</v>
      </c>
      <c r="L1489">
        <v>49152</v>
      </c>
      <c r="M1489">
        <v>0</v>
      </c>
    </row>
    <row r="1490" spans="1:13">
      <c r="A1490">
        <v>1488</v>
      </c>
      <c r="B1490" t="s">
        <v>295</v>
      </c>
      <c r="C1490" t="s">
        <v>82</v>
      </c>
      <c r="D1490" t="s">
        <v>83</v>
      </c>
      <c r="E1490" t="s">
        <v>132</v>
      </c>
      <c r="F1490">
        <v>1024</v>
      </c>
      <c r="G1490">
        <f>MAX(I1486,I1489)</f>
        <v>1350874</v>
      </c>
      <c r="H1490">
        <f>CEILING((dram_access_latency+F1490/dram_bandwidth)*frequency,1)</f>
        <v>116</v>
      </c>
      <c r="I1490">
        <f>G1490+H1490</f>
        <v>1350990</v>
      </c>
      <c r="J1490">
        <f>IF(AND(D1490&lt;&gt;"dram",D1490&lt;&gt;"control"),H1490,0)</f>
        <v>0</v>
      </c>
      <c r="K1490">
        <f>IF(D1490="dram",H1490,0)</f>
        <v>116</v>
      </c>
      <c r="L1490">
        <v>1024</v>
      </c>
      <c r="M1490">
        <v>0</v>
      </c>
    </row>
    <row r="1491" spans="1:13">
      <c r="A1491">
        <v>1489</v>
      </c>
      <c r="B1491" t="s">
        <v>296</v>
      </c>
      <c r="C1491" t="s">
        <v>82</v>
      </c>
      <c r="D1491" t="s">
        <v>83</v>
      </c>
      <c r="E1491" t="s">
        <v>132</v>
      </c>
      <c r="F1491">
        <v>1536</v>
      </c>
      <c r="G1491">
        <f>MAX(I1486,I1490)</f>
        <v>1350990</v>
      </c>
      <c r="H1491">
        <f>CEILING((dram_access_latency+F1491/dram_bandwidth)*frequency,1)</f>
        <v>124</v>
      </c>
      <c r="I1491">
        <f>G1491+H1491</f>
        <v>1351114</v>
      </c>
      <c r="J1491">
        <f>IF(AND(D1491&lt;&gt;"dram",D1491&lt;&gt;"control"),H1491,0)</f>
        <v>0</v>
      </c>
      <c r="K1491">
        <f>IF(D1491="dram",H1491,0)</f>
        <v>124</v>
      </c>
      <c r="L1491">
        <v>1536</v>
      </c>
      <c r="M1491">
        <v>0</v>
      </c>
    </row>
    <row r="1492" spans="1:13">
      <c r="A1492">
        <v>1490</v>
      </c>
      <c r="B1492" t="s">
        <v>297</v>
      </c>
      <c r="C1492" t="s">
        <v>82</v>
      </c>
      <c r="D1492" t="s">
        <v>83</v>
      </c>
      <c r="E1492" t="s">
        <v>132</v>
      </c>
      <c r="F1492">
        <v>32</v>
      </c>
      <c r="G1492">
        <f>MAX(I1486,I1491)</f>
        <v>1351114</v>
      </c>
      <c r="H1492">
        <f>CEILING((dram_access_latency+F1492/dram_bandwidth)*frequency,1)</f>
        <v>101</v>
      </c>
      <c r="I1492">
        <f>G1492+H1492</f>
        <v>1351215</v>
      </c>
      <c r="J1492">
        <f>IF(AND(D1492&lt;&gt;"dram",D1492&lt;&gt;"control"),H1492,0)</f>
        <v>0</v>
      </c>
      <c r="K1492">
        <f>IF(D1492="dram",H1492,0)</f>
        <v>101</v>
      </c>
      <c r="L1492">
        <v>32</v>
      </c>
      <c r="M1492">
        <v>0</v>
      </c>
    </row>
    <row r="1493" spans="1:13">
      <c r="A1493">
        <v>1491</v>
      </c>
      <c r="B1493" t="s">
        <v>298</v>
      </c>
      <c r="C1493" t="s">
        <v>82</v>
      </c>
      <c r="D1493" t="s">
        <v>83</v>
      </c>
      <c r="E1493" t="s">
        <v>132</v>
      </c>
      <c r="F1493">
        <v>1024</v>
      </c>
      <c r="G1493">
        <f>MAX(I1486,I1492)</f>
        <v>1351215</v>
      </c>
      <c r="H1493">
        <f>CEILING((dram_access_latency+F1493/dram_bandwidth)*frequency,1)</f>
        <v>116</v>
      </c>
      <c r="I1493">
        <f>G1493+H1493</f>
        <v>1351331</v>
      </c>
      <c r="J1493">
        <f>IF(AND(D1493&lt;&gt;"dram",D1493&lt;&gt;"control"),H1493,0)</f>
        <v>0</v>
      </c>
      <c r="K1493">
        <f>IF(D1493="dram",H1493,0)</f>
        <v>116</v>
      </c>
      <c r="L1493">
        <v>1024</v>
      </c>
      <c r="M1493">
        <v>0</v>
      </c>
    </row>
    <row r="1494" spans="1:13">
      <c r="A1494">
        <v>1492</v>
      </c>
      <c r="B1494" t="s">
        <v>49</v>
      </c>
      <c r="C1494" t="s">
        <v>90</v>
      </c>
      <c r="D1494" t="s">
        <v>108</v>
      </c>
      <c r="E1494" t="s">
        <v>132</v>
      </c>
      <c r="F1494">
        <v>0</v>
      </c>
      <c r="G1494">
        <f>MAX(I1485,I1485,I1489,I1490,I1491,I1492,I1493,I1487,I1488)</f>
        <v>1351331</v>
      </c>
      <c r="H1494">
        <f>'Operations'!I19</f>
        <v>1198</v>
      </c>
      <c r="I1494">
        <f>G1494+H1494</f>
        <v>1352529</v>
      </c>
      <c r="J1494">
        <f>IF(AND(D1494&lt;&gt;"dram",D1494&lt;&gt;"control"),H1494,0)</f>
        <v>1198</v>
      </c>
      <c r="K1494">
        <f>IF(D1494="dram",H1494,0)</f>
        <v>0</v>
      </c>
      <c r="L1494">
        <v>0</v>
      </c>
      <c r="M1494">
        <v>0</v>
      </c>
    </row>
    <row r="1495" spans="1:13">
      <c r="A1495">
        <v>1493</v>
      </c>
      <c r="B1495" t="s">
        <v>299</v>
      </c>
      <c r="C1495" t="s">
        <v>88</v>
      </c>
      <c r="D1495" t="s">
        <v>89</v>
      </c>
      <c r="E1495" t="s">
        <v>132</v>
      </c>
      <c r="F1495">
        <v>0</v>
      </c>
      <c r="G1495">
        <f>MAX(I1486,I1485)</f>
        <v>1349469</v>
      </c>
      <c r="H1495">
        <f>0</f>
        <v>1530</v>
      </c>
      <c r="I1495">
        <f>G1495+H1495</f>
        <v>1350999</v>
      </c>
      <c r="J1495">
        <f>IF(AND(D1495&lt;&gt;"dram",D1495&lt;&gt;"control"),H1495,0)</f>
        <v>0</v>
      </c>
      <c r="K1495">
        <f>IF(D1495="dram",H1495,0)</f>
        <v>0</v>
      </c>
      <c r="L1495">
        <v>0</v>
      </c>
      <c r="M1495">
        <v>0</v>
      </c>
    </row>
    <row r="1496" spans="1:13">
      <c r="A1496">
        <v>1494</v>
      </c>
      <c r="B1496" t="s">
        <v>300</v>
      </c>
      <c r="C1496" t="s">
        <v>92</v>
      </c>
      <c r="D1496" t="s">
        <v>83</v>
      </c>
      <c r="E1496" t="s">
        <v>132</v>
      </c>
      <c r="F1496">
        <v>8</v>
      </c>
      <c r="G1496">
        <f>MAX(I1495,I1493)</f>
        <v>1351331</v>
      </c>
      <c r="H1496">
        <f>CEILING((dram_access_latency+F1496/dram_bandwidth)*frequency,1)</f>
        <v>101</v>
      </c>
      <c r="I1496">
        <f>G1496+H1496</f>
        <v>1351432</v>
      </c>
      <c r="J1496">
        <f>IF(AND(D1496&lt;&gt;"dram",D1496&lt;&gt;"control"),H1496,0)</f>
        <v>0</v>
      </c>
      <c r="K1496">
        <f>IF(D1496="dram",H1496,0)</f>
        <v>101</v>
      </c>
      <c r="L1496">
        <v>0</v>
      </c>
      <c r="M1496">
        <v>8</v>
      </c>
    </row>
    <row r="1497" spans="1:13">
      <c r="A1497">
        <v>1495</v>
      </c>
      <c r="B1497" t="s">
        <v>301</v>
      </c>
      <c r="C1497" t="s">
        <v>92</v>
      </c>
      <c r="D1497" t="s">
        <v>83</v>
      </c>
      <c r="E1497" t="s">
        <v>132</v>
      </c>
      <c r="F1497">
        <v>256</v>
      </c>
      <c r="G1497">
        <f>MAX(I1495,I1496)</f>
        <v>1351432</v>
      </c>
      <c r="H1497">
        <f>CEILING((dram_access_latency+F1497/dram_bandwidth)*frequency,1)</f>
        <v>104</v>
      </c>
      <c r="I1497">
        <f>G1497+H1497</f>
        <v>1351536</v>
      </c>
      <c r="J1497">
        <f>IF(AND(D1497&lt;&gt;"dram",D1497&lt;&gt;"control"),H1497,0)</f>
        <v>0</v>
      </c>
      <c r="K1497">
        <f>IF(D1497="dram",H1497,0)</f>
        <v>104</v>
      </c>
      <c r="L1497">
        <v>0</v>
      </c>
      <c r="M1497">
        <v>256</v>
      </c>
    </row>
    <row r="1498" spans="1:13">
      <c r="A1498">
        <v>1496</v>
      </c>
      <c r="B1498" t="s">
        <v>294</v>
      </c>
      <c r="C1498" t="s">
        <v>82</v>
      </c>
      <c r="D1498" t="s">
        <v>83</v>
      </c>
      <c r="E1498" t="s">
        <v>133</v>
      </c>
      <c r="F1498">
        <v>49152</v>
      </c>
      <c r="G1498">
        <f>MAX(I1495,I1497)</f>
        <v>1351536</v>
      </c>
      <c r="H1498">
        <f>CEILING((dram_access_latency+F1498/dram_bandwidth)*frequency,1)</f>
        <v>868</v>
      </c>
      <c r="I1498">
        <f>G1498+H1498</f>
        <v>1352404</v>
      </c>
      <c r="J1498">
        <f>IF(AND(D1498&lt;&gt;"dram",D1498&lt;&gt;"control"),H1498,0)</f>
        <v>0</v>
      </c>
      <c r="K1498">
        <f>IF(D1498="dram",H1498,0)</f>
        <v>868</v>
      </c>
      <c r="L1498">
        <v>49152</v>
      </c>
      <c r="M1498">
        <v>0</v>
      </c>
    </row>
    <row r="1499" spans="1:13">
      <c r="A1499">
        <v>1497</v>
      </c>
      <c r="B1499" t="s">
        <v>295</v>
      </c>
      <c r="C1499" t="s">
        <v>82</v>
      </c>
      <c r="D1499" t="s">
        <v>83</v>
      </c>
      <c r="E1499" t="s">
        <v>133</v>
      </c>
      <c r="F1499">
        <v>1024</v>
      </c>
      <c r="G1499">
        <f>MAX(I1495,I1498)</f>
        <v>1352404</v>
      </c>
      <c r="H1499">
        <f>CEILING((dram_access_latency+F1499/dram_bandwidth)*frequency,1)</f>
        <v>116</v>
      </c>
      <c r="I1499">
        <f>G1499+H1499</f>
        <v>1352520</v>
      </c>
      <c r="J1499">
        <f>IF(AND(D1499&lt;&gt;"dram",D1499&lt;&gt;"control"),H1499,0)</f>
        <v>0</v>
      </c>
      <c r="K1499">
        <f>IF(D1499="dram",H1499,0)</f>
        <v>116</v>
      </c>
      <c r="L1499">
        <v>1024</v>
      </c>
      <c r="M1499">
        <v>0</v>
      </c>
    </row>
    <row r="1500" spans="1:13">
      <c r="A1500">
        <v>1498</v>
      </c>
      <c r="B1500" t="s">
        <v>296</v>
      </c>
      <c r="C1500" t="s">
        <v>82</v>
      </c>
      <c r="D1500" t="s">
        <v>83</v>
      </c>
      <c r="E1500" t="s">
        <v>133</v>
      </c>
      <c r="F1500">
        <v>1536</v>
      </c>
      <c r="G1500">
        <f>MAX(I1495,I1499)</f>
        <v>1352520</v>
      </c>
      <c r="H1500">
        <f>CEILING((dram_access_latency+F1500/dram_bandwidth)*frequency,1)</f>
        <v>124</v>
      </c>
      <c r="I1500">
        <f>G1500+H1500</f>
        <v>1352644</v>
      </c>
      <c r="J1500">
        <f>IF(AND(D1500&lt;&gt;"dram",D1500&lt;&gt;"control"),H1500,0)</f>
        <v>0</v>
      </c>
      <c r="K1500">
        <f>IF(D1500="dram",H1500,0)</f>
        <v>124</v>
      </c>
      <c r="L1500">
        <v>1536</v>
      </c>
      <c r="M1500">
        <v>0</v>
      </c>
    </row>
    <row r="1501" spans="1:13">
      <c r="A1501">
        <v>1499</v>
      </c>
      <c r="B1501" t="s">
        <v>297</v>
      </c>
      <c r="C1501" t="s">
        <v>82</v>
      </c>
      <c r="D1501" t="s">
        <v>83</v>
      </c>
      <c r="E1501" t="s">
        <v>133</v>
      </c>
      <c r="F1501">
        <v>32</v>
      </c>
      <c r="G1501">
        <f>MAX(I1495,I1500)</f>
        <v>1352644</v>
      </c>
      <c r="H1501">
        <f>CEILING((dram_access_latency+F1501/dram_bandwidth)*frequency,1)</f>
        <v>101</v>
      </c>
      <c r="I1501">
        <f>G1501+H1501</f>
        <v>1352745</v>
      </c>
      <c r="J1501">
        <f>IF(AND(D1501&lt;&gt;"dram",D1501&lt;&gt;"control"),H1501,0)</f>
        <v>0</v>
      </c>
      <c r="K1501">
        <f>IF(D1501="dram",H1501,0)</f>
        <v>101</v>
      </c>
      <c r="L1501">
        <v>32</v>
      </c>
      <c r="M1501">
        <v>0</v>
      </c>
    </row>
    <row r="1502" spans="1:13">
      <c r="A1502">
        <v>1500</v>
      </c>
      <c r="B1502" t="s">
        <v>298</v>
      </c>
      <c r="C1502" t="s">
        <v>82</v>
      </c>
      <c r="D1502" t="s">
        <v>83</v>
      </c>
      <c r="E1502" t="s">
        <v>133</v>
      </c>
      <c r="F1502">
        <v>1024</v>
      </c>
      <c r="G1502">
        <f>MAX(I1495,I1501)</f>
        <v>1352745</v>
      </c>
      <c r="H1502">
        <f>CEILING((dram_access_latency+F1502/dram_bandwidth)*frequency,1)</f>
        <v>116</v>
      </c>
      <c r="I1502">
        <f>G1502+H1502</f>
        <v>1352861</v>
      </c>
      <c r="J1502">
        <f>IF(AND(D1502&lt;&gt;"dram",D1502&lt;&gt;"control"),H1502,0)</f>
        <v>0</v>
      </c>
      <c r="K1502">
        <f>IF(D1502="dram",H1502,0)</f>
        <v>116</v>
      </c>
      <c r="L1502">
        <v>1024</v>
      </c>
      <c r="M1502">
        <v>0</v>
      </c>
    </row>
    <row r="1503" spans="1:13">
      <c r="A1503">
        <v>1501</v>
      </c>
      <c r="B1503" t="s">
        <v>49</v>
      </c>
      <c r="C1503" t="s">
        <v>90</v>
      </c>
      <c r="D1503" t="s">
        <v>108</v>
      </c>
      <c r="E1503" t="s">
        <v>133</v>
      </c>
      <c r="F1503">
        <v>0</v>
      </c>
      <c r="G1503">
        <f>MAX(I1494,I1494,I1498,I1499,I1500,I1501,I1502,I1496,I1497)</f>
        <v>1352861</v>
      </c>
      <c r="H1503">
        <f>'Operations'!I19</f>
        <v>1198</v>
      </c>
      <c r="I1503">
        <f>G1503+H1503</f>
        <v>1354059</v>
      </c>
      <c r="J1503">
        <f>IF(AND(D1503&lt;&gt;"dram",D1503&lt;&gt;"control"),H1503,0)</f>
        <v>1198</v>
      </c>
      <c r="K1503">
        <f>IF(D1503="dram",H1503,0)</f>
        <v>0</v>
      </c>
      <c r="L1503">
        <v>0</v>
      </c>
      <c r="M1503">
        <v>0</v>
      </c>
    </row>
    <row r="1504" spans="1:13">
      <c r="A1504">
        <v>1502</v>
      </c>
      <c r="B1504" t="s">
        <v>299</v>
      </c>
      <c r="C1504" t="s">
        <v>88</v>
      </c>
      <c r="D1504" t="s">
        <v>89</v>
      </c>
      <c r="E1504" t="s">
        <v>133</v>
      </c>
      <c r="F1504">
        <v>0</v>
      </c>
      <c r="G1504">
        <f>MAX(I1495,I1494)</f>
        <v>1350999</v>
      </c>
      <c r="H1504">
        <f>0</f>
        <v>1530</v>
      </c>
      <c r="I1504">
        <f>G1504+H1504</f>
        <v>1352529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300</v>
      </c>
      <c r="C1505" t="s">
        <v>92</v>
      </c>
      <c r="D1505" t="s">
        <v>83</v>
      </c>
      <c r="E1505" t="s">
        <v>133</v>
      </c>
      <c r="F1505">
        <v>8</v>
      </c>
      <c r="G1505">
        <f>MAX(I1504,I1502)</f>
        <v>1352861</v>
      </c>
      <c r="H1505">
        <f>CEILING((dram_access_latency+F1505/dram_bandwidth)*frequency,1)</f>
        <v>101</v>
      </c>
      <c r="I1505">
        <f>G1505+H1505</f>
        <v>1352962</v>
      </c>
      <c r="J1505">
        <f>IF(AND(D1505&lt;&gt;"dram",D1505&lt;&gt;"control"),H1505,0)</f>
        <v>0</v>
      </c>
      <c r="K1505">
        <f>IF(D1505="dram",H1505,0)</f>
        <v>101</v>
      </c>
      <c r="L1505">
        <v>0</v>
      </c>
      <c r="M1505">
        <v>8</v>
      </c>
    </row>
    <row r="1506" spans="1:13">
      <c r="A1506">
        <v>1504</v>
      </c>
      <c r="B1506" t="s">
        <v>301</v>
      </c>
      <c r="C1506" t="s">
        <v>92</v>
      </c>
      <c r="D1506" t="s">
        <v>83</v>
      </c>
      <c r="E1506" t="s">
        <v>133</v>
      </c>
      <c r="F1506">
        <v>256</v>
      </c>
      <c r="G1506">
        <f>MAX(I1504,I1505)</f>
        <v>1352962</v>
      </c>
      <c r="H1506">
        <f>CEILING((dram_access_latency+F1506/dram_bandwidth)*frequency,1)</f>
        <v>104</v>
      </c>
      <c r="I1506">
        <f>G1506+H1506</f>
        <v>1353066</v>
      </c>
      <c r="J1506">
        <f>IF(AND(D1506&lt;&gt;"dram",D1506&lt;&gt;"control"),H1506,0)</f>
        <v>0</v>
      </c>
      <c r="K1506">
        <f>IF(D1506="dram",H1506,0)</f>
        <v>104</v>
      </c>
      <c r="L1506">
        <v>0</v>
      </c>
      <c r="M1506">
        <v>256</v>
      </c>
    </row>
    <row r="1507" spans="1:13">
      <c r="A1507">
        <v>1505</v>
      </c>
      <c r="B1507" t="s">
        <v>294</v>
      </c>
      <c r="C1507" t="s">
        <v>82</v>
      </c>
      <c r="D1507" t="s">
        <v>83</v>
      </c>
      <c r="E1507" t="s">
        <v>134</v>
      </c>
      <c r="F1507">
        <v>49152</v>
      </c>
      <c r="G1507">
        <f>MAX(I1504,I1506)</f>
        <v>1353066</v>
      </c>
      <c r="H1507">
        <f>CEILING((dram_access_latency+F1507/dram_bandwidth)*frequency,1)</f>
        <v>868</v>
      </c>
      <c r="I1507">
        <f>G1507+H1507</f>
        <v>1353934</v>
      </c>
      <c r="J1507">
        <f>IF(AND(D1507&lt;&gt;"dram",D1507&lt;&gt;"control"),H1507,0)</f>
        <v>0</v>
      </c>
      <c r="K1507">
        <f>IF(D1507="dram",H1507,0)</f>
        <v>868</v>
      </c>
      <c r="L1507">
        <v>49152</v>
      </c>
      <c r="M1507">
        <v>0</v>
      </c>
    </row>
    <row r="1508" spans="1:13">
      <c r="A1508">
        <v>1506</v>
      </c>
      <c r="B1508" t="s">
        <v>295</v>
      </c>
      <c r="C1508" t="s">
        <v>82</v>
      </c>
      <c r="D1508" t="s">
        <v>83</v>
      </c>
      <c r="E1508" t="s">
        <v>134</v>
      </c>
      <c r="F1508">
        <v>1024</v>
      </c>
      <c r="G1508">
        <f>MAX(I1504,I1507)</f>
        <v>1353934</v>
      </c>
      <c r="H1508">
        <f>CEILING((dram_access_latency+F1508/dram_bandwidth)*frequency,1)</f>
        <v>116</v>
      </c>
      <c r="I1508">
        <f>G1508+H1508</f>
        <v>1354050</v>
      </c>
      <c r="J1508">
        <f>IF(AND(D1508&lt;&gt;"dram",D1508&lt;&gt;"control"),H1508,0)</f>
        <v>0</v>
      </c>
      <c r="K1508">
        <f>IF(D1508="dram",H1508,0)</f>
        <v>116</v>
      </c>
      <c r="L1508">
        <v>1024</v>
      </c>
      <c r="M1508">
        <v>0</v>
      </c>
    </row>
    <row r="1509" spans="1:13">
      <c r="A1509">
        <v>1507</v>
      </c>
      <c r="B1509" t="s">
        <v>296</v>
      </c>
      <c r="C1509" t="s">
        <v>82</v>
      </c>
      <c r="D1509" t="s">
        <v>83</v>
      </c>
      <c r="E1509" t="s">
        <v>134</v>
      </c>
      <c r="F1509">
        <v>1536</v>
      </c>
      <c r="G1509">
        <f>MAX(I1504,I1508)</f>
        <v>1354050</v>
      </c>
      <c r="H1509">
        <f>CEILING((dram_access_latency+F1509/dram_bandwidth)*frequency,1)</f>
        <v>124</v>
      </c>
      <c r="I1509">
        <f>G1509+H1509</f>
        <v>1354174</v>
      </c>
      <c r="J1509">
        <f>IF(AND(D1509&lt;&gt;"dram",D1509&lt;&gt;"control"),H1509,0)</f>
        <v>0</v>
      </c>
      <c r="K1509">
        <f>IF(D1509="dram",H1509,0)</f>
        <v>124</v>
      </c>
      <c r="L1509">
        <v>1536</v>
      </c>
      <c r="M1509">
        <v>0</v>
      </c>
    </row>
    <row r="1510" spans="1:13">
      <c r="A1510">
        <v>1508</v>
      </c>
      <c r="B1510" t="s">
        <v>297</v>
      </c>
      <c r="C1510" t="s">
        <v>82</v>
      </c>
      <c r="D1510" t="s">
        <v>83</v>
      </c>
      <c r="E1510" t="s">
        <v>134</v>
      </c>
      <c r="F1510">
        <v>32</v>
      </c>
      <c r="G1510">
        <f>MAX(I1504,I1509)</f>
        <v>1354174</v>
      </c>
      <c r="H1510">
        <f>CEILING((dram_access_latency+F1510/dram_bandwidth)*frequency,1)</f>
        <v>101</v>
      </c>
      <c r="I1510">
        <f>G1510+H1510</f>
        <v>1354275</v>
      </c>
      <c r="J1510">
        <f>IF(AND(D1510&lt;&gt;"dram",D1510&lt;&gt;"control"),H1510,0)</f>
        <v>0</v>
      </c>
      <c r="K1510">
        <f>IF(D1510="dram",H1510,0)</f>
        <v>101</v>
      </c>
      <c r="L1510">
        <v>32</v>
      </c>
      <c r="M1510">
        <v>0</v>
      </c>
    </row>
    <row r="1511" spans="1:13">
      <c r="A1511">
        <v>1509</v>
      </c>
      <c r="B1511" t="s">
        <v>298</v>
      </c>
      <c r="C1511" t="s">
        <v>82</v>
      </c>
      <c r="D1511" t="s">
        <v>83</v>
      </c>
      <c r="E1511" t="s">
        <v>134</v>
      </c>
      <c r="F1511">
        <v>1024</v>
      </c>
      <c r="G1511">
        <f>MAX(I1504,I1510)</f>
        <v>1354275</v>
      </c>
      <c r="H1511">
        <f>CEILING((dram_access_latency+F1511/dram_bandwidth)*frequency,1)</f>
        <v>116</v>
      </c>
      <c r="I1511">
        <f>G1511+H1511</f>
        <v>1354391</v>
      </c>
      <c r="J1511">
        <f>IF(AND(D1511&lt;&gt;"dram",D1511&lt;&gt;"control"),H1511,0)</f>
        <v>0</v>
      </c>
      <c r="K1511">
        <f>IF(D1511="dram",H1511,0)</f>
        <v>116</v>
      </c>
      <c r="L1511">
        <v>1024</v>
      </c>
      <c r="M1511">
        <v>0</v>
      </c>
    </row>
    <row r="1512" spans="1:13">
      <c r="A1512">
        <v>1510</v>
      </c>
      <c r="B1512" t="s">
        <v>49</v>
      </c>
      <c r="C1512" t="s">
        <v>90</v>
      </c>
      <c r="D1512" t="s">
        <v>108</v>
      </c>
      <c r="E1512" t="s">
        <v>134</v>
      </c>
      <c r="F1512">
        <v>0</v>
      </c>
      <c r="G1512">
        <f>MAX(I1503,I1503,I1507,I1508,I1509,I1510,I1511,I1505,I1506)</f>
        <v>1354391</v>
      </c>
      <c r="H1512">
        <f>'Operations'!I19</f>
        <v>1198</v>
      </c>
      <c r="I1512">
        <f>G1512+H1512</f>
        <v>1355589</v>
      </c>
      <c r="J1512">
        <f>IF(AND(D1512&lt;&gt;"dram",D1512&lt;&gt;"control"),H1512,0)</f>
        <v>1198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299</v>
      </c>
      <c r="C1513" t="s">
        <v>88</v>
      </c>
      <c r="D1513" t="s">
        <v>89</v>
      </c>
      <c r="E1513" t="s">
        <v>134</v>
      </c>
      <c r="F1513">
        <v>0</v>
      </c>
      <c r="G1513">
        <f>MAX(I1504,I1503)</f>
        <v>1352529</v>
      </c>
      <c r="H1513">
        <f>0</f>
        <v>1530</v>
      </c>
      <c r="I1513">
        <f>G1513+H1513</f>
        <v>1354059</v>
      </c>
      <c r="J1513">
        <f>IF(AND(D1513&lt;&gt;"dram",D1513&lt;&gt;"control"),H1513,0)</f>
        <v>0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300</v>
      </c>
      <c r="C1514" t="s">
        <v>92</v>
      </c>
      <c r="D1514" t="s">
        <v>83</v>
      </c>
      <c r="E1514" t="s">
        <v>134</v>
      </c>
      <c r="F1514">
        <v>8</v>
      </c>
      <c r="G1514">
        <f>MAX(I1513,I1511)</f>
        <v>1354391</v>
      </c>
      <c r="H1514">
        <f>CEILING((dram_access_latency+F1514/dram_bandwidth)*frequency,1)</f>
        <v>101</v>
      </c>
      <c r="I1514">
        <f>G1514+H1514</f>
        <v>1354492</v>
      </c>
      <c r="J1514">
        <f>IF(AND(D1514&lt;&gt;"dram",D1514&lt;&gt;"control"),H1514,0)</f>
        <v>0</v>
      </c>
      <c r="K1514">
        <f>IF(D1514="dram",H1514,0)</f>
        <v>101</v>
      </c>
      <c r="L1514">
        <v>0</v>
      </c>
      <c r="M1514">
        <v>8</v>
      </c>
    </row>
    <row r="1515" spans="1:13">
      <c r="A1515">
        <v>1513</v>
      </c>
      <c r="B1515" t="s">
        <v>301</v>
      </c>
      <c r="C1515" t="s">
        <v>92</v>
      </c>
      <c r="D1515" t="s">
        <v>83</v>
      </c>
      <c r="E1515" t="s">
        <v>134</v>
      </c>
      <c r="F1515">
        <v>256</v>
      </c>
      <c r="G1515">
        <f>MAX(I1513,I1514)</f>
        <v>1354492</v>
      </c>
      <c r="H1515">
        <f>CEILING((dram_access_latency+F1515/dram_bandwidth)*frequency,1)</f>
        <v>104</v>
      </c>
      <c r="I1515">
        <f>G1515+H1515</f>
        <v>1354596</v>
      </c>
      <c r="J1515">
        <f>IF(AND(D1515&lt;&gt;"dram",D1515&lt;&gt;"control"),H1515,0)</f>
        <v>0</v>
      </c>
      <c r="K1515">
        <f>IF(D1515="dram",H1515,0)</f>
        <v>104</v>
      </c>
      <c r="L1515">
        <v>0</v>
      </c>
      <c r="M1515">
        <v>256</v>
      </c>
    </row>
    <row r="1516" spans="1:13">
      <c r="A1516">
        <v>1514</v>
      </c>
      <c r="B1516" t="s">
        <v>294</v>
      </c>
      <c r="C1516" t="s">
        <v>82</v>
      </c>
      <c r="D1516" t="s">
        <v>83</v>
      </c>
      <c r="E1516" t="s">
        <v>135</v>
      </c>
      <c r="F1516">
        <v>49152</v>
      </c>
      <c r="G1516">
        <f>MAX(I1513,I1515)</f>
        <v>1354596</v>
      </c>
      <c r="H1516">
        <f>CEILING((dram_access_latency+F1516/dram_bandwidth)*frequency,1)</f>
        <v>868</v>
      </c>
      <c r="I1516">
        <f>G1516+H1516</f>
        <v>1355464</v>
      </c>
      <c r="J1516">
        <f>IF(AND(D1516&lt;&gt;"dram",D1516&lt;&gt;"control"),H1516,0)</f>
        <v>0</v>
      </c>
      <c r="K1516">
        <f>IF(D1516="dram",H1516,0)</f>
        <v>868</v>
      </c>
      <c r="L1516">
        <v>49152</v>
      </c>
      <c r="M1516">
        <v>0</v>
      </c>
    </row>
    <row r="1517" spans="1:13">
      <c r="A1517">
        <v>1515</v>
      </c>
      <c r="B1517" t="s">
        <v>295</v>
      </c>
      <c r="C1517" t="s">
        <v>82</v>
      </c>
      <c r="D1517" t="s">
        <v>83</v>
      </c>
      <c r="E1517" t="s">
        <v>135</v>
      </c>
      <c r="F1517">
        <v>1024</v>
      </c>
      <c r="G1517">
        <f>MAX(I1513,I1516)</f>
        <v>1355464</v>
      </c>
      <c r="H1517">
        <f>CEILING((dram_access_latency+F1517/dram_bandwidth)*frequency,1)</f>
        <v>116</v>
      </c>
      <c r="I1517">
        <f>G1517+H1517</f>
        <v>1355580</v>
      </c>
      <c r="J1517">
        <f>IF(AND(D1517&lt;&gt;"dram",D1517&lt;&gt;"control"),H1517,0)</f>
        <v>0</v>
      </c>
      <c r="K1517">
        <f>IF(D1517="dram",H1517,0)</f>
        <v>116</v>
      </c>
      <c r="L1517">
        <v>1024</v>
      </c>
      <c r="M1517">
        <v>0</v>
      </c>
    </row>
    <row r="1518" spans="1:13">
      <c r="A1518">
        <v>1516</v>
      </c>
      <c r="B1518" t="s">
        <v>296</v>
      </c>
      <c r="C1518" t="s">
        <v>82</v>
      </c>
      <c r="D1518" t="s">
        <v>83</v>
      </c>
      <c r="E1518" t="s">
        <v>135</v>
      </c>
      <c r="F1518">
        <v>1536</v>
      </c>
      <c r="G1518">
        <f>MAX(I1513,I1517)</f>
        <v>1355580</v>
      </c>
      <c r="H1518">
        <f>CEILING((dram_access_latency+F1518/dram_bandwidth)*frequency,1)</f>
        <v>124</v>
      </c>
      <c r="I1518">
        <f>G1518+H1518</f>
        <v>1355704</v>
      </c>
      <c r="J1518">
        <f>IF(AND(D1518&lt;&gt;"dram",D1518&lt;&gt;"control"),H1518,0)</f>
        <v>0</v>
      </c>
      <c r="K1518">
        <f>IF(D1518="dram",H1518,0)</f>
        <v>124</v>
      </c>
      <c r="L1518">
        <v>1536</v>
      </c>
      <c r="M1518">
        <v>0</v>
      </c>
    </row>
    <row r="1519" spans="1:13">
      <c r="A1519">
        <v>1517</v>
      </c>
      <c r="B1519" t="s">
        <v>297</v>
      </c>
      <c r="C1519" t="s">
        <v>82</v>
      </c>
      <c r="D1519" t="s">
        <v>83</v>
      </c>
      <c r="E1519" t="s">
        <v>135</v>
      </c>
      <c r="F1519">
        <v>32</v>
      </c>
      <c r="G1519">
        <f>MAX(I1513,I1518)</f>
        <v>1355704</v>
      </c>
      <c r="H1519">
        <f>CEILING((dram_access_latency+F1519/dram_bandwidth)*frequency,1)</f>
        <v>101</v>
      </c>
      <c r="I1519">
        <f>G1519+H1519</f>
        <v>1355805</v>
      </c>
      <c r="J1519">
        <f>IF(AND(D1519&lt;&gt;"dram",D1519&lt;&gt;"control"),H1519,0)</f>
        <v>0</v>
      </c>
      <c r="K1519">
        <f>IF(D1519="dram",H1519,0)</f>
        <v>101</v>
      </c>
      <c r="L1519">
        <v>32</v>
      </c>
      <c r="M1519">
        <v>0</v>
      </c>
    </row>
    <row r="1520" spans="1:13">
      <c r="A1520">
        <v>1518</v>
      </c>
      <c r="B1520" t="s">
        <v>298</v>
      </c>
      <c r="C1520" t="s">
        <v>82</v>
      </c>
      <c r="D1520" t="s">
        <v>83</v>
      </c>
      <c r="E1520" t="s">
        <v>135</v>
      </c>
      <c r="F1520">
        <v>1024</v>
      </c>
      <c r="G1520">
        <f>MAX(I1513,I1519)</f>
        <v>1355805</v>
      </c>
      <c r="H1520">
        <f>CEILING((dram_access_latency+F1520/dram_bandwidth)*frequency,1)</f>
        <v>116</v>
      </c>
      <c r="I1520">
        <f>G1520+H1520</f>
        <v>1355921</v>
      </c>
      <c r="J1520">
        <f>IF(AND(D1520&lt;&gt;"dram",D1520&lt;&gt;"control"),H1520,0)</f>
        <v>0</v>
      </c>
      <c r="K1520">
        <f>IF(D1520="dram",H1520,0)</f>
        <v>116</v>
      </c>
      <c r="L1520">
        <v>1024</v>
      </c>
      <c r="M1520">
        <v>0</v>
      </c>
    </row>
    <row r="1521" spans="1:13">
      <c r="A1521">
        <v>1519</v>
      </c>
      <c r="B1521" t="s">
        <v>49</v>
      </c>
      <c r="C1521" t="s">
        <v>90</v>
      </c>
      <c r="D1521" t="s">
        <v>108</v>
      </c>
      <c r="E1521" t="s">
        <v>135</v>
      </c>
      <c r="F1521">
        <v>0</v>
      </c>
      <c r="G1521">
        <f>MAX(I1512,I1512,I1516,I1517,I1518,I1519,I1520,I1514,I1515)</f>
        <v>1355921</v>
      </c>
      <c r="H1521">
        <f>'Operations'!I19</f>
        <v>1198</v>
      </c>
      <c r="I1521">
        <f>G1521+H1521</f>
        <v>1357119</v>
      </c>
      <c r="J1521">
        <f>IF(AND(D1521&lt;&gt;"dram",D1521&lt;&gt;"control"),H1521,0)</f>
        <v>1198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299</v>
      </c>
      <c r="C1522" t="s">
        <v>88</v>
      </c>
      <c r="D1522" t="s">
        <v>89</v>
      </c>
      <c r="E1522" t="s">
        <v>135</v>
      </c>
      <c r="F1522">
        <v>0</v>
      </c>
      <c r="G1522">
        <f>MAX(I1513,I1512)</f>
        <v>1354059</v>
      </c>
      <c r="H1522">
        <f>0</f>
        <v>1530</v>
      </c>
      <c r="I1522">
        <f>G1522+H1522</f>
        <v>1355589</v>
      </c>
      <c r="J1522">
        <f>IF(AND(D1522&lt;&gt;"dram",D1522&lt;&gt;"control"),H1522,0)</f>
        <v>0</v>
      </c>
      <c r="K1522">
        <f>IF(D1522="dram",H1522,0)</f>
        <v>0</v>
      </c>
      <c r="L1522">
        <v>0</v>
      </c>
      <c r="M1522">
        <v>0</v>
      </c>
    </row>
    <row r="1523" spans="1:13">
      <c r="A1523">
        <v>1521</v>
      </c>
      <c r="B1523" t="s">
        <v>300</v>
      </c>
      <c r="C1523" t="s">
        <v>92</v>
      </c>
      <c r="D1523" t="s">
        <v>83</v>
      </c>
      <c r="E1523" t="s">
        <v>135</v>
      </c>
      <c r="F1523">
        <v>8</v>
      </c>
      <c r="G1523">
        <f>MAX(I1522,I1520)</f>
        <v>1355921</v>
      </c>
      <c r="H1523">
        <f>CEILING((dram_access_latency+F1523/dram_bandwidth)*frequency,1)</f>
        <v>101</v>
      </c>
      <c r="I1523">
        <f>G1523+H1523</f>
        <v>1356022</v>
      </c>
      <c r="J1523">
        <f>IF(AND(D1523&lt;&gt;"dram",D1523&lt;&gt;"control"),H1523,0)</f>
        <v>0</v>
      </c>
      <c r="K1523">
        <f>IF(D1523="dram",H1523,0)</f>
        <v>101</v>
      </c>
      <c r="L1523">
        <v>0</v>
      </c>
      <c r="M1523">
        <v>8</v>
      </c>
    </row>
    <row r="1524" spans="1:13">
      <c r="A1524">
        <v>1522</v>
      </c>
      <c r="B1524" t="s">
        <v>301</v>
      </c>
      <c r="C1524" t="s">
        <v>92</v>
      </c>
      <c r="D1524" t="s">
        <v>83</v>
      </c>
      <c r="E1524" t="s">
        <v>135</v>
      </c>
      <c r="F1524">
        <v>256</v>
      </c>
      <c r="G1524">
        <f>MAX(I1522,I1523)</f>
        <v>1356022</v>
      </c>
      <c r="H1524">
        <f>CEILING((dram_access_latency+F1524/dram_bandwidth)*frequency,1)</f>
        <v>104</v>
      </c>
      <c r="I1524">
        <f>G1524+H1524</f>
        <v>1356126</v>
      </c>
      <c r="J1524">
        <f>IF(AND(D1524&lt;&gt;"dram",D1524&lt;&gt;"control"),H1524,0)</f>
        <v>0</v>
      </c>
      <c r="K1524">
        <f>IF(D1524="dram",H1524,0)</f>
        <v>104</v>
      </c>
      <c r="L1524">
        <v>0</v>
      </c>
      <c r="M1524">
        <v>256</v>
      </c>
    </row>
    <row r="1525" spans="1:13">
      <c r="A1525">
        <v>1523</v>
      </c>
      <c r="B1525" t="s">
        <v>294</v>
      </c>
      <c r="C1525" t="s">
        <v>82</v>
      </c>
      <c r="D1525" t="s">
        <v>83</v>
      </c>
      <c r="E1525" t="s">
        <v>136</v>
      </c>
      <c r="F1525">
        <v>49152</v>
      </c>
      <c r="G1525">
        <f>MAX(I1522,I1524)</f>
        <v>1356126</v>
      </c>
      <c r="H1525">
        <f>CEILING((dram_access_latency+F1525/dram_bandwidth)*frequency,1)</f>
        <v>868</v>
      </c>
      <c r="I1525">
        <f>G1525+H1525</f>
        <v>1356994</v>
      </c>
      <c r="J1525">
        <f>IF(AND(D1525&lt;&gt;"dram",D1525&lt;&gt;"control"),H1525,0)</f>
        <v>0</v>
      </c>
      <c r="K1525">
        <f>IF(D1525="dram",H1525,0)</f>
        <v>868</v>
      </c>
      <c r="L1525">
        <v>49152</v>
      </c>
      <c r="M1525">
        <v>0</v>
      </c>
    </row>
    <row r="1526" spans="1:13">
      <c r="A1526">
        <v>1524</v>
      </c>
      <c r="B1526" t="s">
        <v>295</v>
      </c>
      <c r="C1526" t="s">
        <v>82</v>
      </c>
      <c r="D1526" t="s">
        <v>83</v>
      </c>
      <c r="E1526" t="s">
        <v>136</v>
      </c>
      <c r="F1526">
        <v>1024</v>
      </c>
      <c r="G1526">
        <f>MAX(I1522,I1525)</f>
        <v>1356994</v>
      </c>
      <c r="H1526">
        <f>CEILING((dram_access_latency+F1526/dram_bandwidth)*frequency,1)</f>
        <v>116</v>
      </c>
      <c r="I1526">
        <f>G1526+H1526</f>
        <v>1357110</v>
      </c>
      <c r="J1526">
        <f>IF(AND(D1526&lt;&gt;"dram",D1526&lt;&gt;"control"),H1526,0)</f>
        <v>0</v>
      </c>
      <c r="K1526">
        <f>IF(D1526="dram",H1526,0)</f>
        <v>116</v>
      </c>
      <c r="L1526">
        <v>1024</v>
      </c>
      <c r="M1526">
        <v>0</v>
      </c>
    </row>
    <row r="1527" spans="1:13">
      <c r="A1527">
        <v>1525</v>
      </c>
      <c r="B1527" t="s">
        <v>296</v>
      </c>
      <c r="C1527" t="s">
        <v>82</v>
      </c>
      <c r="D1527" t="s">
        <v>83</v>
      </c>
      <c r="E1527" t="s">
        <v>136</v>
      </c>
      <c r="F1527">
        <v>1536</v>
      </c>
      <c r="G1527">
        <f>MAX(I1522,I1526)</f>
        <v>1357110</v>
      </c>
      <c r="H1527">
        <f>CEILING((dram_access_latency+F1527/dram_bandwidth)*frequency,1)</f>
        <v>124</v>
      </c>
      <c r="I1527">
        <f>G1527+H1527</f>
        <v>1357234</v>
      </c>
      <c r="J1527">
        <f>IF(AND(D1527&lt;&gt;"dram",D1527&lt;&gt;"control"),H1527,0)</f>
        <v>0</v>
      </c>
      <c r="K1527">
        <f>IF(D1527="dram",H1527,0)</f>
        <v>124</v>
      </c>
      <c r="L1527">
        <v>1536</v>
      </c>
      <c r="M1527">
        <v>0</v>
      </c>
    </row>
    <row r="1528" spans="1:13">
      <c r="A1528">
        <v>1526</v>
      </c>
      <c r="B1528" t="s">
        <v>297</v>
      </c>
      <c r="C1528" t="s">
        <v>82</v>
      </c>
      <c r="D1528" t="s">
        <v>83</v>
      </c>
      <c r="E1528" t="s">
        <v>136</v>
      </c>
      <c r="F1528">
        <v>32</v>
      </c>
      <c r="G1528">
        <f>MAX(I1522,I1527)</f>
        <v>1357234</v>
      </c>
      <c r="H1528">
        <f>CEILING((dram_access_latency+F1528/dram_bandwidth)*frequency,1)</f>
        <v>101</v>
      </c>
      <c r="I1528">
        <f>G1528+H1528</f>
        <v>1357335</v>
      </c>
      <c r="J1528">
        <f>IF(AND(D1528&lt;&gt;"dram",D1528&lt;&gt;"control"),H1528,0)</f>
        <v>0</v>
      </c>
      <c r="K1528">
        <f>IF(D1528="dram",H1528,0)</f>
        <v>101</v>
      </c>
      <c r="L1528">
        <v>32</v>
      </c>
      <c r="M1528">
        <v>0</v>
      </c>
    </row>
    <row r="1529" spans="1:13">
      <c r="A1529">
        <v>1527</v>
      </c>
      <c r="B1529" t="s">
        <v>298</v>
      </c>
      <c r="C1529" t="s">
        <v>82</v>
      </c>
      <c r="D1529" t="s">
        <v>83</v>
      </c>
      <c r="E1529" t="s">
        <v>136</v>
      </c>
      <c r="F1529">
        <v>1024</v>
      </c>
      <c r="G1529">
        <f>MAX(I1522,I1528)</f>
        <v>1357335</v>
      </c>
      <c r="H1529">
        <f>CEILING((dram_access_latency+F1529/dram_bandwidth)*frequency,1)</f>
        <v>116</v>
      </c>
      <c r="I1529">
        <f>G1529+H1529</f>
        <v>1357451</v>
      </c>
      <c r="J1529">
        <f>IF(AND(D1529&lt;&gt;"dram",D1529&lt;&gt;"control"),H1529,0)</f>
        <v>0</v>
      </c>
      <c r="K1529">
        <f>IF(D1529="dram",H1529,0)</f>
        <v>116</v>
      </c>
      <c r="L1529">
        <v>1024</v>
      </c>
      <c r="M1529">
        <v>0</v>
      </c>
    </row>
    <row r="1530" spans="1:13">
      <c r="A1530">
        <v>1528</v>
      </c>
      <c r="B1530" t="s">
        <v>49</v>
      </c>
      <c r="C1530" t="s">
        <v>90</v>
      </c>
      <c r="D1530" t="s">
        <v>108</v>
      </c>
      <c r="E1530" t="s">
        <v>136</v>
      </c>
      <c r="F1530">
        <v>0</v>
      </c>
      <c r="G1530">
        <f>MAX(I1521,I1521,I1525,I1526,I1527,I1528,I1529,I1523,I1524)</f>
        <v>1357451</v>
      </c>
      <c r="H1530">
        <f>'Operations'!I19</f>
        <v>1198</v>
      </c>
      <c r="I1530">
        <f>G1530+H1530</f>
        <v>1358649</v>
      </c>
      <c r="J1530">
        <f>IF(AND(D1530&lt;&gt;"dram",D1530&lt;&gt;"control"),H1530,0)</f>
        <v>1198</v>
      </c>
      <c r="K1530">
        <f>IF(D1530="dram",H1530,0)</f>
        <v>0</v>
      </c>
      <c r="L1530">
        <v>0</v>
      </c>
      <c r="M1530">
        <v>0</v>
      </c>
    </row>
    <row r="1531" spans="1:13">
      <c r="A1531">
        <v>1529</v>
      </c>
      <c r="B1531" t="s">
        <v>299</v>
      </c>
      <c r="C1531" t="s">
        <v>88</v>
      </c>
      <c r="D1531" t="s">
        <v>89</v>
      </c>
      <c r="E1531" t="s">
        <v>136</v>
      </c>
      <c r="F1531">
        <v>0</v>
      </c>
      <c r="G1531">
        <f>MAX(I1522,I1521)</f>
        <v>1355589</v>
      </c>
      <c r="H1531">
        <f>0</f>
        <v>1530</v>
      </c>
      <c r="I1531">
        <f>G1531+H1531</f>
        <v>1357119</v>
      </c>
      <c r="J1531">
        <f>IF(AND(D1531&lt;&gt;"dram",D1531&lt;&gt;"control"),H1531,0)</f>
        <v>0</v>
      </c>
      <c r="K1531">
        <f>IF(D1531="dram",H1531,0)</f>
        <v>0</v>
      </c>
      <c r="L1531">
        <v>0</v>
      </c>
      <c r="M1531">
        <v>0</v>
      </c>
    </row>
    <row r="1532" spans="1:13">
      <c r="A1532">
        <v>1530</v>
      </c>
      <c r="B1532" t="s">
        <v>300</v>
      </c>
      <c r="C1532" t="s">
        <v>92</v>
      </c>
      <c r="D1532" t="s">
        <v>83</v>
      </c>
      <c r="E1532" t="s">
        <v>136</v>
      </c>
      <c r="F1532">
        <v>8</v>
      </c>
      <c r="G1532">
        <f>MAX(I1531,I1529)</f>
        <v>1357451</v>
      </c>
      <c r="H1532">
        <f>CEILING((dram_access_latency+F1532/dram_bandwidth)*frequency,1)</f>
        <v>101</v>
      </c>
      <c r="I1532">
        <f>G1532+H1532</f>
        <v>1357552</v>
      </c>
      <c r="J1532">
        <f>IF(AND(D1532&lt;&gt;"dram",D1532&lt;&gt;"control"),H1532,0)</f>
        <v>0</v>
      </c>
      <c r="K1532">
        <f>IF(D1532="dram",H1532,0)</f>
        <v>101</v>
      </c>
      <c r="L1532">
        <v>0</v>
      </c>
      <c r="M1532">
        <v>8</v>
      </c>
    </row>
    <row r="1533" spans="1:13">
      <c r="A1533">
        <v>1531</v>
      </c>
      <c r="B1533" t="s">
        <v>301</v>
      </c>
      <c r="C1533" t="s">
        <v>92</v>
      </c>
      <c r="D1533" t="s">
        <v>83</v>
      </c>
      <c r="E1533" t="s">
        <v>136</v>
      </c>
      <c r="F1533">
        <v>256</v>
      </c>
      <c r="G1533">
        <f>MAX(I1531,I1532)</f>
        <v>1357552</v>
      </c>
      <c r="H1533">
        <f>CEILING((dram_access_latency+F1533/dram_bandwidth)*frequency,1)</f>
        <v>104</v>
      </c>
      <c r="I1533">
        <f>G1533+H1533</f>
        <v>1357656</v>
      </c>
      <c r="J1533">
        <f>IF(AND(D1533&lt;&gt;"dram",D1533&lt;&gt;"control"),H1533,0)</f>
        <v>0</v>
      </c>
      <c r="K1533">
        <f>IF(D1533="dram",H1533,0)</f>
        <v>104</v>
      </c>
      <c r="L1533">
        <v>0</v>
      </c>
      <c r="M1533">
        <v>256</v>
      </c>
    </row>
    <row r="1534" spans="1:13">
      <c r="A1534">
        <v>1532</v>
      </c>
      <c r="B1534" t="s">
        <v>294</v>
      </c>
      <c r="C1534" t="s">
        <v>82</v>
      </c>
      <c r="D1534" t="s">
        <v>83</v>
      </c>
      <c r="E1534" t="s">
        <v>137</v>
      </c>
      <c r="F1534">
        <v>49152</v>
      </c>
      <c r="G1534">
        <f>MAX(I1531,I1533)</f>
        <v>1357656</v>
      </c>
      <c r="H1534">
        <f>CEILING((dram_access_latency+F1534/dram_bandwidth)*frequency,1)</f>
        <v>868</v>
      </c>
      <c r="I1534">
        <f>G1534+H1534</f>
        <v>1358524</v>
      </c>
      <c r="J1534">
        <f>IF(AND(D1534&lt;&gt;"dram",D1534&lt;&gt;"control"),H1534,0)</f>
        <v>0</v>
      </c>
      <c r="K1534">
        <f>IF(D1534="dram",H1534,0)</f>
        <v>868</v>
      </c>
      <c r="L1534">
        <v>49152</v>
      </c>
      <c r="M1534">
        <v>0</v>
      </c>
    </row>
    <row r="1535" spans="1:13">
      <c r="A1535">
        <v>1533</v>
      </c>
      <c r="B1535" t="s">
        <v>295</v>
      </c>
      <c r="C1535" t="s">
        <v>82</v>
      </c>
      <c r="D1535" t="s">
        <v>83</v>
      </c>
      <c r="E1535" t="s">
        <v>137</v>
      </c>
      <c r="F1535">
        <v>1024</v>
      </c>
      <c r="G1535">
        <f>MAX(I1531,I1534)</f>
        <v>1358524</v>
      </c>
      <c r="H1535">
        <f>CEILING((dram_access_latency+F1535/dram_bandwidth)*frequency,1)</f>
        <v>116</v>
      </c>
      <c r="I1535">
        <f>G1535+H1535</f>
        <v>1358640</v>
      </c>
      <c r="J1535">
        <f>IF(AND(D1535&lt;&gt;"dram",D1535&lt;&gt;"control"),H1535,0)</f>
        <v>0</v>
      </c>
      <c r="K1535">
        <f>IF(D1535="dram",H1535,0)</f>
        <v>116</v>
      </c>
      <c r="L1535">
        <v>1024</v>
      </c>
      <c r="M1535">
        <v>0</v>
      </c>
    </row>
    <row r="1536" spans="1:13">
      <c r="A1536">
        <v>1534</v>
      </c>
      <c r="B1536" t="s">
        <v>296</v>
      </c>
      <c r="C1536" t="s">
        <v>82</v>
      </c>
      <c r="D1536" t="s">
        <v>83</v>
      </c>
      <c r="E1536" t="s">
        <v>137</v>
      </c>
      <c r="F1536">
        <v>1536</v>
      </c>
      <c r="G1536">
        <f>MAX(I1531,I1535)</f>
        <v>1358640</v>
      </c>
      <c r="H1536">
        <f>CEILING((dram_access_latency+F1536/dram_bandwidth)*frequency,1)</f>
        <v>124</v>
      </c>
      <c r="I1536">
        <f>G1536+H1536</f>
        <v>1358764</v>
      </c>
      <c r="J1536">
        <f>IF(AND(D1536&lt;&gt;"dram",D1536&lt;&gt;"control"),H1536,0)</f>
        <v>0</v>
      </c>
      <c r="K1536">
        <f>IF(D1536="dram",H1536,0)</f>
        <v>124</v>
      </c>
      <c r="L1536">
        <v>1536</v>
      </c>
      <c r="M1536">
        <v>0</v>
      </c>
    </row>
    <row r="1537" spans="1:13">
      <c r="A1537">
        <v>1535</v>
      </c>
      <c r="B1537" t="s">
        <v>297</v>
      </c>
      <c r="C1537" t="s">
        <v>82</v>
      </c>
      <c r="D1537" t="s">
        <v>83</v>
      </c>
      <c r="E1537" t="s">
        <v>137</v>
      </c>
      <c r="F1537">
        <v>32</v>
      </c>
      <c r="G1537">
        <f>MAX(I1531,I1536)</f>
        <v>1358764</v>
      </c>
      <c r="H1537">
        <f>CEILING((dram_access_latency+F1537/dram_bandwidth)*frequency,1)</f>
        <v>101</v>
      </c>
      <c r="I1537">
        <f>G1537+H1537</f>
        <v>1358865</v>
      </c>
      <c r="J1537">
        <f>IF(AND(D1537&lt;&gt;"dram",D1537&lt;&gt;"control"),H1537,0)</f>
        <v>0</v>
      </c>
      <c r="K1537">
        <f>IF(D1537="dram",H1537,0)</f>
        <v>101</v>
      </c>
      <c r="L1537">
        <v>32</v>
      </c>
      <c r="M1537">
        <v>0</v>
      </c>
    </row>
    <row r="1538" spans="1:13">
      <c r="A1538">
        <v>1536</v>
      </c>
      <c r="B1538" t="s">
        <v>298</v>
      </c>
      <c r="C1538" t="s">
        <v>82</v>
      </c>
      <c r="D1538" t="s">
        <v>83</v>
      </c>
      <c r="E1538" t="s">
        <v>137</v>
      </c>
      <c r="F1538">
        <v>1024</v>
      </c>
      <c r="G1538">
        <f>MAX(I1531,I1537)</f>
        <v>1358865</v>
      </c>
      <c r="H1538">
        <f>CEILING((dram_access_latency+F1538/dram_bandwidth)*frequency,1)</f>
        <v>116</v>
      </c>
      <c r="I1538">
        <f>G1538+H1538</f>
        <v>1358981</v>
      </c>
      <c r="J1538">
        <f>IF(AND(D1538&lt;&gt;"dram",D1538&lt;&gt;"control"),H1538,0)</f>
        <v>0</v>
      </c>
      <c r="K1538">
        <f>IF(D1538="dram",H1538,0)</f>
        <v>116</v>
      </c>
      <c r="L1538">
        <v>1024</v>
      </c>
      <c r="M1538">
        <v>0</v>
      </c>
    </row>
    <row r="1539" spans="1:13">
      <c r="A1539">
        <v>1537</v>
      </c>
      <c r="B1539" t="s">
        <v>49</v>
      </c>
      <c r="C1539" t="s">
        <v>90</v>
      </c>
      <c r="D1539" t="s">
        <v>108</v>
      </c>
      <c r="E1539" t="s">
        <v>137</v>
      </c>
      <c r="F1539">
        <v>0</v>
      </c>
      <c r="G1539">
        <f>MAX(I1530,I1530,I1534,I1535,I1536,I1537,I1538,I1532,I1533)</f>
        <v>1358981</v>
      </c>
      <c r="H1539">
        <f>'Operations'!I19</f>
        <v>1198</v>
      </c>
      <c r="I1539">
        <f>G1539+H1539</f>
        <v>1360179</v>
      </c>
      <c r="J1539">
        <f>IF(AND(D1539&lt;&gt;"dram",D1539&lt;&gt;"control"),H1539,0)</f>
        <v>1198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299</v>
      </c>
      <c r="C1540" t="s">
        <v>88</v>
      </c>
      <c r="D1540" t="s">
        <v>89</v>
      </c>
      <c r="E1540" t="s">
        <v>137</v>
      </c>
      <c r="F1540">
        <v>0</v>
      </c>
      <c r="G1540">
        <f>MAX(I1531,I1530)</f>
        <v>1357119</v>
      </c>
      <c r="H1540">
        <f>0</f>
        <v>1530</v>
      </c>
      <c r="I1540">
        <f>G1540+H1540</f>
        <v>1358649</v>
      </c>
      <c r="J1540">
        <f>IF(AND(D1540&lt;&gt;"dram",D1540&lt;&gt;"control"),H1540,0)</f>
        <v>0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300</v>
      </c>
      <c r="C1541" t="s">
        <v>92</v>
      </c>
      <c r="D1541" t="s">
        <v>83</v>
      </c>
      <c r="E1541" t="s">
        <v>137</v>
      </c>
      <c r="F1541">
        <v>8</v>
      </c>
      <c r="G1541">
        <f>MAX(I1540,I1538)</f>
        <v>1358981</v>
      </c>
      <c r="H1541">
        <f>CEILING((dram_access_latency+F1541/dram_bandwidth)*frequency,1)</f>
        <v>101</v>
      </c>
      <c r="I1541">
        <f>G1541+H1541</f>
        <v>1359082</v>
      </c>
      <c r="J1541">
        <f>IF(AND(D1541&lt;&gt;"dram",D1541&lt;&gt;"control"),H1541,0)</f>
        <v>0</v>
      </c>
      <c r="K1541">
        <f>IF(D1541="dram",H1541,0)</f>
        <v>101</v>
      </c>
      <c r="L1541">
        <v>0</v>
      </c>
      <c r="M1541">
        <v>8</v>
      </c>
    </row>
    <row r="1542" spans="1:13">
      <c r="A1542">
        <v>1540</v>
      </c>
      <c r="B1542" t="s">
        <v>301</v>
      </c>
      <c r="C1542" t="s">
        <v>92</v>
      </c>
      <c r="D1542" t="s">
        <v>83</v>
      </c>
      <c r="E1542" t="s">
        <v>137</v>
      </c>
      <c r="F1542">
        <v>256</v>
      </c>
      <c r="G1542">
        <f>MAX(I1540,I1541)</f>
        <v>1359082</v>
      </c>
      <c r="H1542">
        <f>CEILING((dram_access_latency+F1542/dram_bandwidth)*frequency,1)</f>
        <v>104</v>
      </c>
      <c r="I1542">
        <f>G1542+H1542</f>
        <v>1359186</v>
      </c>
      <c r="J1542">
        <f>IF(AND(D1542&lt;&gt;"dram",D1542&lt;&gt;"control"),H1542,0)</f>
        <v>0</v>
      </c>
      <c r="K1542">
        <f>IF(D1542="dram",H1542,0)</f>
        <v>104</v>
      </c>
      <c r="L1542">
        <v>0</v>
      </c>
      <c r="M1542">
        <v>256</v>
      </c>
    </row>
    <row r="1543" spans="1:13">
      <c r="A1543">
        <v>1541</v>
      </c>
      <c r="B1543" t="s">
        <v>294</v>
      </c>
      <c r="C1543" t="s">
        <v>82</v>
      </c>
      <c r="D1543" t="s">
        <v>83</v>
      </c>
      <c r="E1543" t="s">
        <v>138</v>
      </c>
      <c r="F1543">
        <v>49152</v>
      </c>
      <c r="G1543">
        <f>MAX(I1540,I1542)</f>
        <v>1359186</v>
      </c>
      <c r="H1543">
        <f>CEILING((dram_access_latency+F1543/dram_bandwidth)*frequency,1)</f>
        <v>868</v>
      </c>
      <c r="I1543">
        <f>G1543+H1543</f>
        <v>1360054</v>
      </c>
      <c r="J1543">
        <f>IF(AND(D1543&lt;&gt;"dram",D1543&lt;&gt;"control"),H1543,0)</f>
        <v>0</v>
      </c>
      <c r="K1543">
        <f>IF(D1543="dram",H1543,0)</f>
        <v>868</v>
      </c>
      <c r="L1543">
        <v>49152</v>
      </c>
      <c r="M1543">
        <v>0</v>
      </c>
    </row>
    <row r="1544" spans="1:13">
      <c r="A1544">
        <v>1542</v>
      </c>
      <c r="B1544" t="s">
        <v>295</v>
      </c>
      <c r="C1544" t="s">
        <v>82</v>
      </c>
      <c r="D1544" t="s">
        <v>83</v>
      </c>
      <c r="E1544" t="s">
        <v>138</v>
      </c>
      <c r="F1544">
        <v>1024</v>
      </c>
      <c r="G1544">
        <f>MAX(I1540,I1543)</f>
        <v>1360054</v>
      </c>
      <c r="H1544">
        <f>CEILING((dram_access_latency+F1544/dram_bandwidth)*frequency,1)</f>
        <v>116</v>
      </c>
      <c r="I1544">
        <f>G1544+H1544</f>
        <v>1360170</v>
      </c>
      <c r="J1544">
        <f>IF(AND(D1544&lt;&gt;"dram",D1544&lt;&gt;"control"),H1544,0)</f>
        <v>0</v>
      </c>
      <c r="K1544">
        <f>IF(D1544="dram",H1544,0)</f>
        <v>116</v>
      </c>
      <c r="L1544">
        <v>1024</v>
      </c>
      <c r="M1544">
        <v>0</v>
      </c>
    </row>
    <row r="1545" spans="1:13">
      <c r="A1545">
        <v>1543</v>
      </c>
      <c r="B1545" t="s">
        <v>296</v>
      </c>
      <c r="C1545" t="s">
        <v>82</v>
      </c>
      <c r="D1545" t="s">
        <v>83</v>
      </c>
      <c r="E1545" t="s">
        <v>138</v>
      </c>
      <c r="F1545">
        <v>1536</v>
      </c>
      <c r="G1545">
        <f>MAX(I1540,I1544)</f>
        <v>1360170</v>
      </c>
      <c r="H1545">
        <f>CEILING((dram_access_latency+F1545/dram_bandwidth)*frequency,1)</f>
        <v>124</v>
      </c>
      <c r="I1545">
        <f>G1545+H1545</f>
        <v>1360294</v>
      </c>
      <c r="J1545">
        <f>IF(AND(D1545&lt;&gt;"dram",D1545&lt;&gt;"control"),H1545,0)</f>
        <v>0</v>
      </c>
      <c r="K1545">
        <f>IF(D1545="dram",H1545,0)</f>
        <v>124</v>
      </c>
      <c r="L1545">
        <v>1536</v>
      </c>
      <c r="M1545">
        <v>0</v>
      </c>
    </row>
    <row r="1546" spans="1:13">
      <c r="A1546">
        <v>1544</v>
      </c>
      <c r="B1546" t="s">
        <v>297</v>
      </c>
      <c r="C1546" t="s">
        <v>82</v>
      </c>
      <c r="D1546" t="s">
        <v>83</v>
      </c>
      <c r="E1546" t="s">
        <v>138</v>
      </c>
      <c r="F1546">
        <v>32</v>
      </c>
      <c r="G1546">
        <f>MAX(I1540,I1545)</f>
        <v>1360294</v>
      </c>
      <c r="H1546">
        <f>CEILING((dram_access_latency+F1546/dram_bandwidth)*frequency,1)</f>
        <v>101</v>
      </c>
      <c r="I1546">
        <f>G1546+H1546</f>
        <v>1360395</v>
      </c>
      <c r="J1546">
        <f>IF(AND(D1546&lt;&gt;"dram",D1546&lt;&gt;"control"),H1546,0)</f>
        <v>0</v>
      </c>
      <c r="K1546">
        <f>IF(D1546="dram",H1546,0)</f>
        <v>101</v>
      </c>
      <c r="L1546">
        <v>32</v>
      </c>
      <c r="M1546">
        <v>0</v>
      </c>
    </row>
    <row r="1547" spans="1:13">
      <c r="A1547">
        <v>1545</v>
      </c>
      <c r="B1547" t="s">
        <v>298</v>
      </c>
      <c r="C1547" t="s">
        <v>82</v>
      </c>
      <c r="D1547" t="s">
        <v>83</v>
      </c>
      <c r="E1547" t="s">
        <v>138</v>
      </c>
      <c r="F1547">
        <v>1024</v>
      </c>
      <c r="G1547">
        <f>MAX(I1540,I1546)</f>
        <v>1360395</v>
      </c>
      <c r="H1547">
        <f>CEILING((dram_access_latency+F1547/dram_bandwidth)*frequency,1)</f>
        <v>116</v>
      </c>
      <c r="I1547">
        <f>G1547+H1547</f>
        <v>1360511</v>
      </c>
      <c r="J1547">
        <f>IF(AND(D1547&lt;&gt;"dram",D1547&lt;&gt;"control"),H1547,0)</f>
        <v>0</v>
      </c>
      <c r="K1547">
        <f>IF(D1547="dram",H1547,0)</f>
        <v>116</v>
      </c>
      <c r="L1547">
        <v>1024</v>
      </c>
      <c r="M1547">
        <v>0</v>
      </c>
    </row>
    <row r="1548" spans="1:13">
      <c r="A1548">
        <v>1546</v>
      </c>
      <c r="B1548" t="s">
        <v>49</v>
      </c>
      <c r="C1548" t="s">
        <v>90</v>
      </c>
      <c r="D1548" t="s">
        <v>108</v>
      </c>
      <c r="E1548" t="s">
        <v>138</v>
      </c>
      <c r="F1548">
        <v>0</v>
      </c>
      <c r="G1548">
        <f>MAX(I1539,I1539,I1543,I1544,I1545,I1546,I1547,I1541,I1542)</f>
        <v>1360511</v>
      </c>
      <c r="H1548">
        <f>'Operations'!I19</f>
        <v>1198</v>
      </c>
      <c r="I1548">
        <f>G1548+H1548</f>
        <v>1361709</v>
      </c>
      <c r="J1548">
        <f>IF(AND(D1548&lt;&gt;"dram",D1548&lt;&gt;"control"),H1548,0)</f>
        <v>1198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299</v>
      </c>
      <c r="C1549" t="s">
        <v>88</v>
      </c>
      <c r="D1549" t="s">
        <v>89</v>
      </c>
      <c r="E1549" t="s">
        <v>138</v>
      </c>
      <c r="F1549">
        <v>0</v>
      </c>
      <c r="G1549">
        <f>MAX(I1540,I1539)</f>
        <v>1358649</v>
      </c>
      <c r="H1549">
        <f>0</f>
        <v>1530</v>
      </c>
      <c r="I1549">
        <f>G1549+H1549</f>
        <v>1360179</v>
      </c>
      <c r="J1549">
        <f>IF(AND(D1549&lt;&gt;"dram",D1549&lt;&gt;"control"),H1549,0)</f>
        <v>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300</v>
      </c>
      <c r="C1550" t="s">
        <v>92</v>
      </c>
      <c r="D1550" t="s">
        <v>83</v>
      </c>
      <c r="E1550" t="s">
        <v>138</v>
      </c>
      <c r="F1550">
        <v>8</v>
      </c>
      <c r="G1550">
        <f>MAX(I1549,I1547)</f>
        <v>1360511</v>
      </c>
      <c r="H1550">
        <f>CEILING((dram_access_latency+F1550/dram_bandwidth)*frequency,1)</f>
        <v>101</v>
      </c>
      <c r="I1550">
        <f>G1550+H1550</f>
        <v>1360612</v>
      </c>
      <c r="J1550">
        <f>IF(AND(D1550&lt;&gt;"dram",D1550&lt;&gt;"control"),H1550,0)</f>
        <v>0</v>
      </c>
      <c r="K1550">
        <f>IF(D1550="dram",H1550,0)</f>
        <v>101</v>
      </c>
      <c r="L1550">
        <v>0</v>
      </c>
      <c r="M1550">
        <v>8</v>
      </c>
    </row>
    <row r="1551" spans="1:13">
      <c r="A1551">
        <v>1549</v>
      </c>
      <c r="B1551" t="s">
        <v>301</v>
      </c>
      <c r="C1551" t="s">
        <v>92</v>
      </c>
      <c r="D1551" t="s">
        <v>83</v>
      </c>
      <c r="E1551" t="s">
        <v>138</v>
      </c>
      <c r="F1551">
        <v>256</v>
      </c>
      <c r="G1551">
        <f>MAX(I1549,I1550)</f>
        <v>1360612</v>
      </c>
      <c r="H1551">
        <f>CEILING((dram_access_latency+F1551/dram_bandwidth)*frequency,1)</f>
        <v>104</v>
      </c>
      <c r="I1551">
        <f>G1551+H1551</f>
        <v>1360716</v>
      </c>
      <c r="J1551">
        <f>IF(AND(D1551&lt;&gt;"dram",D1551&lt;&gt;"control"),H1551,0)</f>
        <v>0</v>
      </c>
      <c r="K1551">
        <f>IF(D1551="dram",H1551,0)</f>
        <v>104</v>
      </c>
      <c r="L1551">
        <v>0</v>
      </c>
      <c r="M1551">
        <v>256</v>
      </c>
    </row>
    <row r="1552" spans="1:13">
      <c r="A1552">
        <v>1550</v>
      </c>
      <c r="B1552" t="s">
        <v>294</v>
      </c>
      <c r="C1552" t="s">
        <v>82</v>
      </c>
      <c r="D1552" t="s">
        <v>83</v>
      </c>
      <c r="E1552" t="s">
        <v>139</v>
      </c>
      <c r="F1552">
        <v>49152</v>
      </c>
      <c r="G1552">
        <f>MAX(I1549,I1551)</f>
        <v>1360716</v>
      </c>
      <c r="H1552">
        <f>CEILING((dram_access_latency+F1552/dram_bandwidth)*frequency,1)</f>
        <v>868</v>
      </c>
      <c r="I1552">
        <f>G1552+H1552</f>
        <v>1361584</v>
      </c>
      <c r="J1552">
        <f>IF(AND(D1552&lt;&gt;"dram",D1552&lt;&gt;"control"),H1552,0)</f>
        <v>0</v>
      </c>
      <c r="K1552">
        <f>IF(D1552="dram",H1552,0)</f>
        <v>868</v>
      </c>
      <c r="L1552">
        <v>49152</v>
      </c>
      <c r="M1552">
        <v>0</v>
      </c>
    </row>
    <row r="1553" spans="1:13">
      <c r="A1553">
        <v>1551</v>
      </c>
      <c r="B1553" t="s">
        <v>295</v>
      </c>
      <c r="C1553" t="s">
        <v>82</v>
      </c>
      <c r="D1553" t="s">
        <v>83</v>
      </c>
      <c r="E1553" t="s">
        <v>139</v>
      </c>
      <c r="F1553">
        <v>1024</v>
      </c>
      <c r="G1553">
        <f>MAX(I1549,I1552)</f>
        <v>1361584</v>
      </c>
      <c r="H1553">
        <f>CEILING((dram_access_latency+F1553/dram_bandwidth)*frequency,1)</f>
        <v>116</v>
      </c>
      <c r="I1553">
        <f>G1553+H1553</f>
        <v>1361700</v>
      </c>
      <c r="J1553">
        <f>IF(AND(D1553&lt;&gt;"dram",D1553&lt;&gt;"control"),H1553,0)</f>
        <v>0</v>
      </c>
      <c r="K1553">
        <f>IF(D1553="dram",H1553,0)</f>
        <v>116</v>
      </c>
      <c r="L1553">
        <v>1024</v>
      </c>
      <c r="M1553">
        <v>0</v>
      </c>
    </row>
    <row r="1554" spans="1:13">
      <c r="A1554">
        <v>1552</v>
      </c>
      <c r="B1554" t="s">
        <v>296</v>
      </c>
      <c r="C1554" t="s">
        <v>82</v>
      </c>
      <c r="D1554" t="s">
        <v>83</v>
      </c>
      <c r="E1554" t="s">
        <v>139</v>
      </c>
      <c r="F1554">
        <v>1536</v>
      </c>
      <c r="G1554">
        <f>MAX(I1549,I1553)</f>
        <v>1361700</v>
      </c>
      <c r="H1554">
        <f>CEILING((dram_access_latency+F1554/dram_bandwidth)*frequency,1)</f>
        <v>124</v>
      </c>
      <c r="I1554">
        <f>G1554+H1554</f>
        <v>1361824</v>
      </c>
      <c r="J1554">
        <f>IF(AND(D1554&lt;&gt;"dram",D1554&lt;&gt;"control"),H1554,0)</f>
        <v>0</v>
      </c>
      <c r="K1554">
        <f>IF(D1554="dram",H1554,0)</f>
        <v>124</v>
      </c>
      <c r="L1554">
        <v>1536</v>
      </c>
      <c r="M1554">
        <v>0</v>
      </c>
    </row>
    <row r="1555" spans="1:13">
      <c r="A1555">
        <v>1553</v>
      </c>
      <c r="B1555" t="s">
        <v>297</v>
      </c>
      <c r="C1555" t="s">
        <v>82</v>
      </c>
      <c r="D1555" t="s">
        <v>83</v>
      </c>
      <c r="E1555" t="s">
        <v>139</v>
      </c>
      <c r="F1555">
        <v>32</v>
      </c>
      <c r="G1555">
        <f>MAX(I1549,I1554)</f>
        <v>1361824</v>
      </c>
      <c r="H1555">
        <f>CEILING((dram_access_latency+F1555/dram_bandwidth)*frequency,1)</f>
        <v>101</v>
      </c>
      <c r="I1555">
        <f>G1555+H1555</f>
        <v>1361925</v>
      </c>
      <c r="J1555">
        <f>IF(AND(D1555&lt;&gt;"dram",D1555&lt;&gt;"control"),H1555,0)</f>
        <v>0</v>
      </c>
      <c r="K1555">
        <f>IF(D1555="dram",H1555,0)</f>
        <v>101</v>
      </c>
      <c r="L1555">
        <v>32</v>
      </c>
      <c r="M1555">
        <v>0</v>
      </c>
    </row>
    <row r="1556" spans="1:13">
      <c r="A1556">
        <v>1554</v>
      </c>
      <c r="B1556" t="s">
        <v>298</v>
      </c>
      <c r="C1556" t="s">
        <v>82</v>
      </c>
      <c r="D1556" t="s">
        <v>83</v>
      </c>
      <c r="E1556" t="s">
        <v>139</v>
      </c>
      <c r="F1556">
        <v>1024</v>
      </c>
      <c r="G1556">
        <f>MAX(I1549,I1555)</f>
        <v>1361925</v>
      </c>
      <c r="H1556">
        <f>CEILING((dram_access_latency+F1556/dram_bandwidth)*frequency,1)</f>
        <v>116</v>
      </c>
      <c r="I1556">
        <f>G1556+H1556</f>
        <v>1362041</v>
      </c>
      <c r="J1556">
        <f>IF(AND(D1556&lt;&gt;"dram",D1556&lt;&gt;"control"),H1556,0)</f>
        <v>0</v>
      </c>
      <c r="K1556">
        <f>IF(D1556="dram",H1556,0)</f>
        <v>116</v>
      </c>
      <c r="L1556">
        <v>1024</v>
      </c>
      <c r="M1556">
        <v>0</v>
      </c>
    </row>
    <row r="1557" spans="1:13">
      <c r="A1557">
        <v>1555</v>
      </c>
      <c r="B1557" t="s">
        <v>49</v>
      </c>
      <c r="C1557" t="s">
        <v>90</v>
      </c>
      <c r="D1557" t="s">
        <v>108</v>
      </c>
      <c r="E1557" t="s">
        <v>139</v>
      </c>
      <c r="F1557">
        <v>0</v>
      </c>
      <c r="G1557">
        <f>MAX(I1548,I1548,I1552,I1553,I1554,I1555,I1556,I1550,I1551)</f>
        <v>1362041</v>
      </c>
      <c r="H1557">
        <f>'Operations'!I19</f>
        <v>1198</v>
      </c>
      <c r="I1557">
        <f>G1557+H1557</f>
        <v>1363239</v>
      </c>
      <c r="J1557">
        <f>IF(AND(D1557&lt;&gt;"dram",D1557&lt;&gt;"control"),H1557,0)</f>
        <v>1198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299</v>
      </c>
      <c r="C1558" t="s">
        <v>88</v>
      </c>
      <c r="D1558" t="s">
        <v>89</v>
      </c>
      <c r="E1558" t="s">
        <v>139</v>
      </c>
      <c r="F1558">
        <v>0</v>
      </c>
      <c r="G1558">
        <f>MAX(I1549,I1548)</f>
        <v>1360179</v>
      </c>
      <c r="H1558">
        <f>0</f>
        <v>1530</v>
      </c>
      <c r="I1558">
        <f>G1558+H1558</f>
        <v>1361709</v>
      </c>
      <c r="J1558">
        <f>IF(AND(D1558&lt;&gt;"dram",D1558&lt;&gt;"control"),H1558,0)</f>
        <v>0</v>
      </c>
      <c r="K1558">
        <f>IF(D1558="dram",H1558,0)</f>
        <v>0</v>
      </c>
      <c r="L1558">
        <v>0</v>
      </c>
      <c r="M1558">
        <v>0</v>
      </c>
    </row>
    <row r="1559" spans="1:13">
      <c r="A1559">
        <v>1557</v>
      </c>
      <c r="B1559" t="s">
        <v>300</v>
      </c>
      <c r="C1559" t="s">
        <v>92</v>
      </c>
      <c r="D1559" t="s">
        <v>83</v>
      </c>
      <c r="E1559" t="s">
        <v>139</v>
      </c>
      <c r="F1559">
        <v>8</v>
      </c>
      <c r="G1559">
        <f>MAX(I1558,I1556)</f>
        <v>1362041</v>
      </c>
      <c r="H1559">
        <f>CEILING((dram_access_latency+F1559/dram_bandwidth)*frequency,1)</f>
        <v>101</v>
      </c>
      <c r="I1559">
        <f>G1559+H1559</f>
        <v>1362142</v>
      </c>
      <c r="J1559">
        <f>IF(AND(D1559&lt;&gt;"dram",D1559&lt;&gt;"control"),H1559,0)</f>
        <v>0</v>
      </c>
      <c r="K1559">
        <f>IF(D1559="dram",H1559,0)</f>
        <v>101</v>
      </c>
      <c r="L1559">
        <v>0</v>
      </c>
      <c r="M1559">
        <v>8</v>
      </c>
    </row>
    <row r="1560" spans="1:13">
      <c r="A1560">
        <v>1558</v>
      </c>
      <c r="B1560" t="s">
        <v>301</v>
      </c>
      <c r="C1560" t="s">
        <v>92</v>
      </c>
      <c r="D1560" t="s">
        <v>83</v>
      </c>
      <c r="E1560" t="s">
        <v>139</v>
      </c>
      <c r="F1560">
        <v>256</v>
      </c>
      <c r="G1560">
        <f>MAX(I1558,I1559)</f>
        <v>1362142</v>
      </c>
      <c r="H1560">
        <f>CEILING((dram_access_latency+F1560/dram_bandwidth)*frequency,1)</f>
        <v>104</v>
      </c>
      <c r="I1560">
        <f>G1560+H1560</f>
        <v>1362246</v>
      </c>
      <c r="J1560">
        <f>IF(AND(D1560&lt;&gt;"dram",D1560&lt;&gt;"control"),H1560,0)</f>
        <v>0</v>
      </c>
      <c r="K1560">
        <f>IF(D1560="dram",H1560,0)</f>
        <v>104</v>
      </c>
      <c r="L1560">
        <v>0</v>
      </c>
      <c r="M1560">
        <v>256</v>
      </c>
    </row>
    <row r="1561" spans="1:13">
      <c r="A1561">
        <v>1559</v>
      </c>
      <c r="B1561" t="s">
        <v>294</v>
      </c>
      <c r="C1561" t="s">
        <v>82</v>
      </c>
      <c r="D1561" t="s">
        <v>83</v>
      </c>
      <c r="E1561" t="s">
        <v>140</v>
      </c>
      <c r="F1561">
        <v>49152</v>
      </c>
      <c r="G1561">
        <f>MAX(I1558,I1560)</f>
        <v>1362246</v>
      </c>
      <c r="H1561">
        <f>CEILING((dram_access_latency+F1561/dram_bandwidth)*frequency,1)</f>
        <v>868</v>
      </c>
      <c r="I1561">
        <f>G1561+H1561</f>
        <v>1363114</v>
      </c>
      <c r="J1561">
        <f>IF(AND(D1561&lt;&gt;"dram",D1561&lt;&gt;"control"),H1561,0)</f>
        <v>0</v>
      </c>
      <c r="K1561">
        <f>IF(D1561="dram",H1561,0)</f>
        <v>868</v>
      </c>
      <c r="L1561">
        <v>49152</v>
      </c>
      <c r="M1561">
        <v>0</v>
      </c>
    </row>
    <row r="1562" spans="1:13">
      <c r="A1562">
        <v>1560</v>
      </c>
      <c r="B1562" t="s">
        <v>295</v>
      </c>
      <c r="C1562" t="s">
        <v>82</v>
      </c>
      <c r="D1562" t="s">
        <v>83</v>
      </c>
      <c r="E1562" t="s">
        <v>140</v>
      </c>
      <c r="F1562">
        <v>1024</v>
      </c>
      <c r="G1562">
        <f>MAX(I1558,I1561)</f>
        <v>1363114</v>
      </c>
      <c r="H1562">
        <f>CEILING((dram_access_latency+F1562/dram_bandwidth)*frequency,1)</f>
        <v>116</v>
      </c>
      <c r="I1562">
        <f>G1562+H1562</f>
        <v>1363230</v>
      </c>
      <c r="J1562">
        <f>IF(AND(D1562&lt;&gt;"dram",D1562&lt;&gt;"control"),H1562,0)</f>
        <v>0</v>
      </c>
      <c r="K1562">
        <f>IF(D1562="dram",H1562,0)</f>
        <v>116</v>
      </c>
      <c r="L1562">
        <v>1024</v>
      </c>
      <c r="M1562">
        <v>0</v>
      </c>
    </row>
    <row r="1563" spans="1:13">
      <c r="A1563">
        <v>1561</v>
      </c>
      <c r="B1563" t="s">
        <v>296</v>
      </c>
      <c r="C1563" t="s">
        <v>82</v>
      </c>
      <c r="D1563" t="s">
        <v>83</v>
      </c>
      <c r="E1563" t="s">
        <v>140</v>
      </c>
      <c r="F1563">
        <v>1536</v>
      </c>
      <c r="G1563">
        <f>MAX(I1558,I1562)</f>
        <v>1363230</v>
      </c>
      <c r="H1563">
        <f>CEILING((dram_access_latency+F1563/dram_bandwidth)*frequency,1)</f>
        <v>124</v>
      </c>
      <c r="I1563">
        <f>G1563+H1563</f>
        <v>1363354</v>
      </c>
      <c r="J1563">
        <f>IF(AND(D1563&lt;&gt;"dram",D1563&lt;&gt;"control"),H1563,0)</f>
        <v>0</v>
      </c>
      <c r="K1563">
        <f>IF(D1563="dram",H1563,0)</f>
        <v>124</v>
      </c>
      <c r="L1563">
        <v>1536</v>
      </c>
      <c r="M1563">
        <v>0</v>
      </c>
    </row>
    <row r="1564" spans="1:13">
      <c r="A1564">
        <v>1562</v>
      </c>
      <c r="B1564" t="s">
        <v>297</v>
      </c>
      <c r="C1564" t="s">
        <v>82</v>
      </c>
      <c r="D1564" t="s">
        <v>83</v>
      </c>
      <c r="E1564" t="s">
        <v>140</v>
      </c>
      <c r="F1564">
        <v>32</v>
      </c>
      <c r="G1564">
        <f>MAX(I1558,I1563)</f>
        <v>1363354</v>
      </c>
      <c r="H1564">
        <f>CEILING((dram_access_latency+F1564/dram_bandwidth)*frequency,1)</f>
        <v>101</v>
      </c>
      <c r="I1564">
        <f>G1564+H1564</f>
        <v>1363455</v>
      </c>
      <c r="J1564">
        <f>IF(AND(D1564&lt;&gt;"dram",D1564&lt;&gt;"control"),H1564,0)</f>
        <v>0</v>
      </c>
      <c r="K1564">
        <f>IF(D1564="dram",H1564,0)</f>
        <v>101</v>
      </c>
      <c r="L1564">
        <v>32</v>
      </c>
      <c r="M1564">
        <v>0</v>
      </c>
    </row>
    <row r="1565" spans="1:13">
      <c r="A1565">
        <v>1563</v>
      </c>
      <c r="B1565" t="s">
        <v>298</v>
      </c>
      <c r="C1565" t="s">
        <v>82</v>
      </c>
      <c r="D1565" t="s">
        <v>83</v>
      </c>
      <c r="E1565" t="s">
        <v>140</v>
      </c>
      <c r="F1565">
        <v>1024</v>
      </c>
      <c r="G1565">
        <f>MAX(I1558,I1564)</f>
        <v>1363455</v>
      </c>
      <c r="H1565">
        <f>CEILING((dram_access_latency+F1565/dram_bandwidth)*frequency,1)</f>
        <v>116</v>
      </c>
      <c r="I1565">
        <f>G1565+H1565</f>
        <v>1363571</v>
      </c>
      <c r="J1565">
        <f>IF(AND(D1565&lt;&gt;"dram",D1565&lt;&gt;"control"),H1565,0)</f>
        <v>0</v>
      </c>
      <c r="K1565">
        <f>IF(D1565="dram",H1565,0)</f>
        <v>116</v>
      </c>
      <c r="L1565">
        <v>1024</v>
      </c>
      <c r="M1565">
        <v>0</v>
      </c>
    </row>
    <row r="1566" spans="1:13">
      <c r="A1566">
        <v>1564</v>
      </c>
      <c r="B1566" t="s">
        <v>49</v>
      </c>
      <c r="C1566" t="s">
        <v>90</v>
      </c>
      <c r="D1566" t="s">
        <v>108</v>
      </c>
      <c r="E1566" t="s">
        <v>140</v>
      </c>
      <c r="F1566">
        <v>0</v>
      </c>
      <c r="G1566">
        <f>MAX(I1557,I1557,I1561,I1562,I1563,I1564,I1565,I1559,I1560)</f>
        <v>1363571</v>
      </c>
      <c r="H1566">
        <f>'Operations'!I19</f>
        <v>1198</v>
      </c>
      <c r="I1566">
        <f>G1566+H1566</f>
        <v>1364769</v>
      </c>
      <c r="J1566">
        <f>IF(AND(D1566&lt;&gt;"dram",D1566&lt;&gt;"control"),H1566,0)</f>
        <v>1198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299</v>
      </c>
      <c r="C1567" t="s">
        <v>88</v>
      </c>
      <c r="D1567" t="s">
        <v>89</v>
      </c>
      <c r="E1567" t="s">
        <v>140</v>
      </c>
      <c r="F1567">
        <v>0</v>
      </c>
      <c r="G1567">
        <f>MAX(I1558,I1557)</f>
        <v>1361709</v>
      </c>
      <c r="H1567">
        <f>0</f>
        <v>1530</v>
      </c>
      <c r="I1567">
        <f>G1567+H1567</f>
        <v>1363239</v>
      </c>
      <c r="J1567">
        <f>IF(AND(D1567&lt;&gt;"dram",D1567&lt;&gt;"control"),H1567,0)</f>
        <v>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300</v>
      </c>
      <c r="C1568" t="s">
        <v>92</v>
      </c>
      <c r="D1568" t="s">
        <v>83</v>
      </c>
      <c r="E1568" t="s">
        <v>140</v>
      </c>
      <c r="F1568">
        <v>8</v>
      </c>
      <c r="G1568">
        <f>MAX(I1567,I1565)</f>
        <v>1363571</v>
      </c>
      <c r="H1568">
        <f>CEILING((dram_access_latency+F1568/dram_bandwidth)*frequency,1)</f>
        <v>101</v>
      </c>
      <c r="I1568">
        <f>G1568+H1568</f>
        <v>1363672</v>
      </c>
      <c r="J1568">
        <f>IF(AND(D1568&lt;&gt;"dram",D1568&lt;&gt;"control"),H1568,0)</f>
        <v>0</v>
      </c>
      <c r="K1568">
        <f>IF(D1568="dram",H1568,0)</f>
        <v>101</v>
      </c>
      <c r="L1568">
        <v>0</v>
      </c>
      <c r="M1568">
        <v>8</v>
      </c>
    </row>
    <row r="1569" spans="1:13">
      <c r="A1569">
        <v>1567</v>
      </c>
      <c r="B1569" t="s">
        <v>301</v>
      </c>
      <c r="C1569" t="s">
        <v>92</v>
      </c>
      <c r="D1569" t="s">
        <v>83</v>
      </c>
      <c r="E1569" t="s">
        <v>140</v>
      </c>
      <c r="F1569">
        <v>256</v>
      </c>
      <c r="G1569">
        <f>MAX(I1567,I1568)</f>
        <v>1363672</v>
      </c>
      <c r="H1569">
        <f>CEILING((dram_access_latency+F1569/dram_bandwidth)*frequency,1)</f>
        <v>104</v>
      </c>
      <c r="I1569">
        <f>G1569+H1569</f>
        <v>1363776</v>
      </c>
      <c r="J1569">
        <f>IF(AND(D1569&lt;&gt;"dram",D1569&lt;&gt;"control"),H1569,0)</f>
        <v>0</v>
      </c>
      <c r="K1569">
        <f>IF(D1569="dram",H1569,0)</f>
        <v>104</v>
      </c>
      <c r="L1569">
        <v>0</v>
      </c>
      <c r="M1569">
        <v>256</v>
      </c>
    </row>
    <row r="1570" spans="1:13">
      <c r="A1570">
        <v>1568</v>
      </c>
      <c r="B1570" t="s">
        <v>302</v>
      </c>
      <c r="C1570" t="s">
        <v>88</v>
      </c>
      <c r="D1570" t="s">
        <v>89</v>
      </c>
      <c r="E1570" t="s">
        <v>84</v>
      </c>
      <c r="F1570">
        <v>0</v>
      </c>
      <c r="G1570">
        <f>MAX(I1567,I1566)</f>
        <v>1363239</v>
      </c>
      <c r="H1570">
        <f>0</f>
        <v>1530</v>
      </c>
      <c r="I1570">
        <f>G1570+H1570</f>
        <v>1364769</v>
      </c>
      <c r="J1570">
        <f>IF(AND(D1570&lt;&gt;"dram",D1570&lt;&gt;"control"),H1570,0)</f>
        <v>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303</v>
      </c>
      <c r="C1571" t="s">
        <v>92</v>
      </c>
      <c r="D1571" t="s">
        <v>83</v>
      </c>
      <c r="E1571" t="s">
        <v>84</v>
      </c>
      <c r="F1571">
        <v>8</v>
      </c>
      <c r="G1571">
        <f>MAX(I1570,I1569)</f>
        <v>1364769</v>
      </c>
      <c r="H1571">
        <f>CEILING((dram_access_latency+F1571/dram_bandwidth)*frequency,1)</f>
        <v>101</v>
      </c>
      <c r="I1571">
        <f>G1571+H1571</f>
        <v>1364870</v>
      </c>
      <c r="J1571">
        <f>IF(AND(D1571&lt;&gt;"dram",D1571&lt;&gt;"control"),H1571,0)</f>
        <v>0</v>
      </c>
      <c r="K1571">
        <f>IF(D1571="dram",H1571,0)</f>
        <v>101</v>
      </c>
      <c r="L1571">
        <v>0</v>
      </c>
      <c r="M1571">
        <v>8</v>
      </c>
    </row>
    <row r="1572" spans="1:13">
      <c r="A1572">
        <v>1570</v>
      </c>
      <c r="B1572" t="s">
        <v>304</v>
      </c>
      <c r="C1572" t="s">
        <v>92</v>
      </c>
      <c r="D1572" t="s">
        <v>83</v>
      </c>
      <c r="E1572" t="s">
        <v>84</v>
      </c>
      <c r="F1572">
        <v>256</v>
      </c>
      <c r="G1572">
        <f>MAX(I1570,I1571)</f>
        <v>1364870</v>
      </c>
      <c r="H1572">
        <f>CEILING((dram_access_latency+F1572/dram_bandwidth)*frequency,1)</f>
        <v>104</v>
      </c>
      <c r="I1572">
        <f>G1572+H1572</f>
        <v>1364974</v>
      </c>
      <c r="J1572">
        <f>IF(AND(D1572&lt;&gt;"dram",D1572&lt;&gt;"control"),H1572,0)</f>
        <v>0</v>
      </c>
      <c r="K1572">
        <f>IF(D1572="dram",H1572,0)</f>
        <v>104</v>
      </c>
      <c r="L1572">
        <v>0</v>
      </c>
      <c r="M1572">
        <v>256</v>
      </c>
    </row>
    <row r="1573" spans="1:13">
      <c r="A1573">
        <v>1571</v>
      </c>
      <c r="B1573" t="s">
        <v>305</v>
      </c>
      <c r="C1573" t="s">
        <v>88</v>
      </c>
      <c r="D1573" t="s">
        <v>89</v>
      </c>
      <c r="E1573" t="s">
        <v>84</v>
      </c>
      <c r="F1573">
        <v>0</v>
      </c>
      <c r="G1573">
        <f>MAX(I1570,I1568)</f>
        <v>1364769</v>
      </c>
      <c r="H1573">
        <f>0</f>
        <v>0</v>
      </c>
      <c r="I1573">
        <f>G1573+H1573</f>
        <v>1364769</v>
      </c>
      <c r="J1573">
        <f>IF(AND(D1573&lt;&gt;"dram",D1573&lt;&gt;"control"),H1573,0)</f>
        <v>0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306</v>
      </c>
      <c r="C1574" t="s">
        <v>88</v>
      </c>
      <c r="D1574" t="s">
        <v>89</v>
      </c>
      <c r="E1574" t="s">
        <v>84</v>
      </c>
      <c r="F1574">
        <v>0</v>
      </c>
      <c r="G1574">
        <f>MAX(I1573,I1571)</f>
        <v>1364769</v>
      </c>
      <c r="H1574">
        <f>0</f>
        <v>101</v>
      </c>
      <c r="I1574">
        <f>G1574+H1574</f>
        <v>1364870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307</v>
      </c>
      <c r="C1575" t="s">
        <v>88</v>
      </c>
      <c r="D1575" t="s">
        <v>89</v>
      </c>
      <c r="E1575" t="s">
        <v>84</v>
      </c>
      <c r="F1575">
        <v>0</v>
      </c>
      <c r="G1575">
        <f>MAX(I1574,I1569)</f>
        <v>1364870</v>
      </c>
      <c r="H1575">
        <f>0</f>
        <v>0</v>
      </c>
      <c r="I1575">
        <f>G1575+H1575</f>
        <v>1364870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308</v>
      </c>
      <c r="C1576" t="s">
        <v>88</v>
      </c>
      <c r="D1576" t="s">
        <v>89</v>
      </c>
      <c r="E1576" t="s">
        <v>84</v>
      </c>
      <c r="F1576">
        <v>0</v>
      </c>
      <c r="G1576">
        <f>MAX(I1575,I1572)</f>
        <v>1364870</v>
      </c>
      <c r="H1576">
        <f>0</f>
        <v>104</v>
      </c>
      <c r="I1576">
        <f>G1576+H1576</f>
        <v>1364974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309</v>
      </c>
      <c r="C1577" t="s">
        <v>82</v>
      </c>
      <c r="D1577" t="s">
        <v>83</v>
      </c>
      <c r="E1577" t="s">
        <v>86</v>
      </c>
      <c r="F1577">
        <v>8192</v>
      </c>
      <c r="G1577">
        <f>MAX(I1576,I1572)</f>
        <v>1364974</v>
      </c>
      <c r="H1577">
        <f>CEILING((dram_access_latency+F1577/dram_bandwidth)*frequency,1)</f>
        <v>228</v>
      </c>
      <c r="I1577">
        <f>G1577+H1577</f>
        <v>1365202</v>
      </c>
      <c r="J1577">
        <f>IF(AND(D1577&lt;&gt;"dram",D1577&lt;&gt;"control"),H1577,0)</f>
        <v>0</v>
      </c>
      <c r="K1577">
        <f>IF(D1577="dram",H1577,0)</f>
        <v>228</v>
      </c>
      <c r="L1577">
        <v>8192</v>
      </c>
      <c r="M1577">
        <v>0</v>
      </c>
    </row>
    <row r="1578" spans="1:13">
      <c r="A1578">
        <v>1576</v>
      </c>
      <c r="B1578" t="s">
        <v>310</v>
      </c>
      <c r="C1578" t="s">
        <v>82</v>
      </c>
      <c r="D1578" t="s">
        <v>83</v>
      </c>
      <c r="E1578" t="s">
        <v>86</v>
      </c>
      <c r="F1578">
        <v>262144</v>
      </c>
      <c r="G1578">
        <f>MAX(I1576,I1577)</f>
        <v>1365202</v>
      </c>
      <c r="H1578">
        <f>CEILING((dram_access_latency+F1578/dram_bandwidth)*frequency,1)</f>
        <v>4196</v>
      </c>
      <c r="I1578">
        <f>G1578+H1578</f>
        <v>1369398</v>
      </c>
      <c r="J1578">
        <f>IF(AND(D1578&lt;&gt;"dram",D1578&lt;&gt;"control"),H1578,0)</f>
        <v>0</v>
      </c>
      <c r="K1578">
        <f>IF(D1578="dram",H1578,0)</f>
        <v>4196</v>
      </c>
      <c r="L1578">
        <v>262144</v>
      </c>
      <c r="M1578">
        <v>0</v>
      </c>
    </row>
    <row r="1579" spans="1:13">
      <c r="A1579">
        <v>1577</v>
      </c>
      <c r="B1579" t="s">
        <v>311</v>
      </c>
      <c r="C1579" t="s">
        <v>82</v>
      </c>
      <c r="D1579" t="s">
        <v>83</v>
      </c>
      <c r="E1579" t="s">
        <v>86</v>
      </c>
      <c r="F1579">
        <v>256</v>
      </c>
      <c r="G1579">
        <f>MAX(I1576,I1578)</f>
        <v>1369398</v>
      </c>
      <c r="H1579">
        <f>CEILING((dram_access_latency+F1579/dram_bandwidth)*frequency,1)</f>
        <v>104</v>
      </c>
      <c r="I1579">
        <f>G1579+H1579</f>
        <v>1369502</v>
      </c>
      <c r="J1579">
        <f>IF(AND(D1579&lt;&gt;"dram",D1579&lt;&gt;"control"),H1579,0)</f>
        <v>0</v>
      </c>
      <c r="K1579">
        <f>IF(D1579="dram",H1579,0)</f>
        <v>104</v>
      </c>
      <c r="L1579">
        <v>256</v>
      </c>
      <c r="M1579">
        <v>0</v>
      </c>
    </row>
    <row r="1580" spans="1:13">
      <c r="A1580">
        <v>1578</v>
      </c>
      <c r="B1580" t="s">
        <v>312</v>
      </c>
      <c r="C1580" t="s">
        <v>82</v>
      </c>
      <c r="D1580" t="s">
        <v>83</v>
      </c>
      <c r="E1580" t="s">
        <v>86</v>
      </c>
      <c r="F1580">
        <v>8192</v>
      </c>
      <c r="G1580">
        <f>MAX(I1576,I1579)</f>
        <v>1369502</v>
      </c>
      <c r="H1580">
        <f>CEILING((dram_access_latency+F1580/dram_bandwidth)*frequency,1)</f>
        <v>228</v>
      </c>
      <c r="I1580">
        <f>G1580+H1580</f>
        <v>1369730</v>
      </c>
      <c r="J1580">
        <f>IF(AND(D1580&lt;&gt;"dram",D1580&lt;&gt;"control"),H1580,0)</f>
        <v>0</v>
      </c>
      <c r="K1580">
        <f>IF(D1580="dram",H1580,0)</f>
        <v>228</v>
      </c>
      <c r="L1580">
        <v>8192</v>
      </c>
      <c r="M1580">
        <v>0</v>
      </c>
    </row>
    <row r="1581" spans="1:13">
      <c r="A1581">
        <v>1579</v>
      </c>
      <c r="B1581" t="s">
        <v>313</v>
      </c>
      <c r="C1581" t="s">
        <v>82</v>
      </c>
      <c r="D1581" t="s">
        <v>83</v>
      </c>
      <c r="E1581" t="s">
        <v>86</v>
      </c>
      <c r="F1581">
        <v>1024</v>
      </c>
      <c r="G1581">
        <f>MAX(I1576,I1580)</f>
        <v>1369730</v>
      </c>
      <c r="H1581">
        <f>CEILING((dram_access_latency+F1581/dram_bandwidth)*frequency,1)</f>
        <v>116</v>
      </c>
      <c r="I1581">
        <f>G1581+H1581</f>
        <v>1369846</v>
      </c>
      <c r="J1581">
        <f>IF(AND(D1581&lt;&gt;"dram",D1581&lt;&gt;"control"),H1581,0)</f>
        <v>0</v>
      </c>
      <c r="K1581">
        <f>IF(D1581="dram",H1581,0)</f>
        <v>116</v>
      </c>
      <c r="L1581">
        <v>1024</v>
      </c>
      <c r="M1581">
        <v>0</v>
      </c>
    </row>
    <row r="1582" spans="1:13">
      <c r="A1582">
        <v>1580</v>
      </c>
      <c r="B1582" t="s">
        <v>52</v>
      </c>
      <c r="C1582" t="s">
        <v>90</v>
      </c>
      <c r="D1582" t="s">
        <v>108</v>
      </c>
      <c r="E1582" t="s">
        <v>86</v>
      </c>
      <c r="F1582">
        <v>0</v>
      </c>
      <c r="G1582">
        <f>MAX(I1566,I1566,I1577,I1578,I1579,I1580,I1581)</f>
        <v>1369846</v>
      </c>
      <c r="H1582">
        <f>'Operations'!I20</f>
        <v>8453</v>
      </c>
      <c r="I1582">
        <f>G1582+H1582</f>
        <v>1378299</v>
      </c>
      <c r="J1582">
        <f>IF(AND(D1582&lt;&gt;"dram",D1582&lt;&gt;"control"),H1582,0)</f>
        <v>8453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310</v>
      </c>
      <c r="C1583" t="s">
        <v>82</v>
      </c>
      <c r="D1583" t="s">
        <v>83</v>
      </c>
      <c r="E1583" t="s">
        <v>93</v>
      </c>
      <c r="F1583">
        <v>262144</v>
      </c>
      <c r="G1583">
        <f>MAX(I1576,I1581)</f>
        <v>1369846</v>
      </c>
      <c r="H1583">
        <f>CEILING((dram_access_latency+F1583/dram_bandwidth)*frequency,1)</f>
        <v>4196</v>
      </c>
      <c r="I1583">
        <f>G1583+H1583</f>
        <v>1374042</v>
      </c>
      <c r="J1583">
        <f>IF(AND(D1583&lt;&gt;"dram",D1583&lt;&gt;"control"),H1583,0)</f>
        <v>0</v>
      </c>
      <c r="K1583">
        <f>IF(D1583="dram",H1583,0)</f>
        <v>4196</v>
      </c>
      <c r="L1583">
        <v>262144</v>
      </c>
      <c r="M1583">
        <v>0</v>
      </c>
    </row>
    <row r="1584" spans="1:13">
      <c r="A1584">
        <v>1582</v>
      </c>
      <c r="B1584" t="s">
        <v>312</v>
      </c>
      <c r="C1584" t="s">
        <v>82</v>
      </c>
      <c r="D1584" t="s">
        <v>83</v>
      </c>
      <c r="E1584" t="s">
        <v>93</v>
      </c>
      <c r="F1584">
        <v>8192</v>
      </c>
      <c r="G1584">
        <f>MAX(I1576,I1583)</f>
        <v>1374042</v>
      </c>
      <c r="H1584">
        <f>CEILING((dram_access_latency+F1584/dram_bandwidth)*frequency,1)</f>
        <v>228</v>
      </c>
      <c r="I1584">
        <f>G1584+H1584</f>
        <v>1374270</v>
      </c>
      <c r="J1584">
        <f>IF(AND(D1584&lt;&gt;"dram",D1584&lt;&gt;"control"),H1584,0)</f>
        <v>0</v>
      </c>
      <c r="K1584">
        <f>IF(D1584="dram",H1584,0)</f>
        <v>228</v>
      </c>
      <c r="L1584">
        <v>8192</v>
      </c>
      <c r="M1584">
        <v>0</v>
      </c>
    </row>
    <row r="1585" spans="1:13">
      <c r="A1585">
        <v>1583</v>
      </c>
      <c r="B1585" t="s">
        <v>313</v>
      </c>
      <c r="C1585" t="s">
        <v>82</v>
      </c>
      <c r="D1585" t="s">
        <v>83</v>
      </c>
      <c r="E1585" t="s">
        <v>93</v>
      </c>
      <c r="F1585">
        <v>1024</v>
      </c>
      <c r="G1585">
        <f>MAX(I1576,I1584)</f>
        <v>1374270</v>
      </c>
      <c r="H1585">
        <f>CEILING((dram_access_latency+F1585/dram_bandwidth)*frequency,1)</f>
        <v>116</v>
      </c>
      <c r="I1585">
        <f>G1585+H1585</f>
        <v>1374386</v>
      </c>
      <c r="J1585">
        <f>IF(AND(D1585&lt;&gt;"dram",D1585&lt;&gt;"control"),H1585,0)</f>
        <v>0</v>
      </c>
      <c r="K1585">
        <f>IF(D1585="dram",H1585,0)</f>
        <v>116</v>
      </c>
      <c r="L1585">
        <v>1024</v>
      </c>
      <c r="M1585">
        <v>0</v>
      </c>
    </row>
    <row r="1586" spans="1:13">
      <c r="A1586">
        <v>1584</v>
      </c>
      <c r="B1586" t="s">
        <v>52</v>
      </c>
      <c r="C1586" t="s">
        <v>90</v>
      </c>
      <c r="D1586" t="s">
        <v>108</v>
      </c>
      <c r="E1586" t="s">
        <v>93</v>
      </c>
      <c r="F1586">
        <v>0</v>
      </c>
      <c r="G1586">
        <f>MAX(I1582,I1582,I1577,I1583,I1579,I1584,I1585)</f>
        <v>1378299</v>
      </c>
      <c r="H1586">
        <f>'Operations'!I20</f>
        <v>8453</v>
      </c>
      <c r="I1586">
        <f>G1586+H1586</f>
        <v>1386752</v>
      </c>
      <c r="J1586">
        <f>IF(AND(D1586&lt;&gt;"dram",D1586&lt;&gt;"control"),H1586,0)</f>
        <v>8453</v>
      </c>
      <c r="K1586">
        <f>IF(D1586="dram",H1586,0)</f>
        <v>0</v>
      </c>
      <c r="L1586">
        <v>0</v>
      </c>
      <c r="M1586">
        <v>0</v>
      </c>
    </row>
    <row r="1587" spans="1:13">
      <c r="A1587">
        <v>1585</v>
      </c>
      <c r="B1587" t="s">
        <v>314</v>
      </c>
      <c r="C1587" t="s">
        <v>88</v>
      </c>
      <c r="D1587" t="s">
        <v>89</v>
      </c>
      <c r="E1587" t="s">
        <v>93</v>
      </c>
      <c r="F1587">
        <v>0</v>
      </c>
      <c r="G1587">
        <f>MAX(I1576,I1582)</f>
        <v>1364974</v>
      </c>
      <c r="H1587">
        <f>0</f>
        <v>13325</v>
      </c>
      <c r="I1587">
        <f>G1587+H1587</f>
        <v>1378299</v>
      </c>
      <c r="J1587">
        <f>IF(AND(D1587&lt;&gt;"dram",D1587&lt;&gt;"control"),H1587,0)</f>
        <v>0</v>
      </c>
      <c r="K1587">
        <f>IF(D1587="dram",H1587,0)</f>
        <v>0</v>
      </c>
      <c r="L1587">
        <v>0</v>
      </c>
      <c r="M1587">
        <v>0</v>
      </c>
    </row>
    <row r="1588" spans="1:13">
      <c r="A1588">
        <v>1586</v>
      </c>
      <c r="B1588" t="s">
        <v>315</v>
      </c>
      <c r="C1588" t="s">
        <v>92</v>
      </c>
      <c r="D1588" t="s">
        <v>83</v>
      </c>
      <c r="E1588" t="s">
        <v>93</v>
      </c>
      <c r="F1588">
        <v>1024</v>
      </c>
      <c r="G1588">
        <f>MAX(I1587,I1585)</f>
        <v>1378299</v>
      </c>
      <c r="H1588">
        <f>CEILING((dram_access_latency+F1588/dram_bandwidth)*frequency,1)</f>
        <v>116</v>
      </c>
      <c r="I1588">
        <f>G1588+H1588</f>
        <v>1378415</v>
      </c>
      <c r="J1588">
        <f>IF(AND(D1588&lt;&gt;"dram",D1588&lt;&gt;"control"),H1588,0)</f>
        <v>0</v>
      </c>
      <c r="K1588">
        <f>IF(D1588="dram",H1588,0)</f>
        <v>116</v>
      </c>
      <c r="L1588">
        <v>0</v>
      </c>
      <c r="M1588">
        <v>1024</v>
      </c>
    </row>
    <row r="1589" spans="1:13">
      <c r="A1589">
        <v>1587</v>
      </c>
      <c r="B1589" t="s">
        <v>310</v>
      </c>
      <c r="C1589" t="s">
        <v>82</v>
      </c>
      <c r="D1589" t="s">
        <v>83</v>
      </c>
      <c r="E1589" t="s">
        <v>111</v>
      </c>
      <c r="F1589">
        <v>262144</v>
      </c>
      <c r="G1589">
        <f>MAX(I1587,I1588)</f>
        <v>1378415</v>
      </c>
      <c r="H1589">
        <f>CEILING((dram_access_latency+F1589/dram_bandwidth)*frequency,1)</f>
        <v>4196</v>
      </c>
      <c r="I1589">
        <f>G1589+H1589</f>
        <v>1382611</v>
      </c>
      <c r="J1589">
        <f>IF(AND(D1589&lt;&gt;"dram",D1589&lt;&gt;"control"),H1589,0)</f>
        <v>0</v>
      </c>
      <c r="K1589">
        <f>IF(D1589="dram",H1589,0)</f>
        <v>4196</v>
      </c>
      <c r="L1589">
        <v>262144</v>
      </c>
      <c r="M1589">
        <v>0</v>
      </c>
    </row>
    <row r="1590" spans="1:13">
      <c r="A1590">
        <v>1588</v>
      </c>
      <c r="B1590" t="s">
        <v>312</v>
      </c>
      <c r="C1590" t="s">
        <v>82</v>
      </c>
      <c r="D1590" t="s">
        <v>83</v>
      </c>
      <c r="E1590" t="s">
        <v>111</v>
      </c>
      <c r="F1590">
        <v>8192</v>
      </c>
      <c r="G1590">
        <f>MAX(I1587,I1589)</f>
        <v>1382611</v>
      </c>
      <c r="H1590">
        <f>CEILING((dram_access_latency+F1590/dram_bandwidth)*frequency,1)</f>
        <v>228</v>
      </c>
      <c r="I1590">
        <f>G1590+H1590</f>
        <v>1382839</v>
      </c>
      <c r="J1590">
        <f>IF(AND(D1590&lt;&gt;"dram",D1590&lt;&gt;"control"),H1590,0)</f>
        <v>0</v>
      </c>
      <c r="K1590">
        <f>IF(D1590="dram",H1590,0)</f>
        <v>228</v>
      </c>
      <c r="L1590">
        <v>8192</v>
      </c>
      <c r="M1590">
        <v>0</v>
      </c>
    </row>
    <row r="1591" spans="1:13">
      <c r="A1591">
        <v>1589</v>
      </c>
      <c r="B1591" t="s">
        <v>313</v>
      </c>
      <c r="C1591" t="s">
        <v>82</v>
      </c>
      <c r="D1591" t="s">
        <v>83</v>
      </c>
      <c r="E1591" t="s">
        <v>111</v>
      </c>
      <c r="F1591">
        <v>1024</v>
      </c>
      <c r="G1591">
        <f>MAX(I1587,I1590)</f>
        <v>1382839</v>
      </c>
      <c r="H1591">
        <f>CEILING((dram_access_latency+F1591/dram_bandwidth)*frequency,1)</f>
        <v>116</v>
      </c>
      <c r="I1591">
        <f>G1591+H1591</f>
        <v>1382955</v>
      </c>
      <c r="J1591">
        <f>IF(AND(D1591&lt;&gt;"dram",D1591&lt;&gt;"control"),H1591,0)</f>
        <v>0</v>
      </c>
      <c r="K1591">
        <f>IF(D1591="dram",H1591,0)</f>
        <v>116</v>
      </c>
      <c r="L1591">
        <v>1024</v>
      </c>
      <c r="M1591">
        <v>0</v>
      </c>
    </row>
    <row r="1592" spans="1:13">
      <c r="A1592">
        <v>1590</v>
      </c>
      <c r="B1592" t="s">
        <v>52</v>
      </c>
      <c r="C1592" t="s">
        <v>90</v>
      </c>
      <c r="D1592" t="s">
        <v>108</v>
      </c>
      <c r="E1592" t="s">
        <v>111</v>
      </c>
      <c r="F1592">
        <v>0</v>
      </c>
      <c r="G1592">
        <f>MAX(I1586,I1586,I1577,I1589,I1579,I1590,I1591,I1588)</f>
        <v>1386752</v>
      </c>
      <c r="H1592">
        <f>'Operations'!I20</f>
        <v>8453</v>
      </c>
      <c r="I1592">
        <f>G1592+H1592</f>
        <v>1395205</v>
      </c>
      <c r="J1592">
        <f>IF(AND(D1592&lt;&gt;"dram",D1592&lt;&gt;"control"),H1592,0)</f>
        <v>8453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314</v>
      </c>
      <c r="C1593" t="s">
        <v>88</v>
      </c>
      <c r="D1593" t="s">
        <v>89</v>
      </c>
      <c r="E1593" t="s">
        <v>111</v>
      </c>
      <c r="F1593">
        <v>0</v>
      </c>
      <c r="G1593">
        <f>MAX(I1587,I1586)</f>
        <v>1378299</v>
      </c>
      <c r="H1593">
        <f>0</f>
        <v>8453</v>
      </c>
      <c r="I1593">
        <f>G1593+H1593</f>
        <v>1386752</v>
      </c>
      <c r="J1593">
        <f>IF(AND(D1593&lt;&gt;"dram",D1593&lt;&gt;"control"),H1593,0)</f>
        <v>0</v>
      </c>
      <c r="K1593">
        <f>IF(D1593="dram",H1593,0)</f>
        <v>0</v>
      </c>
      <c r="L1593">
        <v>0</v>
      </c>
      <c r="M1593">
        <v>0</v>
      </c>
    </row>
    <row r="1594" spans="1:13">
      <c r="A1594">
        <v>1592</v>
      </c>
      <c r="B1594" t="s">
        <v>315</v>
      </c>
      <c r="C1594" t="s">
        <v>92</v>
      </c>
      <c r="D1594" t="s">
        <v>83</v>
      </c>
      <c r="E1594" t="s">
        <v>111</v>
      </c>
      <c r="F1594">
        <v>1024</v>
      </c>
      <c r="G1594">
        <f>MAX(I1593,I1591)</f>
        <v>1386752</v>
      </c>
      <c r="H1594">
        <f>CEILING((dram_access_latency+F1594/dram_bandwidth)*frequency,1)</f>
        <v>116</v>
      </c>
      <c r="I1594">
        <f>G1594+H1594</f>
        <v>1386868</v>
      </c>
      <c r="J1594">
        <f>IF(AND(D1594&lt;&gt;"dram",D1594&lt;&gt;"control"),H1594,0)</f>
        <v>0</v>
      </c>
      <c r="K1594">
        <f>IF(D1594="dram",H1594,0)</f>
        <v>116</v>
      </c>
      <c r="L1594">
        <v>0</v>
      </c>
      <c r="M1594">
        <v>1024</v>
      </c>
    </row>
    <row r="1595" spans="1:13">
      <c r="A1595">
        <v>1593</v>
      </c>
      <c r="B1595" t="s">
        <v>310</v>
      </c>
      <c r="C1595" t="s">
        <v>82</v>
      </c>
      <c r="D1595" t="s">
        <v>83</v>
      </c>
      <c r="E1595" t="s">
        <v>112</v>
      </c>
      <c r="F1595">
        <v>262144</v>
      </c>
      <c r="G1595">
        <f>MAX(I1593,I1594)</f>
        <v>1386868</v>
      </c>
      <c r="H1595">
        <f>CEILING((dram_access_latency+F1595/dram_bandwidth)*frequency,1)</f>
        <v>4196</v>
      </c>
      <c r="I1595">
        <f>G1595+H1595</f>
        <v>1391064</v>
      </c>
      <c r="J1595">
        <f>IF(AND(D1595&lt;&gt;"dram",D1595&lt;&gt;"control"),H1595,0)</f>
        <v>0</v>
      </c>
      <c r="K1595">
        <f>IF(D1595="dram",H1595,0)</f>
        <v>4196</v>
      </c>
      <c r="L1595">
        <v>262144</v>
      </c>
      <c r="M1595">
        <v>0</v>
      </c>
    </row>
    <row r="1596" spans="1:13">
      <c r="A1596">
        <v>1594</v>
      </c>
      <c r="B1596" t="s">
        <v>312</v>
      </c>
      <c r="C1596" t="s">
        <v>82</v>
      </c>
      <c r="D1596" t="s">
        <v>83</v>
      </c>
      <c r="E1596" t="s">
        <v>112</v>
      </c>
      <c r="F1596">
        <v>8192</v>
      </c>
      <c r="G1596">
        <f>MAX(I1593,I1595)</f>
        <v>1391064</v>
      </c>
      <c r="H1596">
        <f>CEILING((dram_access_latency+F1596/dram_bandwidth)*frequency,1)</f>
        <v>228</v>
      </c>
      <c r="I1596">
        <f>G1596+H1596</f>
        <v>1391292</v>
      </c>
      <c r="J1596">
        <f>IF(AND(D1596&lt;&gt;"dram",D1596&lt;&gt;"control"),H1596,0)</f>
        <v>0</v>
      </c>
      <c r="K1596">
        <f>IF(D1596="dram",H1596,0)</f>
        <v>228</v>
      </c>
      <c r="L1596">
        <v>8192</v>
      </c>
      <c r="M1596">
        <v>0</v>
      </c>
    </row>
    <row r="1597" spans="1:13">
      <c r="A1597">
        <v>1595</v>
      </c>
      <c r="B1597" t="s">
        <v>313</v>
      </c>
      <c r="C1597" t="s">
        <v>82</v>
      </c>
      <c r="D1597" t="s">
        <v>83</v>
      </c>
      <c r="E1597" t="s">
        <v>112</v>
      </c>
      <c r="F1597">
        <v>1024</v>
      </c>
      <c r="G1597">
        <f>MAX(I1593,I1596)</f>
        <v>1391292</v>
      </c>
      <c r="H1597">
        <f>CEILING((dram_access_latency+F1597/dram_bandwidth)*frequency,1)</f>
        <v>116</v>
      </c>
      <c r="I1597">
        <f>G1597+H1597</f>
        <v>1391408</v>
      </c>
      <c r="J1597">
        <f>IF(AND(D1597&lt;&gt;"dram",D1597&lt;&gt;"control"),H1597,0)</f>
        <v>0</v>
      </c>
      <c r="K1597">
        <f>IF(D1597="dram",H1597,0)</f>
        <v>116</v>
      </c>
      <c r="L1597">
        <v>1024</v>
      </c>
      <c r="M1597">
        <v>0</v>
      </c>
    </row>
    <row r="1598" spans="1:13">
      <c r="A1598">
        <v>1596</v>
      </c>
      <c r="B1598" t="s">
        <v>52</v>
      </c>
      <c r="C1598" t="s">
        <v>90</v>
      </c>
      <c r="D1598" t="s">
        <v>108</v>
      </c>
      <c r="E1598" t="s">
        <v>112</v>
      </c>
      <c r="F1598">
        <v>0</v>
      </c>
      <c r="G1598">
        <f>MAX(I1592,I1592,I1577,I1595,I1579,I1596,I1597,I1594)</f>
        <v>1395205</v>
      </c>
      <c r="H1598">
        <f>'Operations'!I20</f>
        <v>8453</v>
      </c>
      <c r="I1598">
        <f>G1598+H1598</f>
        <v>1403658</v>
      </c>
      <c r="J1598">
        <f>IF(AND(D1598&lt;&gt;"dram",D1598&lt;&gt;"control"),H1598,0)</f>
        <v>8453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314</v>
      </c>
      <c r="C1599" t="s">
        <v>88</v>
      </c>
      <c r="D1599" t="s">
        <v>89</v>
      </c>
      <c r="E1599" t="s">
        <v>112</v>
      </c>
      <c r="F1599">
        <v>0</v>
      </c>
      <c r="G1599">
        <f>MAX(I1593,I1592)</f>
        <v>1386752</v>
      </c>
      <c r="H1599">
        <f>0</f>
        <v>8453</v>
      </c>
      <c r="I1599">
        <f>G1599+H1599</f>
        <v>1395205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315</v>
      </c>
      <c r="C1600" t="s">
        <v>92</v>
      </c>
      <c r="D1600" t="s">
        <v>83</v>
      </c>
      <c r="E1600" t="s">
        <v>112</v>
      </c>
      <c r="F1600">
        <v>1024</v>
      </c>
      <c r="G1600">
        <f>MAX(I1599,I1597)</f>
        <v>1395205</v>
      </c>
      <c r="H1600">
        <f>CEILING((dram_access_latency+F1600/dram_bandwidth)*frequency,1)</f>
        <v>116</v>
      </c>
      <c r="I1600">
        <f>G1600+H1600</f>
        <v>1395321</v>
      </c>
      <c r="J1600">
        <f>IF(AND(D1600&lt;&gt;"dram",D1600&lt;&gt;"control"),H1600,0)</f>
        <v>0</v>
      </c>
      <c r="K1600">
        <f>IF(D1600="dram",H1600,0)</f>
        <v>116</v>
      </c>
      <c r="L1600">
        <v>0</v>
      </c>
      <c r="M1600">
        <v>1024</v>
      </c>
    </row>
    <row r="1601" spans="1:13">
      <c r="A1601">
        <v>1599</v>
      </c>
      <c r="B1601" t="s">
        <v>310</v>
      </c>
      <c r="C1601" t="s">
        <v>82</v>
      </c>
      <c r="D1601" t="s">
        <v>83</v>
      </c>
      <c r="E1601" t="s">
        <v>113</v>
      </c>
      <c r="F1601">
        <v>262144</v>
      </c>
      <c r="G1601">
        <f>MAX(I1599,I1600)</f>
        <v>1395321</v>
      </c>
      <c r="H1601">
        <f>CEILING((dram_access_latency+F1601/dram_bandwidth)*frequency,1)</f>
        <v>4196</v>
      </c>
      <c r="I1601">
        <f>G1601+H1601</f>
        <v>1399517</v>
      </c>
      <c r="J1601">
        <f>IF(AND(D1601&lt;&gt;"dram",D1601&lt;&gt;"control"),H1601,0)</f>
        <v>0</v>
      </c>
      <c r="K1601">
        <f>IF(D1601="dram",H1601,0)</f>
        <v>4196</v>
      </c>
      <c r="L1601">
        <v>262144</v>
      </c>
      <c r="M1601">
        <v>0</v>
      </c>
    </row>
    <row r="1602" spans="1:13">
      <c r="A1602">
        <v>1600</v>
      </c>
      <c r="B1602" t="s">
        <v>312</v>
      </c>
      <c r="C1602" t="s">
        <v>82</v>
      </c>
      <c r="D1602" t="s">
        <v>83</v>
      </c>
      <c r="E1602" t="s">
        <v>113</v>
      </c>
      <c r="F1602">
        <v>8192</v>
      </c>
      <c r="G1602">
        <f>MAX(I1599,I1601)</f>
        <v>1399517</v>
      </c>
      <c r="H1602">
        <f>CEILING((dram_access_latency+F1602/dram_bandwidth)*frequency,1)</f>
        <v>228</v>
      </c>
      <c r="I1602">
        <f>G1602+H1602</f>
        <v>1399745</v>
      </c>
      <c r="J1602">
        <f>IF(AND(D1602&lt;&gt;"dram",D1602&lt;&gt;"control"),H1602,0)</f>
        <v>0</v>
      </c>
      <c r="K1602">
        <f>IF(D1602="dram",H1602,0)</f>
        <v>228</v>
      </c>
      <c r="L1602">
        <v>8192</v>
      </c>
      <c r="M1602">
        <v>0</v>
      </c>
    </row>
    <row r="1603" spans="1:13">
      <c r="A1603">
        <v>1601</v>
      </c>
      <c r="B1603" t="s">
        <v>313</v>
      </c>
      <c r="C1603" t="s">
        <v>82</v>
      </c>
      <c r="D1603" t="s">
        <v>83</v>
      </c>
      <c r="E1603" t="s">
        <v>113</v>
      </c>
      <c r="F1603">
        <v>1024</v>
      </c>
      <c r="G1603">
        <f>MAX(I1599,I1602)</f>
        <v>1399745</v>
      </c>
      <c r="H1603">
        <f>CEILING((dram_access_latency+F1603/dram_bandwidth)*frequency,1)</f>
        <v>116</v>
      </c>
      <c r="I1603">
        <f>G1603+H1603</f>
        <v>1399861</v>
      </c>
      <c r="J1603">
        <f>IF(AND(D1603&lt;&gt;"dram",D1603&lt;&gt;"control"),H1603,0)</f>
        <v>0</v>
      </c>
      <c r="K1603">
        <f>IF(D1603="dram",H1603,0)</f>
        <v>116</v>
      </c>
      <c r="L1603">
        <v>1024</v>
      </c>
      <c r="M1603">
        <v>0</v>
      </c>
    </row>
    <row r="1604" spans="1:13">
      <c r="A1604">
        <v>1602</v>
      </c>
      <c r="B1604" t="s">
        <v>52</v>
      </c>
      <c r="C1604" t="s">
        <v>90</v>
      </c>
      <c r="D1604" t="s">
        <v>108</v>
      </c>
      <c r="E1604" t="s">
        <v>113</v>
      </c>
      <c r="F1604">
        <v>0</v>
      </c>
      <c r="G1604">
        <f>MAX(I1598,I1598,I1577,I1601,I1579,I1602,I1603,I1600)</f>
        <v>1403658</v>
      </c>
      <c r="H1604">
        <f>'Operations'!I20</f>
        <v>8453</v>
      </c>
      <c r="I1604">
        <f>G1604+H1604</f>
        <v>1412111</v>
      </c>
      <c r="J1604">
        <f>IF(AND(D1604&lt;&gt;"dram",D1604&lt;&gt;"control"),H1604,0)</f>
        <v>8453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314</v>
      </c>
      <c r="C1605" t="s">
        <v>88</v>
      </c>
      <c r="D1605" t="s">
        <v>89</v>
      </c>
      <c r="E1605" t="s">
        <v>113</v>
      </c>
      <c r="F1605">
        <v>0</v>
      </c>
      <c r="G1605">
        <f>MAX(I1599,I1598)</f>
        <v>1395205</v>
      </c>
      <c r="H1605">
        <f>0</f>
        <v>8453</v>
      </c>
      <c r="I1605">
        <f>G1605+H1605</f>
        <v>1403658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315</v>
      </c>
      <c r="C1606" t="s">
        <v>92</v>
      </c>
      <c r="D1606" t="s">
        <v>83</v>
      </c>
      <c r="E1606" t="s">
        <v>113</v>
      </c>
      <c r="F1606">
        <v>1024</v>
      </c>
      <c r="G1606">
        <f>MAX(I1605,I1603)</f>
        <v>1403658</v>
      </c>
      <c r="H1606">
        <f>CEILING((dram_access_latency+F1606/dram_bandwidth)*frequency,1)</f>
        <v>116</v>
      </c>
      <c r="I1606">
        <f>G1606+H1606</f>
        <v>1403774</v>
      </c>
      <c r="J1606">
        <f>IF(AND(D1606&lt;&gt;"dram",D1606&lt;&gt;"control"),H1606,0)</f>
        <v>0</v>
      </c>
      <c r="K1606">
        <f>IF(D1606="dram",H1606,0)</f>
        <v>116</v>
      </c>
      <c r="L1606">
        <v>0</v>
      </c>
      <c r="M1606">
        <v>1024</v>
      </c>
    </row>
    <row r="1607" spans="1:13">
      <c r="A1607">
        <v>1605</v>
      </c>
      <c r="B1607" t="s">
        <v>310</v>
      </c>
      <c r="C1607" t="s">
        <v>82</v>
      </c>
      <c r="D1607" t="s">
        <v>83</v>
      </c>
      <c r="E1607" t="s">
        <v>114</v>
      </c>
      <c r="F1607">
        <v>262144</v>
      </c>
      <c r="G1607">
        <f>MAX(I1605,I1606)</f>
        <v>1403774</v>
      </c>
      <c r="H1607">
        <f>CEILING((dram_access_latency+F1607/dram_bandwidth)*frequency,1)</f>
        <v>4196</v>
      </c>
      <c r="I1607">
        <f>G1607+H1607</f>
        <v>1407970</v>
      </c>
      <c r="J1607">
        <f>IF(AND(D1607&lt;&gt;"dram",D1607&lt;&gt;"control"),H1607,0)</f>
        <v>0</v>
      </c>
      <c r="K1607">
        <f>IF(D1607="dram",H1607,0)</f>
        <v>4196</v>
      </c>
      <c r="L1607">
        <v>262144</v>
      </c>
      <c r="M1607">
        <v>0</v>
      </c>
    </row>
    <row r="1608" spans="1:13">
      <c r="A1608">
        <v>1606</v>
      </c>
      <c r="B1608" t="s">
        <v>312</v>
      </c>
      <c r="C1608" t="s">
        <v>82</v>
      </c>
      <c r="D1608" t="s">
        <v>83</v>
      </c>
      <c r="E1608" t="s">
        <v>114</v>
      </c>
      <c r="F1608">
        <v>8192</v>
      </c>
      <c r="G1608">
        <f>MAX(I1605,I1607)</f>
        <v>1407970</v>
      </c>
      <c r="H1608">
        <f>CEILING((dram_access_latency+F1608/dram_bandwidth)*frequency,1)</f>
        <v>228</v>
      </c>
      <c r="I1608">
        <f>G1608+H1608</f>
        <v>1408198</v>
      </c>
      <c r="J1608">
        <f>IF(AND(D1608&lt;&gt;"dram",D1608&lt;&gt;"control"),H1608,0)</f>
        <v>0</v>
      </c>
      <c r="K1608">
        <f>IF(D1608="dram",H1608,0)</f>
        <v>228</v>
      </c>
      <c r="L1608">
        <v>8192</v>
      </c>
      <c r="M1608">
        <v>0</v>
      </c>
    </row>
    <row r="1609" spans="1:13">
      <c r="A1609">
        <v>1607</v>
      </c>
      <c r="B1609" t="s">
        <v>313</v>
      </c>
      <c r="C1609" t="s">
        <v>82</v>
      </c>
      <c r="D1609" t="s">
        <v>83</v>
      </c>
      <c r="E1609" t="s">
        <v>114</v>
      </c>
      <c r="F1609">
        <v>1024</v>
      </c>
      <c r="G1609">
        <f>MAX(I1605,I1608)</f>
        <v>1408198</v>
      </c>
      <c r="H1609">
        <f>CEILING((dram_access_latency+F1609/dram_bandwidth)*frequency,1)</f>
        <v>116</v>
      </c>
      <c r="I1609">
        <f>G1609+H1609</f>
        <v>1408314</v>
      </c>
      <c r="J1609">
        <f>IF(AND(D1609&lt;&gt;"dram",D1609&lt;&gt;"control"),H1609,0)</f>
        <v>0</v>
      </c>
      <c r="K1609">
        <f>IF(D1609="dram",H1609,0)</f>
        <v>116</v>
      </c>
      <c r="L1609">
        <v>1024</v>
      </c>
      <c r="M1609">
        <v>0</v>
      </c>
    </row>
    <row r="1610" spans="1:13">
      <c r="A1610">
        <v>1608</v>
      </c>
      <c r="B1610" t="s">
        <v>52</v>
      </c>
      <c r="C1610" t="s">
        <v>90</v>
      </c>
      <c r="D1610" t="s">
        <v>108</v>
      </c>
      <c r="E1610" t="s">
        <v>114</v>
      </c>
      <c r="F1610">
        <v>0</v>
      </c>
      <c r="G1610">
        <f>MAX(I1604,I1604,I1577,I1607,I1579,I1608,I1609,I1606)</f>
        <v>1412111</v>
      </c>
      <c r="H1610">
        <f>'Operations'!I20</f>
        <v>8453</v>
      </c>
      <c r="I1610">
        <f>G1610+H1610</f>
        <v>1420564</v>
      </c>
      <c r="J1610">
        <f>IF(AND(D1610&lt;&gt;"dram",D1610&lt;&gt;"control"),H1610,0)</f>
        <v>8453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314</v>
      </c>
      <c r="C1611" t="s">
        <v>88</v>
      </c>
      <c r="D1611" t="s">
        <v>89</v>
      </c>
      <c r="E1611" t="s">
        <v>114</v>
      </c>
      <c r="F1611">
        <v>0</v>
      </c>
      <c r="G1611">
        <f>MAX(I1605,I1604)</f>
        <v>1403658</v>
      </c>
      <c r="H1611">
        <f>0</f>
        <v>8453</v>
      </c>
      <c r="I1611">
        <f>G1611+H1611</f>
        <v>1412111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315</v>
      </c>
      <c r="C1612" t="s">
        <v>92</v>
      </c>
      <c r="D1612" t="s">
        <v>83</v>
      </c>
      <c r="E1612" t="s">
        <v>114</v>
      </c>
      <c r="F1612">
        <v>1024</v>
      </c>
      <c r="G1612">
        <f>MAX(I1611,I1609)</f>
        <v>1412111</v>
      </c>
      <c r="H1612">
        <f>CEILING((dram_access_latency+F1612/dram_bandwidth)*frequency,1)</f>
        <v>116</v>
      </c>
      <c r="I1612">
        <f>G1612+H1612</f>
        <v>1412227</v>
      </c>
      <c r="J1612">
        <f>IF(AND(D1612&lt;&gt;"dram",D1612&lt;&gt;"control"),H1612,0)</f>
        <v>0</v>
      </c>
      <c r="K1612">
        <f>IF(D1612="dram",H1612,0)</f>
        <v>116</v>
      </c>
      <c r="L1612">
        <v>0</v>
      </c>
      <c r="M1612">
        <v>1024</v>
      </c>
    </row>
    <row r="1613" spans="1:13">
      <c r="A1613">
        <v>1611</v>
      </c>
      <c r="B1613" t="s">
        <v>310</v>
      </c>
      <c r="C1613" t="s">
        <v>82</v>
      </c>
      <c r="D1613" t="s">
        <v>83</v>
      </c>
      <c r="E1613" t="s">
        <v>115</v>
      </c>
      <c r="F1613">
        <v>262144</v>
      </c>
      <c r="G1613">
        <f>MAX(I1611,I1612)</f>
        <v>1412227</v>
      </c>
      <c r="H1613">
        <f>CEILING((dram_access_latency+F1613/dram_bandwidth)*frequency,1)</f>
        <v>4196</v>
      </c>
      <c r="I1613">
        <f>G1613+H1613</f>
        <v>1416423</v>
      </c>
      <c r="J1613">
        <f>IF(AND(D1613&lt;&gt;"dram",D1613&lt;&gt;"control"),H1613,0)</f>
        <v>0</v>
      </c>
      <c r="K1613">
        <f>IF(D1613="dram",H1613,0)</f>
        <v>4196</v>
      </c>
      <c r="L1613">
        <v>262144</v>
      </c>
      <c r="M1613">
        <v>0</v>
      </c>
    </row>
    <row r="1614" spans="1:13">
      <c r="A1614">
        <v>1612</v>
      </c>
      <c r="B1614" t="s">
        <v>312</v>
      </c>
      <c r="C1614" t="s">
        <v>82</v>
      </c>
      <c r="D1614" t="s">
        <v>83</v>
      </c>
      <c r="E1614" t="s">
        <v>115</v>
      </c>
      <c r="F1614">
        <v>8192</v>
      </c>
      <c r="G1614">
        <f>MAX(I1611,I1613)</f>
        <v>1416423</v>
      </c>
      <c r="H1614">
        <f>CEILING((dram_access_latency+F1614/dram_bandwidth)*frequency,1)</f>
        <v>228</v>
      </c>
      <c r="I1614">
        <f>G1614+H1614</f>
        <v>1416651</v>
      </c>
      <c r="J1614">
        <f>IF(AND(D1614&lt;&gt;"dram",D1614&lt;&gt;"control"),H1614,0)</f>
        <v>0</v>
      </c>
      <c r="K1614">
        <f>IF(D1614="dram",H1614,0)</f>
        <v>228</v>
      </c>
      <c r="L1614">
        <v>8192</v>
      </c>
      <c r="M1614">
        <v>0</v>
      </c>
    </row>
    <row r="1615" spans="1:13">
      <c r="A1615">
        <v>1613</v>
      </c>
      <c r="B1615" t="s">
        <v>313</v>
      </c>
      <c r="C1615" t="s">
        <v>82</v>
      </c>
      <c r="D1615" t="s">
        <v>83</v>
      </c>
      <c r="E1615" t="s">
        <v>115</v>
      </c>
      <c r="F1615">
        <v>1024</v>
      </c>
      <c r="G1615">
        <f>MAX(I1611,I1614)</f>
        <v>1416651</v>
      </c>
      <c r="H1615">
        <f>CEILING((dram_access_latency+F1615/dram_bandwidth)*frequency,1)</f>
        <v>116</v>
      </c>
      <c r="I1615">
        <f>G1615+H1615</f>
        <v>1416767</v>
      </c>
      <c r="J1615">
        <f>IF(AND(D1615&lt;&gt;"dram",D1615&lt;&gt;"control"),H1615,0)</f>
        <v>0</v>
      </c>
      <c r="K1615">
        <f>IF(D1615="dram",H1615,0)</f>
        <v>116</v>
      </c>
      <c r="L1615">
        <v>1024</v>
      </c>
      <c r="M1615">
        <v>0</v>
      </c>
    </row>
    <row r="1616" spans="1:13">
      <c r="A1616">
        <v>1614</v>
      </c>
      <c r="B1616" t="s">
        <v>52</v>
      </c>
      <c r="C1616" t="s">
        <v>90</v>
      </c>
      <c r="D1616" t="s">
        <v>108</v>
      </c>
      <c r="E1616" t="s">
        <v>115</v>
      </c>
      <c r="F1616">
        <v>0</v>
      </c>
      <c r="G1616">
        <f>MAX(I1610,I1610,I1577,I1613,I1579,I1614,I1615,I1612)</f>
        <v>1420564</v>
      </c>
      <c r="H1616">
        <f>'Operations'!I20</f>
        <v>8453</v>
      </c>
      <c r="I1616">
        <f>G1616+H1616</f>
        <v>1429017</v>
      </c>
      <c r="J1616">
        <f>IF(AND(D1616&lt;&gt;"dram",D1616&lt;&gt;"control"),H1616,0)</f>
        <v>8453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314</v>
      </c>
      <c r="C1617" t="s">
        <v>88</v>
      </c>
      <c r="D1617" t="s">
        <v>89</v>
      </c>
      <c r="E1617" t="s">
        <v>115</v>
      </c>
      <c r="F1617">
        <v>0</v>
      </c>
      <c r="G1617">
        <f>MAX(I1611,I1610)</f>
        <v>1412111</v>
      </c>
      <c r="H1617">
        <f>0</f>
        <v>8453</v>
      </c>
      <c r="I1617">
        <f>G1617+H1617</f>
        <v>1420564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315</v>
      </c>
      <c r="C1618" t="s">
        <v>92</v>
      </c>
      <c r="D1618" t="s">
        <v>83</v>
      </c>
      <c r="E1618" t="s">
        <v>115</v>
      </c>
      <c r="F1618">
        <v>1024</v>
      </c>
      <c r="G1618">
        <f>MAX(I1617,I1615)</f>
        <v>1420564</v>
      </c>
      <c r="H1618">
        <f>CEILING((dram_access_latency+F1618/dram_bandwidth)*frequency,1)</f>
        <v>116</v>
      </c>
      <c r="I1618">
        <f>G1618+H1618</f>
        <v>1420680</v>
      </c>
      <c r="J1618">
        <f>IF(AND(D1618&lt;&gt;"dram",D1618&lt;&gt;"control"),H1618,0)</f>
        <v>0</v>
      </c>
      <c r="K1618">
        <f>IF(D1618="dram",H1618,0)</f>
        <v>116</v>
      </c>
      <c r="L1618">
        <v>0</v>
      </c>
      <c r="M1618">
        <v>1024</v>
      </c>
    </row>
    <row r="1619" spans="1:13">
      <c r="A1619">
        <v>1617</v>
      </c>
      <c r="B1619" t="s">
        <v>310</v>
      </c>
      <c r="C1619" t="s">
        <v>82</v>
      </c>
      <c r="D1619" t="s">
        <v>83</v>
      </c>
      <c r="E1619" t="s">
        <v>116</v>
      </c>
      <c r="F1619">
        <v>262144</v>
      </c>
      <c r="G1619">
        <f>MAX(I1617,I1618)</f>
        <v>1420680</v>
      </c>
      <c r="H1619">
        <f>CEILING((dram_access_latency+F1619/dram_bandwidth)*frequency,1)</f>
        <v>4196</v>
      </c>
      <c r="I1619">
        <f>G1619+H1619</f>
        <v>1424876</v>
      </c>
      <c r="J1619">
        <f>IF(AND(D1619&lt;&gt;"dram",D1619&lt;&gt;"control"),H1619,0)</f>
        <v>0</v>
      </c>
      <c r="K1619">
        <f>IF(D1619="dram",H1619,0)</f>
        <v>4196</v>
      </c>
      <c r="L1619">
        <v>262144</v>
      </c>
      <c r="M1619">
        <v>0</v>
      </c>
    </row>
    <row r="1620" spans="1:13">
      <c r="A1620">
        <v>1618</v>
      </c>
      <c r="B1620" t="s">
        <v>312</v>
      </c>
      <c r="C1620" t="s">
        <v>82</v>
      </c>
      <c r="D1620" t="s">
        <v>83</v>
      </c>
      <c r="E1620" t="s">
        <v>116</v>
      </c>
      <c r="F1620">
        <v>8192</v>
      </c>
      <c r="G1620">
        <f>MAX(I1617,I1619)</f>
        <v>1424876</v>
      </c>
      <c r="H1620">
        <f>CEILING((dram_access_latency+F1620/dram_bandwidth)*frequency,1)</f>
        <v>228</v>
      </c>
      <c r="I1620">
        <f>G1620+H1620</f>
        <v>1425104</v>
      </c>
      <c r="J1620">
        <f>IF(AND(D1620&lt;&gt;"dram",D1620&lt;&gt;"control"),H1620,0)</f>
        <v>0</v>
      </c>
      <c r="K1620">
        <f>IF(D1620="dram",H1620,0)</f>
        <v>228</v>
      </c>
      <c r="L1620">
        <v>8192</v>
      </c>
      <c r="M1620">
        <v>0</v>
      </c>
    </row>
    <row r="1621" spans="1:13">
      <c r="A1621">
        <v>1619</v>
      </c>
      <c r="B1621" t="s">
        <v>313</v>
      </c>
      <c r="C1621" t="s">
        <v>82</v>
      </c>
      <c r="D1621" t="s">
        <v>83</v>
      </c>
      <c r="E1621" t="s">
        <v>116</v>
      </c>
      <c r="F1621">
        <v>1024</v>
      </c>
      <c r="G1621">
        <f>MAX(I1617,I1620)</f>
        <v>1425104</v>
      </c>
      <c r="H1621">
        <f>CEILING((dram_access_latency+F1621/dram_bandwidth)*frequency,1)</f>
        <v>116</v>
      </c>
      <c r="I1621">
        <f>G1621+H1621</f>
        <v>1425220</v>
      </c>
      <c r="J1621">
        <f>IF(AND(D1621&lt;&gt;"dram",D1621&lt;&gt;"control"),H1621,0)</f>
        <v>0</v>
      </c>
      <c r="K1621">
        <f>IF(D1621="dram",H1621,0)</f>
        <v>116</v>
      </c>
      <c r="L1621">
        <v>1024</v>
      </c>
      <c r="M1621">
        <v>0</v>
      </c>
    </row>
    <row r="1622" spans="1:13">
      <c r="A1622">
        <v>1620</v>
      </c>
      <c r="B1622" t="s">
        <v>52</v>
      </c>
      <c r="C1622" t="s">
        <v>90</v>
      </c>
      <c r="D1622" t="s">
        <v>108</v>
      </c>
      <c r="E1622" t="s">
        <v>116</v>
      </c>
      <c r="F1622">
        <v>0</v>
      </c>
      <c r="G1622">
        <f>MAX(I1616,I1616,I1577,I1619,I1579,I1620,I1621,I1618)</f>
        <v>1429017</v>
      </c>
      <c r="H1622">
        <f>'Operations'!I20</f>
        <v>8453</v>
      </c>
      <c r="I1622">
        <f>G1622+H1622</f>
        <v>1437470</v>
      </c>
      <c r="J1622">
        <f>IF(AND(D1622&lt;&gt;"dram",D1622&lt;&gt;"control"),H1622,0)</f>
        <v>8453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314</v>
      </c>
      <c r="C1623" t="s">
        <v>88</v>
      </c>
      <c r="D1623" t="s">
        <v>89</v>
      </c>
      <c r="E1623" t="s">
        <v>116</v>
      </c>
      <c r="F1623">
        <v>0</v>
      </c>
      <c r="G1623">
        <f>MAX(I1617,I1616)</f>
        <v>1420564</v>
      </c>
      <c r="H1623">
        <f>0</f>
        <v>8453</v>
      </c>
      <c r="I1623">
        <f>G1623+H1623</f>
        <v>1429017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315</v>
      </c>
      <c r="C1624" t="s">
        <v>92</v>
      </c>
      <c r="D1624" t="s">
        <v>83</v>
      </c>
      <c r="E1624" t="s">
        <v>116</v>
      </c>
      <c r="F1624">
        <v>1024</v>
      </c>
      <c r="G1624">
        <f>MAX(I1623,I1621)</f>
        <v>1429017</v>
      </c>
      <c r="H1624">
        <f>CEILING((dram_access_latency+F1624/dram_bandwidth)*frequency,1)</f>
        <v>116</v>
      </c>
      <c r="I1624">
        <f>G1624+H1624</f>
        <v>1429133</v>
      </c>
      <c r="J1624">
        <f>IF(AND(D1624&lt;&gt;"dram",D1624&lt;&gt;"control"),H1624,0)</f>
        <v>0</v>
      </c>
      <c r="K1624">
        <f>IF(D1624="dram",H1624,0)</f>
        <v>116</v>
      </c>
      <c r="L1624">
        <v>0</v>
      </c>
      <c r="M1624">
        <v>1024</v>
      </c>
    </row>
    <row r="1625" spans="1:13">
      <c r="A1625">
        <v>1623</v>
      </c>
      <c r="B1625" t="s">
        <v>310</v>
      </c>
      <c r="C1625" t="s">
        <v>82</v>
      </c>
      <c r="D1625" t="s">
        <v>83</v>
      </c>
      <c r="E1625" t="s">
        <v>117</v>
      </c>
      <c r="F1625">
        <v>262144</v>
      </c>
      <c r="G1625">
        <f>MAX(I1623,I1624)</f>
        <v>1429133</v>
      </c>
      <c r="H1625">
        <f>CEILING((dram_access_latency+F1625/dram_bandwidth)*frequency,1)</f>
        <v>4196</v>
      </c>
      <c r="I1625">
        <f>G1625+H1625</f>
        <v>1433329</v>
      </c>
      <c r="J1625">
        <f>IF(AND(D1625&lt;&gt;"dram",D1625&lt;&gt;"control"),H1625,0)</f>
        <v>0</v>
      </c>
      <c r="K1625">
        <f>IF(D1625="dram",H1625,0)</f>
        <v>4196</v>
      </c>
      <c r="L1625">
        <v>262144</v>
      </c>
      <c r="M1625">
        <v>0</v>
      </c>
    </row>
    <row r="1626" spans="1:13">
      <c r="A1626">
        <v>1624</v>
      </c>
      <c r="B1626" t="s">
        <v>312</v>
      </c>
      <c r="C1626" t="s">
        <v>82</v>
      </c>
      <c r="D1626" t="s">
        <v>83</v>
      </c>
      <c r="E1626" t="s">
        <v>117</v>
      </c>
      <c r="F1626">
        <v>8192</v>
      </c>
      <c r="G1626">
        <f>MAX(I1623,I1625)</f>
        <v>1433329</v>
      </c>
      <c r="H1626">
        <f>CEILING((dram_access_latency+F1626/dram_bandwidth)*frequency,1)</f>
        <v>228</v>
      </c>
      <c r="I1626">
        <f>G1626+H1626</f>
        <v>1433557</v>
      </c>
      <c r="J1626">
        <f>IF(AND(D1626&lt;&gt;"dram",D1626&lt;&gt;"control"),H1626,0)</f>
        <v>0</v>
      </c>
      <c r="K1626">
        <f>IF(D1626="dram",H1626,0)</f>
        <v>228</v>
      </c>
      <c r="L1626">
        <v>8192</v>
      </c>
      <c r="M1626">
        <v>0</v>
      </c>
    </row>
    <row r="1627" spans="1:13">
      <c r="A1627">
        <v>1625</v>
      </c>
      <c r="B1627" t="s">
        <v>313</v>
      </c>
      <c r="C1627" t="s">
        <v>82</v>
      </c>
      <c r="D1627" t="s">
        <v>83</v>
      </c>
      <c r="E1627" t="s">
        <v>117</v>
      </c>
      <c r="F1627">
        <v>1024</v>
      </c>
      <c r="G1627">
        <f>MAX(I1623,I1626)</f>
        <v>1433557</v>
      </c>
      <c r="H1627">
        <f>CEILING((dram_access_latency+F1627/dram_bandwidth)*frequency,1)</f>
        <v>116</v>
      </c>
      <c r="I1627">
        <f>G1627+H1627</f>
        <v>1433673</v>
      </c>
      <c r="J1627">
        <f>IF(AND(D1627&lt;&gt;"dram",D1627&lt;&gt;"control"),H1627,0)</f>
        <v>0</v>
      </c>
      <c r="K1627">
        <f>IF(D1627="dram",H1627,0)</f>
        <v>116</v>
      </c>
      <c r="L1627">
        <v>1024</v>
      </c>
      <c r="M1627">
        <v>0</v>
      </c>
    </row>
    <row r="1628" spans="1:13">
      <c r="A1628">
        <v>1626</v>
      </c>
      <c r="B1628" t="s">
        <v>52</v>
      </c>
      <c r="C1628" t="s">
        <v>90</v>
      </c>
      <c r="D1628" t="s">
        <v>108</v>
      </c>
      <c r="E1628" t="s">
        <v>117</v>
      </c>
      <c r="F1628">
        <v>0</v>
      </c>
      <c r="G1628">
        <f>MAX(I1622,I1622,I1577,I1625,I1579,I1626,I1627,I1624)</f>
        <v>1437470</v>
      </c>
      <c r="H1628">
        <f>'Operations'!I20</f>
        <v>8453</v>
      </c>
      <c r="I1628">
        <f>G1628+H1628</f>
        <v>1445923</v>
      </c>
      <c r="J1628">
        <f>IF(AND(D1628&lt;&gt;"dram",D1628&lt;&gt;"control"),H1628,0)</f>
        <v>8453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314</v>
      </c>
      <c r="C1629" t="s">
        <v>88</v>
      </c>
      <c r="D1629" t="s">
        <v>89</v>
      </c>
      <c r="E1629" t="s">
        <v>117</v>
      </c>
      <c r="F1629">
        <v>0</v>
      </c>
      <c r="G1629">
        <f>MAX(I1623,I1622)</f>
        <v>1429017</v>
      </c>
      <c r="H1629">
        <f>0</f>
        <v>8453</v>
      </c>
      <c r="I1629">
        <f>G1629+H1629</f>
        <v>1437470</v>
      </c>
      <c r="J1629">
        <f>IF(AND(D1629&lt;&gt;"dram",D1629&lt;&gt;"control"),H1629,0)</f>
        <v>0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315</v>
      </c>
      <c r="C1630" t="s">
        <v>92</v>
      </c>
      <c r="D1630" t="s">
        <v>83</v>
      </c>
      <c r="E1630" t="s">
        <v>117</v>
      </c>
      <c r="F1630">
        <v>1024</v>
      </c>
      <c r="G1630">
        <f>MAX(I1629,I1627)</f>
        <v>1437470</v>
      </c>
      <c r="H1630">
        <f>CEILING((dram_access_latency+F1630/dram_bandwidth)*frequency,1)</f>
        <v>116</v>
      </c>
      <c r="I1630">
        <f>G1630+H1630</f>
        <v>1437586</v>
      </c>
      <c r="J1630">
        <f>IF(AND(D1630&lt;&gt;"dram",D1630&lt;&gt;"control"),H1630,0)</f>
        <v>0</v>
      </c>
      <c r="K1630">
        <f>IF(D1630="dram",H1630,0)</f>
        <v>116</v>
      </c>
      <c r="L1630">
        <v>0</v>
      </c>
      <c r="M1630">
        <v>1024</v>
      </c>
    </row>
    <row r="1631" spans="1:13">
      <c r="A1631">
        <v>1629</v>
      </c>
      <c r="B1631" t="s">
        <v>310</v>
      </c>
      <c r="C1631" t="s">
        <v>82</v>
      </c>
      <c r="D1631" t="s">
        <v>83</v>
      </c>
      <c r="E1631" t="s">
        <v>118</v>
      </c>
      <c r="F1631">
        <v>262144</v>
      </c>
      <c r="G1631">
        <f>MAX(I1629,I1630)</f>
        <v>1437586</v>
      </c>
      <c r="H1631">
        <f>CEILING((dram_access_latency+F1631/dram_bandwidth)*frequency,1)</f>
        <v>4196</v>
      </c>
      <c r="I1631">
        <f>G1631+H1631</f>
        <v>1441782</v>
      </c>
      <c r="J1631">
        <f>IF(AND(D1631&lt;&gt;"dram",D1631&lt;&gt;"control"),H1631,0)</f>
        <v>0</v>
      </c>
      <c r="K1631">
        <f>IF(D1631="dram",H1631,0)</f>
        <v>4196</v>
      </c>
      <c r="L1631">
        <v>262144</v>
      </c>
      <c r="M1631">
        <v>0</v>
      </c>
    </row>
    <row r="1632" spans="1:13">
      <c r="A1632">
        <v>1630</v>
      </c>
      <c r="B1632" t="s">
        <v>312</v>
      </c>
      <c r="C1632" t="s">
        <v>82</v>
      </c>
      <c r="D1632" t="s">
        <v>83</v>
      </c>
      <c r="E1632" t="s">
        <v>118</v>
      </c>
      <c r="F1632">
        <v>8192</v>
      </c>
      <c r="G1632">
        <f>MAX(I1629,I1631)</f>
        <v>1441782</v>
      </c>
      <c r="H1632">
        <f>CEILING((dram_access_latency+F1632/dram_bandwidth)*frequency,1)</f>
        <v>228</v>
      </c>
      <c r="I1632">
        <f>G1632+H1632</f>
        <v>1442010</v>
      </c>
      <c r="J1632">
        <f>IF(AND(D1632&lt;&gt;"dram",D1632&lt;&gt;"control"),H1632,0)</f>
        <v>0</v>
      </c>
      <c r="K1632">
        <f>IF(D1632="dram",H1632,0)</f>
        <v>228</v>
      </c>
      <c r="L1632">
        <v>8192</v>
      </c>
      <c r="M1632">
        <v>0</v>
      </c>
    </row>
    <row r="1633" spans="1:13">
      <c r="A1633">
        <v>1631</v>
      </c>
      <c r="B1633" t="s">
        <v>313</v>
      </c>
      <c r="C1633" t="s">
        <v>82</v>
      </c>
      <c r="D1633" t="s">
        <v>83</v>
      </c>
      <c r="E1633" t="s">
        <v>118</v>
      </c>
      <c r="F1633">
        <v>1024</v>
      </c>
      <c r="G1633">
        <f>MAX(I1629,I1632)</f>
        <v>1442010</v>
      </c>
      <c r="H1633">
        <f>CEILING((dram_access_latency+F1633/dram_bandwidth)*frequency,1)</f>
        <v>116</v>
      </c>
      <c r="I1633">
        <f>G1633+H1633</f>
        <v>1442126</v>
      </c>
      <c r="J1633">
        <f>IF(AND(D1633&lt;&gt;"dram",D1633&lt;&gt;"control"),H1633,0)</f>
        <v>0</v>
      </c>
      <c r="K1633">
        <f>IF(D1633="dram",H1633,0)</f>
        <v>116</v>
      </c>
      <c r="L1633">
        <v>1024</v>
      </c>
      <c r="M1633">
        <v>0</v>
      </c>
    </row>
    <row r="1634" spans="1:13">
      <c r="A1634">
        <v>1632</v>
      </c>
      <c r="B1634" t="s">
        <v>52</v>
      </c>
      <c r="C1634" t="s">
        <v>90</v>
      </c>
      <c r="D1634" t="s">
        <v>108</v>
      </c>
      <c r="E1634" t="s">
        <v>118</v>
      </c>
      <c r="F1634">
        <v>0</v>
      </c>
      <c r="G1634">
        <f>MAX(I1628,I1628,I1577,I1631,I1579,I1632,I1633,I1630)</f>
        <v>1445923</v>
      </c>
      <c r="H1634">
        <f>'Operations'!I20</f>
        <v>8453</v>
      </c>
      <c r="I1634">
        <f>G1634+H1634</f>
        <v>1454376</v>
      </c>
      <c r="J1634">
        <f>IF(AND(D1634&lt;&gt;"dram",D1634&lt;&gt;"control"),H1634,0)</f>
        <v>8453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314</v>
      </c>
      <c r="C1635" t="s">
        <v>88</v>
      </c>
      <c r="D1635" t="s">
        <v>89</v>
      </c>
      <c r="E1635" t="s">
        <v>118</v>
      </c>
      <c r="F1635">
        <v>0</v>
      </c>
      <c r="G1635">
        <f>MAX(I1629,I1628)</f>
        <v>1437470</v>
      </c>
      <c r="H1635">
        <f>0</f>
        <v>8453</v>
      </c>
      <c r="I1635">
        <f>G1635+H1635</f>
        <v>1445923</v>
      </c>
      <c r="J1635">
        <f>IF(AND(D1635&lt;&gt;"dram",D1635&lt;&gt;"control"),H1635,0)</f>
        <v>0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315</v>
      </c>
      <c r="C1636" t="s">
        <v>92</v>
      </c>
      <c r="D1636" t="s">
        <v>83</v>
      </c>
      <c r="E1636" t="s">
        <v>118</v>
      </c>
      <c r="F1636">
        <v>1024</v>
      </c>
      <c r="G1636">
        <f>MAX(I1635,I1633)</f>
        <v>1445923</v>
      </c>
      <c r="H1636">
        <f>CEILING((dram_access_latency+F1636/dram_bandwidth)*frequency,1)</f>
        <v>116</v>
      </c>
      <c r="I1636">
        <f>G1636+H1636</f>
        <v>1446039</v>
      </c>
      <c r="J1636">
        <f>IF(AND(D1636&lt;&gt;"dram",D1636&lt;&gt;"control"),H1636,0)</f>
        <v>0</v>
      </c>
      <c r="K1636">
        <f>IF(D1636="dram",H1636,0)</f>
        <v>116</v>
      </c>
      <c r="L1636">
        <v>0</v>
      </c>
      <c r="M1636">
        <v>1024</v>
      </c>
    </row>
    <row r="1637" spans="1:13">
      <c r="A1637">
        <v>1635</v>
      </c>
      <c r="B1637" t="s">
        <v>310</v>
      </c>
      <c r="C1637" t="s">
        <v>82</v>
      </c>
      <c r="D1637" t="s">
        <v>83</v>
      </c>
      <c r="E1637" t="s">
        <v>119</v>
      </c>
      <c r="F1637">
        <v>262144</v>
      </c>
      <c r="G1637">
        <f>MAX(I1635,I1636)</f>
        <v>1446039</v>
      </c>
      <c r="H1637">
        <f>CEILING((dram_access_latency+F1637/dram_bandwidth)*frequency,1)</f>
        <v>4196</v>
      </c>
      <c r="I1637">
        <f>G1637+H1637</f>
        <v>1450235</v>
      </c>
      <c r="J1637">
        <f>IF(AND(D1637&lt;&gt;"dram",D1637&lt;&gt;"control"),H1637,0)</f>
        <v>0</v>
      </c>
      <c r="K1637">
        <f>IF(D1637="dram",H1637,0)</f>
        <v>4196</v>
      </c>
      <c r="L1637">
        <v>262144</v>
      </c>
      <c r="M1637">
        <v>0</v>
      </c>
    </row>
    <row r="1638" spans="1:13">
      <c r="A1638">
        <v>1636</v>
      </c>
      <c r="B1638" t="s">
        <v>312</v>
      </c>
      <c r="C1638" t="s">
        <v>82</v>
      </c>
      <c r="D1638" t="s">
        <v>83</v>
      </c>
      <c r="E1638" t="s">
        <v>119</v>
      </c>
      <c r="F1638">
        <v>8192</v>
      </c>
      <c r="G1638">
        <f>MAX(I1635,I1637)</f>
        <v>1450235</v>
      </c>
      <c r="H1638">
        <f>CEILING((dram_access_latency+F1638/dram_bandwidth)*frequency,1)</f>
        <v>228</v>
      </c>
      <c r="I1638">
        <f>G1638+H1638</f>
        <v>1450463</v>
      </c>
      <c r="J1638">
        <f>IF(AND(D1638&lt;&gt;"dram",D1638&lt;&gt;"control"),H1638,0)</f>
        <v>0</v>
      </c>
      <c r="K1638">
        <f>IF(D1638="dram",H1638,0)</f>
        <v>228</v>
      </c>
      <c r="L1638">
        <v>8192</v>
      </c>
      <c r="M1638">
        <v>0</v>
      </c>
    </row>
    <row r="1639" spans="1:13">
      <c r="A1639">
        <v>1637</v>
      </c>
      <c r="B1639" t="s">
        <v>313</v>
      </c>
      <c r="C1639" t="s">
        <v>82</v>
      </c>
      <c r="D1639" t="s">
        <v>83</v>
      </c>
      <c r="E1639" t="s">
        <v>119</v>
      </c>
      <c r="F1639">
        <v>1024</v>
      </c>
      <c r="G1639">
        <f>MAX(I1635,I1638)</f>
        <v>1450463</v>
      </c>
      <c r="H1639">
        <f>CEILING((dram_access_latency+F1639/dram_bandwidth)*frequency,1)</f>
        <v>116</v>
      </c>
      <c r="I1639">
        <f>G1639+H1639</f>
        <v>1450579</v>
      </c>
      <c r="J1639">
        <f>IF(AND(D1639&lt;&gt;"dram",D1639&lt;&gt;"control"),H1639,0)</f>
        <v>0</v>
      </c>
      <c r="K1639">
        <f>IF(D1639="dram",H1639,0)</f>
        <v>116</v>
      </c>
      <c r="L1639">
        <v>1024</v>
      </c>
      <c r="M1639">
        <v>0</v>
      </c>
    </row>
    <row r="1640" spans="1:13">
      <c r="A1640">
        <v>1638</v>
      </c>
      <c r="B1640" t="s">
        <v>52</v>
      </c>
      <c r="C1640" t="s">
        <v>90</v>
      </c>
      <c r="D1640" t="s">
        <v>108</v>
      </c>
      <c r="E1640" t="s">
        <v>119</v>
      </c>
      <c r="F1640">
        <v>0</v>
      </c>
      <c r="G1640">
        <f>MAX(I1634,I1634,I1577,I1637,I1579,I1638,I1639,I1636)</f>
        <v>1454376</v>
      </c>
      <c r="H1640">
        <f>'Operations'!I20</f>
        <v>8453</v>
      </c>
      <c r="I1640">
        <f>G1640+H1640</f>
        <v>1462829</v>
      </c>
      <c r="J1640">
        <f>IF(AND(D1640&lt;&gt;"dram",D1640&lt;&gt;"control"),H1640,0)</f>
        <v>8453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314</v>
      </c>
      <c r="C1641" t="s">
        <v>88</v>
      </c>
      <c r="D1641" t="s">
        <v>89</v>
      </c>
      <c r="E1641" t="s">
        <v>119</v>
      </c>
      <c r="F1641">
        <v>0</v>
      </c>
      <c r="G1641">
        <f>MAX(I1635,I1634)</f>
        <v>1445923</v>
      </c>
      <c r="H1641">
        <f>0</f>
        <v>8453</v>
      </c>
      <c r="I1641">
        <f>G1641+H1641</f>
        <v>1454376</v>
      </c>
      <c r="J1641">
        <f>IF(AND(D1641&lt;&gt;"dram",D1641&lt;&gt;"control"),H1641,0)</f>
        <v>0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315</v>
      </c>
      <c r="C1642" t="s">
        <v>92</v>
      </c>
      <c r="D1642" t="s">
        <v>83</v>
      </c>
      <c r="E1642" t="s">
        <v>119</v>
      </c>
      <c r="F1642">
        <v>1024</v>
      </c>
      <c r="G1642">
        <f>MAX(I1641,I1639)</f>
        <v>1454376</v>
      </c>
      <c r="H1642">
        <f>CEILING((dram_access_latency+F1642/dram_bandwidth)*frequency,1)</f>
        <v>116</v>
      </c>
      <c r="I1642">
        <f>G1642+H1642</f>
        <v>1454492</v>
      </c>
      <c r="J1642">
        <f>IF(AND(D1642&lt;&gt;"dram",D1642&lt;&gt;"control"),H1642,0)</f>
        <v>0</v>
      </c>
      <c r="K1642">
        <f>IF(D1642="dram",H1642,0)</f>
        <v>116</v>
      </c>
      <c r="L1642">
        <v>0</v>
      </c>
      <c r="M1642">
        <v>1024</v>
      </c>
    </row>
    <row r="1643" spans="1:13">
      <c r="A1643">
        <v>1641</v>
      </c>
      <c r="B1643" t="s">
        <v>310</v>
      </c>
      <c r="C1643" t="s">
        <v>82</v>
      </c>
      <c r="D1643" t="s">
        <v>83</v>
      </c>
      <c r="E1643" t="s">
        <v>120</v>
      </c>
      <c r="F1643">
        <v>262144</v>
      </c>
      <c r="G1643">
        <f>MAX(I1641,I1642)</f>
        <v>1454492</v>
      </c>
      <c r="H1643">
        <f>CEILING((dram_access_latency+F1643/dram_bandwidth)*frequency,1)</f>
        <v>4196</v>
      </c>
      <c r="I1643">
        <f>G1643+H1643</f>
        <v>1458688</v>
      </c>
      <c r="J1643">
        <f>IF(AND(D1643&lt;&gt;"dram",D1643&lt;&gt;"control"),H1643,0)</f>
        <v>0</v>
      </c>
      <c r="K1643">
        <f>IF(D1643="dram",H1643,0)</f>
        <v>4196</v>
      </c>
      <c r="L1643">
        <v>262144</v>
      </c>
      <c r="M1643">
        <v>0</v>
      </c>
    </row>
    <row r="1644" spans="1:13">
      <c r="A1644">
        <v>1642</v>
      </c>
      <c r="B1644" t="s">
        <v>312</v>
      </c>
      <c r="C1644" t="s">
        <v>82</v>
      </c>
      <c r="D1644" t="s">
        <v>83</v>
      </c>
      <c r="E1644" t="s">
        <v>120</v>
      </c>
      <c r="F1644">
        <v>8192</v>
      </c>
      <c r="G1644">
        <f>MAX(I1641,I1643)</f>
        <v>1458688</v>
      </c>
      <c r="H1644">
        <f>CEILING((dram_access_latency+F1644/dram_bandwidth)*frequency,1)</f>
        <v>228</v>
      </c>
      <c r="I1644">
        <f>G1644+H1644</f>
        <v>1458916</v>
      </c>
      <c r="J1644">
        <f>IF(AND(D1644&lt;&gt;"dram",D1644&lt;&gt;"control"),H1644,0)</f>
        <v>0</v>
      </c>
      <c r="K1644">
        <f>IF(D1644="dram",H1644,0)</f>
        <v>228</v>
      </c>
      <c r="L1644">
        <v>8192</v>
      </c>
      <c r="M1644">
        <v>0</v>
      </c>
    </row>
    <row r="1645" spans="1:13">
      <c r="A1645">
        <v>1643</v>
      </c>
      <c r="B1645" t="s">
        <v>313</v>
      </c>
      <c r="C1645" t="s">
        <v>82</v>
      </c>
      <c r="D1645" t="s">
        <v>83</v>
      </c>
      <c r="E1645" t="s">
        <v>120</v>
      </c>
      <c r="F1645">
        <v>1024</v>
      </c>
      <c r="G1645">
        <f>MAX(I1641,I1644)</f>
        <v>1458916</v>
      </c>
      <c r="H1645">
        <f>CEILING((dram_access_latency+F1645/dram_bandwidth)*frequency,1)</f>
        <v>116</v>
      </c>
      <c r="I1645">
        <f>G1645+H1645</f>
        <v>1459032</v>
      </c>
      <c r="J1645">
        <f>IF(AND(D1645&lt;&gt;"dram",D1645&lt;&gt;"control"),H1645,0)</f>
        <v>0</v>
      </c>
      <c r="K1645">
        <f>IF(D1645="dram",H1645,0)</f>
        <v>116</v>
      </c>
      <c r="L1645">
        <v>1024</v>
      </c>
      <c r="M1645">
        <v>0</v>
      </c>
    </row>
    <row r="1646" spans="1:13">
      <c r="A1646">
        <v>1644</v>
      </c>
      <c r="B1646" t="s">
        <v>52</v>
      </c>
      <c r="C1646" t="s">
        <v>90</v>
      </c>
      <c r="D1646" t="s">
        <v>108</v>
      </c>
      <c r="E1646" t="s">
        <v>120</v>
      </c>
      <c r="F1646">
        <v>0</v>
      </c>
      <c r="G1646">
        <f>MAX(I1640,I1640,I1577,I1643,I1579,I1644,I1645,I1642)</f>
        <v>1462829</v>
      </c>
      <c r="H1646">
        <f>'Operations'!I20</f>
        <v>8453</v>
      </c>
      <c r="I1646">
        <f>G1646+H1646</f>
        <v>1471282</v>
      </c>
      <c r="J1646">
        <f>IF(AND(D1646&lt;&gt;"dram",D1646&lt;&gt;"control"),H1646,0)</f>
        <v>8453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314</v>
      </c>
      <c r="C1647" t="s">
        <v>88</v>
      </c>
      <c r="D1647" t="s">
        <v>89</v>
      </c>
      <c r="E1647" t="s">
        <v>120</v>
      </c>
      <c r="F1647">
        <v>0</v>
      </c>
      <c r="G1647">
        <f>MAX(I1641,I1640)</f>
        <v>1454376</v>
      </c>
      <c r="H1647">
        <f>0</f>
        <v>8453</v>
      </c>
      <c r="I1647">
        <f>G1647+H1647</f>
        <v>1462829</v>
      </c>
      <c r="J1647">
        <f>IF(AND(D1647&lt;&gt;"dram",D1647&lt;&gt;"control"),H1647,0)</f>
        <v>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315</v>
      </c>
      <c r="C1648" t="s">
        <v>92</v>
      </c>
      <c r="D1648" t="s">
        <v>83</v>
      </c>
      <c r="E1648" t="s">
        <v>120</v>
      </c>
      <c r="F1648">
        <v>1024</v>
      </c>
      <c r="G1648">
        <f>MAX(I1647,I1645)</f>
        <v>1462829</v>
      </c>
      <c r="H1648">
        <f>CEILING((dram_access_latency+F1648/dram_bandwidth)*frequency,1)</f>
        <v>116</v>
      </c>
      <c r="I1648">
        <f>G1648+H1648</f>
        <v>1462945</v>
      </c>
      <c r="J1648">
        <f>IF(AND(D1648&lt;&gt;"dram",D1648&lt;&gt;"control"),H1648,0)</f>
        <v>0</v>
      </c>
      <c r="K1648">
        <f>IF(D1648="dram",H1648,0)</f>
        <v>116</v>
      </c>
      <c r="L1648">
        <v>0</v>
      </c>
      <c r="M1648">
        <v>1024</v>
      </c>
    </row>
    <row r="1649" spans="1:13">
      <c r="A1649">
        <v>1647</v>
      </c>
      <c r="B1649" t="s">
        <v>310</v>
      </c>
      <c r="C1649" t="s">
        <v>82</v>
      </c>
      <c r="D1649" t="s">
        <v>83</v>
      </c>
      <c r="E1649" t="s">
        <v>121</v>
      </c>
      <c r="F1649">
        <v>262144</v>
      </c>
      <c r="G1649">
        <f>MAX(I1647,I1648)</f>
        <v>1462945</v>
      </c>
      <c r="H1649">
        <f>CEILING((dram_access_latency+F1649/dram_bandwidth)*frequency,1)</f>
        <v>4196</v>
      </c>
      <c r="I1649">
        <f>G1649+H1649</f>
        <v>1467141</v>
      </c>
      <c r="J1649">
        <f>IF(AND(D1649&lt;&gt;"dram",D1649&lt;&gt;"control"),H1649,0)</f>
        <v>0</v>
      </c>
      <c r="K1649">
        <f>IF(D1649="dram",H1649,0)</f>
        <v>4196</v>
      </c>
      <c r="L1649">
        <v>262144</v>
      </c>
      <c r="M1649">
        <v>0</v>
      </c>
    </row>
    <row r="1650" spans="1:13">
      <c r="A1650">
        <v>1648</v>
      </c>
      <c r="B1650" t="s">
        <v>312</v>
      </c>
      <c r="C1650" t="s">
        <v>82</v>
      </c>
      <c r="D1650" t="s">
        <v>83</v>
      </c>
      <c r="E1650" t="s">
        <v>121</v>
      </c>
      <c r="F1650">
        <v>8192</v>
      </c>
      <c r="G1650">
        <f>MAX(I1647,I1649)</f>
        <v>1467141</v>
      </c>
      <c r="H1650">
        <f>CEILING((dram_access_latency+F1650/dram_bandwidth)*frequency,1)</f>
        <v>228</v>
      </c>
      <c r="I1650">
        <f>G1650+H1650</f>
        <v>1467369</v>
      </c>
      <c r="J1650">
        <f>IF(AND(D1650&lt;&gt;"dram",D1650&lt;&gt;"control"),H1650,0)</f>
        <v>0</v>
      </c>
      <c r="K1650">
        <f>IF(D1650="dram",H1650,0)</f>
        <v>228</v>
      </c>
      <c r="L1650">
        <v>8192</v>
      </c>
      <c r="M1650">
        <v>0</v>
      </c>
    </row>
    <row r="1651" spans="1:13">
      <c r="A1651">
        <v>1649</v>
      </c>
      <c r="B1651" t="s">
        <v>313</v>
      </c>
      <c r="C1651" t="s">
        <v>82</v>
      </c>
      <c r="D1651" t="s">
        <v>83</v>
      </c>
      <c r="E1651" t="s">
        <v>121</v>
      </c>
      <c r="F1651">
        <v>1024</v>
      </c>
      <c r="G1651">
        <f>MAX(I1647,I1650)</f>
        <v>1467369</v>
      </c>
      <c r="H1651">
        <f>CEILING((dram_access_latency+F1651/dram_bandwidth)*frequency,1)</f>
        <v>116</v>
      </c>
      <c r="I1651">
        <f>G1651+H1651</f>
        <v>1467485</v>
      </c>
      <c r="J1651">
        <f>IF(AND(D1651&lt;&gt;"dram",D1651&lt;&gt;"control"),H1651,0)</f>
        <v>0</v>
      </c>
      <c r="K1651">
        <f>IF(D1651="dram",H1651,0)</f>
        <v>116</v>
      </c>
      <c r="L1651">
        <v>1024</v>
      </c>
      <c r="M1651">
        <v>0</v>
      </c>
    </row>
    <row r="1652" spans="1:13">
      <c r="A1652">
        <v>1650</v>
      </c>
      <c r="B1652" t="s">
        <v>52</v>
      </c>
      <c r="C1652" t="s">
        <v>90</v>
      </c>
      <c r="D1652" t="s">
        <v>108</v>
      </c>
      <c r="E1652" t="s">
        <v>121</v>
      </c>
      <c r="F1652">
        <v>0</v>
      </c>
      <c r="G1652">
        <f>MAX(I1646,I1646,I1577,I1649,I1579,I1650,I1651,I1648)</f>
        <v>1471282</v>
      </c>
      <c r="H1652">
        <f>'Operations'!I20</f>
        <v>8453</v>
      </c>
      <c r="I1652">
        <f>G1652+H1652</f>
        <v>1479735</v>
      </c>
      <c r="J1652">
        <f>IF(AND(D1652&lt;&gt;"dram",D1652&lt;&gt;"control"),H1652,0)</f>
        <v>8453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314</v>
      </c>
      <c r="C1653" t="s">
        <v>88</v>
      </c>
      <c r="D1653" t="s">
        <v>89</v>
      </c>
      <c r="E1653" t="s">
        <v>121</v>
      </c>
      <c r="F1653">
        <v>0</v>
      </c>
      <c r="G1653">
        <f>MAX(I1647,I1646)</f>
        <v>1462829</v>
      </c>
      <c r="H1653">
        <f>0</f>
        <v>8453</v>
      </c>
      <c r="I1653">
        <f>G1653+H1653</f>
        <v>1471282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315</v>
      </c>
      <c r="C1654" t="s">
        <v>92</v>
      </c>
      <c r="D1654" t="s">
        <v>83</v>
      </c>
      <c r="E1654" t="s">
        <v>121</v>
      </c>
      <c r="F1654">
        <v>1024</v>
      </c>
      <c r="G1654">
        <f>MAX(I1653,I1651)</f>
        <v>1471282</v>
      </c>
      <c r="H1654">
        <f>CEILING((dram_access_latency+F1654/dram_bandwidth)*frequency,1)</f>
        <v>116</v>
      </c>
      <c r="I1654">
        <f>G1654+H1654</f>
        <v>1471398</v>
      </c>
      <c r="J1654">
        <f>IF(AND(D1654&lt;&gt;"dram",D1654&lt;&gt;"control"),H1654,0)</f>
        <v>0</v>
      </c>
      <c r="K1654">
        <f>IF(D1654="dram",H1654,0)</f>
        <v>116</v>
      </c>
      <c r="L1654">
        <v>0</v>
      </c>
      <c r="M1654">
        <v>1024</v>
      </c>
    </row>
    <row r="1655" spans="1:13">
      <c r="A1655">
        <v>1653</v>
      </c>
      <c r="B1655" t="s">
        <v>310</v>
      </c>
      <c r="C1655" t="s">
        <v>82</v>
      </c>
      <c r="D1655" t="s">
        <v>83</v>
      </c>
      <c r="E1655" t="s">
        <v>122</v>
      </c>
      <c r="F1655">
        <v>262144</v>
      </c>
      <c r="G1655">
        <f>MAX(I1653,I1654)</f>
        <v>1471398</v>
      </c>
      <c r="H1655">
        <f>CEILING((dram_access_latency+F1655/dram_bandwidth)*frequency,1)</f>
        <v>4196</v>
      </c>
      <c r="I1655">
        <f>G1655+H1655</f>
        <v>1475594</v>
      </c>
      <c r="J1655">
        <f>IF(AND(D1655&lt;&gt;"dram",D1655&lt;&gt;"control"),H1655,0)</f>
        <v>0</v>
      </c>
      <c r="K1655">
        <f>IF(D1655="dram",H1655,0)</f>
        <v>4196</v>
      </c>
      <c r="L1655">
        <v>262144</v>
      </c>
      <c r="M1655">
        <v>0</v>
      </c>
    </row>
    <row r="1656" spans="1:13">
      <c r="A1656">
        <v>1654</v>
      </c>
      <c r="B1656" t="s">
        <v>312</v>
      </c>
      <c r="C1656" t="s">
        <v>82</v>
      </c>
      <c r="D1656" t="s">
        <v>83</v>
      </c>
      <c r="E1656" t="s">
        <v>122</v>
      </c>
      <c r="F1656">
        <v>8192</v>
      </c>
      <c r="G1656">
        <f>MAX(I1653,I1655)</f>
        <v>1475594</v>
      </c>
      <c r="H1656">
        <f>CEILING((dram_access_latency+F1656/dram_bandwidth)*frequency,1)</f>
        <v>228</v>
      </c>
      <c r="I1656">
        <f>G1656+H1656</f>
        <v>1475822</v>
      </c>
      <c r="J1656">
        <f>IF(AND(D1656&lt;&gt;"dram",D1656&lt;&gt;"control"),H1656,0)</f>
        <v>0</v>
      </c>
      <c r="K1656">
        <f>IF(D1656="dram",H1656,0)</f>
        <v>228</v>
      </c>
      <c r="L1656">
        <v>8192</v>
      </c>
      <c r="M1656">
        <v>0</v>
      </c>
    </row>
    <row r="1657" spans="1:13">
      <c r="A1657">
        <v>1655</v>
      </c>
      <c r="B1657" t="s">
        <v>313</v>
      </c>
      <c r="C1657" t="s">
        <v>82</v>
      </c>
      <c r="D1657" t="s">
        <v>83</v>
      </c>
      <c r="E1657" t="s">
        <v>122</v>
      </c>
      <c r="F1657">
        <v>1024</v>
      </c>
      <c r="G1657">
        <f>MAX(I1653,I1656)</f>
        <v>1475822</v>
      </c>
      <c r="H1657">
        <f>CEILING((dram_access_latency+F1657/dram_bandwidth)*frequency,1)</f>
        <v>116</v>
      </c>
      <c r="I1657">
        <f>G1657+H1657</f>
        <v>1475938</v>
      </c>
      <c r="J1657">
        <f>IF(AND(D1657&lt;&gt;"dram",D1657&lt;&gt;"control"),H1657,0)</f>
        <v>0</v>
      </c>
      <c r="K1657">
        <f>IF(D1657="dram",H1657,0)</f>
        <v>116</v>
      </c>
      <c r="L1657">
        <v>1024</v>
      </c>
      <c r="M1657">
        <v>0</v>
      </c>
    </row>
    <row r="1658" spans="1:13">
      <c r="A1658">
        <v>1656</v>
      </c>
      <c r="B1658" t="s">
        <v>52</v>
      </c>
      <c r="C1658" t="s">
        <v>90</v>
      </c>
      <c r="D1658" t="s">
        <v>108</v>
      </c>
      <c r="E1658" t="s">
        <v>122</v>
      </c>
      <c r="F1658">
        <v>0</v>
      </c>
      <c r="G1658">
        <f>MAX(I1652,I1652,I1577,I1655,I1579,I1656,I1657,I1654)</f>
        <v>1479735</v>
      </c>
      <c r="H1658">
        <f>'Operations'!I20</f>
        <v>8453</v>
      </c>
      <c r="I1658">
        <f>G1658+H1658</f>
        <v>1488188</v>
      </c>
      <c r="J1658">
        <f>IF(AND(D1658&lt;&gt;"dram",D1658&lt;&gt;"control"),H1658,0)</f>
        <v>8453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314</v>
      </c>
      <c r="C1659" t="s">
        <v>88</v>
      </c>
      <c r="D1659" t="s">
        <v>89</v>
      </c>
      <c r="E1659" t="s">
        <v>122</v>
      </c>
      <c r="F1659">
        <v>0</v>
      </c>
      <c r="G1659">
        <f>MAX(I1653,I1652)</f>
        <v>1471282</v>
      </c>
      <c r="H1659">
        <f>0</f>
        <v>8453</v>
      </c>
      <c r="I1659">
        <f>G1659+H1659</f>
        <v>1479735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315</v>
      </c>
      <c r="C1660" t="s">
        <v>92</v>
      </c>
      <c r="D1660" t="s">
        <v>83</v>
      </c>
      <c r="E1660" t="s">
        <v>122</v>
      </c>
      <c r="F1660">
        <v>1024</v>
      </c>
      <c r="G1660">
        <f>MAX(I1659,I1657)</f>
        <v>1479735</v>
      </c>
      <c r="H1660">
        <f>CEILING((dram_access_latency+F1660/dram_bandwidth)*frequency,1)</f>
        <v>116</v>
      </c>
      <c r="I1660">
        <f>G1660+H1660</f>
        <v>1479851</v>
      </c>
      <c r="J1660">
        <f>IF(AND(D1660&lt;&gt;"dram",D1660&lt;&gt;"control"),H1660,0)</f>
        <v>0</v>
      </c>
      <c r="K1660">
        <f>IF(D1660="dram",H1660,0)</f>
        <v>116</v>
      </c>
      <c r="L1660">
        <v>0</v>
      </c>
      <c r="M1660">
        <v>1024</v>
      </c>
    </row>
    <row r="1661" spans="1:13">
      <c r="A1661">
        <v>1659</v>
      </c>
      <c r="B1661" t="s">
        <v>310</v>
      </c>
      <c r="C1661" t="s">
        <v>82</v>
      </c>
      <c r="D1661" t="s">
        <v>83</v>
      </c>
      <c r="E1661" t="s">
        <v>123</v>
      </c>
      <c r="F1661">
        <v>262144</v>
      </c>
      <c r="G1661">
        <f>MAX(I1659,I1660)</f>
        <v>1479851</v>
      </c>
      <c r="H1661">
        <f>CEILING((dram_access_latency+F1661/dram_bandwidth)*frequency,1)</f>
        <v>4196</v>
      </c>
      <c r="I1661">
        <f>G1661+H1661</f>
        <v>1484047</v>
      </c>
      <c r="J1661">
        <f>IF(AND(D1661&lt;&gt;"dram",D1661&lt;&gt;"control"),H1661,0)</f>
        <v>0</v>
      </c>
      <c r="K1661">
        <f>IF(D1661="dram",H1661,0)</f>
        <v>4196</v>
      </c>
      <c r="L1661">
        <v>262144</v>
      </c>
      <c r="M1661">
        <v>0</v>
      </c>
    </row>
    <row r="1662" spans="1:13">
      <c r="A1662">
        <v>1660</v>
      </c>
      <c r="B1662" t="s">
        <v>312</v>
      </c>
      <c r="C1662" t="s">
        <v>82</v>
      </c>
      <c r="D1662" t="s">
        <v>83</v>
      </c>
      <c r="E1662" t="s">
        <v>123</v>
      </c>
      <c r="F1662">
        <v>8192</v>
      </c>
      <c r="G1662">
        <f>MAX(I1659,I1661)</f>
        <v>1484047</v>
      </c>
      <c r="H1662">
        <f>CEILING((dram_access_latency+F1662/dram_bandwidth)*frequency,1)</f>
        <v>228</v>
      </c>
      <c r="I1662">
        <f>G1662+H1662</f>
        <v>1484275</v>
      </c>
      <c r="J1662">
        <f>IF(AND(D1662&lt;&gt;"dram",D1662&lt;&gt;"control"),H1662,0)</f>
        <v>0</v>
      </c>
      <c r="K1662">
        <f>IF(D1662="dram",H1662,0)</f>
        <v>228</v>
      </c>
      <c r="L1662">
        <v>8192</v>
      </c>
      <c r="M1662">
        <v>0</v>
      </c>
    </row>
    <row r="1663" spans="1:13">
      <c r="A1663">
        <v>1661</v>
      </c>
      <c r="B1663" t="s">
        <v>313</v>
      </c>
      <c r="C1663" t="s">
        <v>82</v>
      </c>
      <c r="D1663" t="s">
        <v>83</v>
      </c>
      <c r="E1663" t="s">
        <v>123</v>
      </c>
      <c r="F1663">
        <v>1024</v>
      </c>
      <c r="G1663">
        <f>MAX(I1659,I1662)</f>
        <v>1484275</v>
      </c>
      <c r="H1663">
        <f>CEILING((dram_access_latency+F1663/dram_bandwidth)*frequency,1)</f>
        <v>116</v>
      </c>
      <c r="I1663">
        <f>G1663+H1663</f>
        <v>1484391</v>
      </c>
      <c r="J1663">
        <f>IF(AND(D1663&lt;&gt;"dram",D1663&lt;&gt;"control"),H1663,0)</f>
        <v>0</v>
      </c>
      <c r="K1663">
        <f>IF(D1663="dram",H1663,0)</f>
        <v>116</v>
      </c>
      <c r="L1663">
        <v>1024</v>
      </c>
      <c r="M1663">
        <v>0</v>
      </c>
    </row>
    <row r="1664" spans="1:13">
      <c r="A1664">
        <v>1662</v>
      </c>
      <c r="B1664" t="s">
        <v>52</v>
      </c>
      <c r="C1664" t="s">
        <v>90</v>
      </c>
      <c r="D1664" t="s">
        <v>108</v>
      </c>
      <c r="E1664" t="s">
        <v>123</v>
      </c>
      <c r="F1664">
        <v>0</v>
      </c>
      <c r="G1664">
        <f>MAX(I1658,I1658,I1577,I1661,I1579,I1662,I1663,I1660)</f>
        <v>1488188</v>
      </c>
      <c r="H1664">
        <f>'Operations'!I20</f>
        <v>8453</v>
      </c>
      <c r="I1664">
        <f>G1664+H1664</f>
        <v>1496641</v>
      </c>
      <c r="J1664">
        <f>IF(AND(D1664&lt;&gt;"dram",D1664&lt;&gt;"control"),H1664,0)</f>
        <v>8453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314</v>
      </c>
      <c r="C1665" t="s">
        <v>88</v>
      </c>
      <c r="D1665" t="s">
        <v>89</v>
      </c>
      <c r="E1665" t="s">
        <v>123</v>
      </c>
      <c r="F1665">
        <v>0</v>
      </c>
      <c r="G1665">
        <f>MAX(I1659,I1658)</f>
        <v>1479735</v>
      </c>
      <c r="H1665">
        <f>0</f>
        <v>8453</v>
      </c>
      <c r="I1665">
        <f>G1665+H1665</f>
        <v>1488188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315</v>
      </c>
      <c r="C1666" t="s">
        <v>92</v>
      </c>
      <c r="D1666" t="s">
        <v>83</v>
      </c>
      <c r="E1666" t="s">
        <v>123</v>
      </c>
      <c r="F1666">
        <v>1024</v>
      </c>
      <c r="G1666">
        <f>MAX(I1665,I1663)</f>
        <v>1488188</v>
      </c>
      <c r="H1666">
        <f>CEILING((dram_access_latency+F1666/dram_bandwidth)*frequency,1)</f>
        <v>116</v>
      </c>
      <c r="I1666">
        <f>G1666+H1666</f>
        <v>1488304</v>
      </c>
      <c r="J1666">
        <f>IF(AND(D1666&lt;&gt;"dram",D1666&lt;&gt;"control"),H1666,0)</f>
        <v>0</v>
      </c>
      <c r="K1666">
        <f>IF(D1666="dram",H1666,0)</f>
        <v>116</v>
      </c>
      <c r="L1666">
        <v>0</v>
      </c>
      <c r="M1666">
        <v>1024</v>
      </c>
    </row>
    <row r="1667" spans="1:13">
      <c r="A1667">
        <v>1665</v>
      </c>
      <c r="B1667" t="s">
        <v>310</v>
      </c>
      <c r="C1667" t="s">
        <v>82</v>
      </c>
      <c r="D1667" t="s">
        <v>83</v>
      </c>
      <c r="E1667" t="s">
        <v>124</v>
      </c>
      <c r="F1667">
        <v>262144</v>
      </c>
      <c r="G1667">
        <f>MAX(I1665,I1666)</f>
        <v>1488304</v>
      </c>
      <c r="H1667">
        <f>CEILING((dram_access_latency+F1667/dram_bandwidth)*frequency,1)</f>
        <v>4196</v>
      </c>
      <c r="I1667">
        <f>G1667+H1667</f>
        <v>1492500</v>
      </c>
      <c r="J1667">
        <f>IF(AND(D1667&lt;&gt;"dram",D1667&lt;&gt;"control"),H1667,0)</f>
        <v>0</v>
      </c>
      <c r="K1667">
        <f>IF(D1667="dram",H1667,0)</f>
        <v>4196</v>
      </c>
      <c r="L1667">
        <v>262144</v>
      </c>
      <c r="M1667">
        <v>0</v>
      </c>
    </row>
    <row r="1668" spans="1:13">
      <c r="A1668">
        <v>1666</v>
      </c>
      <c r="B1668" t="s">
        <v>312</v>
      </c>
      <c r="C1668" t="s">
        <v>82</v>
      </c>
      <c r="D1668" t="s">
        <v>83</v>
      </c>
      <c r="E1668" t="s">
        <v>124</v>
      </c>
      <c r="F1668">
        <v>8192</v>
      </c>
      <c r="G1668">
        <f>MAX(I1665,I1667)</f>
        <v>1492500</v>
      </c>
      <c r="H1668">
        <f>CEILING((dram_access_latency+F1668/dram_bandwidth)*frequency,1)</f>
        <v>228</v>
      </c>
      <c r="I1668">
        <f>G1668+H1668</f>
        <v>1492728</v>
      </c>
      <c r="J1668">
        <f>IF(AND(D1668&lt;&gt;"dram",D1668&lt;&gt;"control"),H1668,0)</f>
        <v>0</v>
      </c>
      <c r="K1668">
        <f>IF(D1668="dram",H1668,0)</f>
        <v>228</v>
      </c>
      <c r="L1668">
        <v>8192</v>
      </c>
      <c r="M1668">
        <v>0</v>
      </c>
    </row>
    <row r="1669" spans="1:13">
      <c r="A1669">
        <v>1667</v>
      </c>
      <c r="B1669" t="s">
        <v>313</v>
      </c>
      <c r="C1669" t="s">
        <v>82</v>
      </c>
      <c r="D1669" t="s">
        <v>83</v>
      </c>
      <c r="E1669" t="s">
        <v>124</v>
      </c>
      <c r="F1669">
        <v>1024</v>
      </c>
      <c r="G1669">
        <f>MAX(I1665,I1668)</f>
        <v>1492728</v>
      </c>
      <c r="H1669">
        <f>CEILING((dram_access_latency+F1669/dram_bandwidth)*frequency,1)</f>
        <v>116</v>
      </c>
      <c r="I1669">
        <f>G1669+H1669</f>
        <v>1492844</v>
      </c>
      <c r="J1669">
        <f>IF(AND(D1669&lt;&gt;"dram",D1669&lt;&gt;"control"),H1669,0)</f>
        <v>0</v>
      </c>
      <c r="K1669">
        <f>IF(D1669="dram",H1669,0)</f>
        <v>116</v>
      </c>
      <c r="L1669">
        <v>1024</v>
      </c>
      <c r="M1669">
        <v>0</v>
      </c>
    </row>
    <row r="1670" spans="1:13">
      <c r="A1670">
        <v>1668</v>
      </c>
      <c r="B1670" t="s">
        <v>52</v>
      </c>
      <c r="C1670" t="s">
        <v>90</v>
      </c>
      <c r="D1670" t="s">
        <v>108</v>
      </c>
      <c r="E1670" t="s">
        <v>124</v>
      </c>
      <c r="F1670">
        <v>0</v>
      </c>
      <c r="G1670">
        <f>MAX(I1664,I1664,I1577,I1667,I1579,I1668,I1669,I1666)</f>
        <v>1496641</v>
      </c>
      <c r="H1670">
        <f>'Operations'!I20</f>
        <v>8453</v>
      </c>
      <c r="I1670">
        <f>G1670+H1670</f>
        <v>1505094</v>
      </c>
      <c r="J1670">
        <f>IF(AND(D1670&lt;&gt;"dram",D1670&lt;&gt;"control"),H1670,0)</f>
        <v>8453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314</v>
      </c>
      <c r="C1671" t="s">
        <v>88</v>
      </c>
      <c r="D1671" t="s">
        <v>89</v>
      </c>
      <c r="E1671" t="s">
        <v>124</v>
      </c>
      <c r="F1671">
        <v>0</v>
      </c>
      <c r="G1671">
        <f>MAX(I1665,I1664)</f>
        <v>1488188</v>
      </c>
      <c r="H1671">
        <f>0</f>
        <v>8453</v>
      </c>
      <c r="I1671">
        <f>G1671+H1671</f>
        <v>1496641</v>
      </c>
      <c r="J1671">
        <f>IF(AND(D1671&lt;&gt;"dram",D1671&lt;&gt;"control"),H1671,0)</f>
        <v>0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315</v>
      </c>
      <c r="C1672" t="s">
        <v>92</v>
      </c>
      <c r="D1672" t="s">
        <v>83</v>
      </c>
      <c r="E1672" t="s">
        <v>124</v>
      </c>
      <c r="F1672">
        <v>1024</v>
      </c>
      <c r="G1672">
        <f>MAX(I1671,I1669)</f>
        <v>1496641</v>
      </c>
      <c r="H1672">
        <f>CEILING((dram_access_latency+F1672/dram_bandwidth)*frequency,1)</f>
        <v>116</v>
      </c>
      <c r="I1672">
        <f>G1672+H1672</f>
        <v>1496757</v>
      </c>
      <c r="J1672">
        <f>IF(AND(D1672&lt;&gt;"dram",D1672&lt;&gt;"control"),H1672,0)</f>
        <v>0</v>
      </c>
      <c r="K1672">
        <f>IF(D1672="dram",H1672,0)</f>
        <v>116</v>
      </c>
      <c r="L1672">
        <v>0</v>
      </c>
      <c r="M1672">
        <v>1024</v>
      </c>
    </row>
    <row r="1673" spans="1:13">
      <c r="A1673">
        <v>1671</v>
      </c>
      <c r="B1673" t="s">
        <v>310</v>
      </c>
      <c r="C1673" t="s">
        <v>82</v>
      </c>
      <c r="D1673" t="s">
        <v>83</v>
      </c>
      <c r="E1673" t="s">
        <v>125</v>
      </c>
      <c r="F1673">
        <v>262144</v>
      </c>
      <c r="G1673">
        <f>MAX(I1671,I1672)</f>
        <v>1496757</v>
      </c>
      <c r="H1673">
        <f>CEILING((dram_access_latency+F1673/dram_bandwidth)*frequency,1)</f>
        <v>4196</v>
      </c>
      <c r="I1673">
        <f>G1673+H1673</f>
        <v>1500953</v>
      </c>
      <c r="J1673">
        <f>IF(AND(D1673&lt;&gt;"dram",D1673&lt;&gt;"control"),H1673,0)</f>
        <v>0</v>
      </c>
      <c r="K1673">
        <f>IF(D1673="dram",H1673,0)</f>
        <v>4196</v>
      </c>
      <c r="L1673">
        <v>262144</v>
      </c>
      <c r="M1673">
        <v>0</v>
      </c>
    </row>
    <row r="1674" spans="1:13">
      <c r="A1674">
        <v>1672</v>
      </c>
      <c r="B1674" t="s">
        <v>312</v>
      </c>
      <c r="C1674" t="s">
        <v>82</v>
      </c>
      <c r="D1674" t="s">
        <v>83</v>
      </c>
      <c r="E1674" t="s">
        <v>125</v>
      </c>
      <c r="F1674">
        <v>8192</v>
      </c>
      <c r="G1674">
        <f>MAX(I1671,I1673)</f>
        <v>1500953</v>
      </c>
      <c r="H1674">
        <f>CEILING((dram_access_latency+F1674/dram_bandwidth)*frequency,1)</f>
        <v>228</v>
      </c>
      <c r="I1674">
        <f>G1674+H1674</f>
        <v>1501181</v>
      </c>
      <c r="J1674">
        <f>IF(AND(D1674&lt;&gt;"dram",D1674&lt;&gt;"control"),H1674,0)</f>
        <v>0</v>
      </c>
      <c r="K1674">
        <f>IF(D1674="dram",H1674,0)</f>
        <v>228</v>
      </c>
      <c r="L1674">
        <v>8192</v>
      </c>
      <c r="M1674">
        <v>0</v>
      </c>
    </row>
    <row r="1675" spans="1:13">
      <c r="A1675">
        <v>1673</v>
      </c>
      <c r="B1675" t="s">
        <v>313</v>
      </c>
      <c r="C1675" t="s">
        <v>82</v>
      </c>
      <c r="D1675" t="s">
        <v>83</v>
      </c>
      <c r="E1675" t="s">
        <v>125</v>
      </c>
      <c r="F1675">
        <v>1024</v>
      </c>
      <c r="G1675">
        <f>MAX(I1671,I1674)</f>
        <v>1501181</v>
      </c>
      <c r="H1675">
        <f>CEILING((dram_access_latency+F1675/dram_bandwidth)*frequency,1)</f>
        <v>116</v>
      </c>
      <c r="I1675">
        <f>G1675+H1675</f>
        <v>1501297</v>
      </c>
      <c r="J1675">
        <f>IF(AND(D1675&lt;&gt;"dram",D1675&lt;&gt;"control"),H1675,0)</f>
        <v>0</v>
      </c>
      <c r="K1675">
        <f>IF(D1675="dram",H1675,0)</f>
        <v>116</v>
      </c>
      <c r="L1675">
        <v>1024</v>
      </c>
      <c r="M1675">
        <v>0</v>
      </c>
    </row>
    <row r="1676" spans="1:13">
      <c r="A1676">
        <v>1674</v>
      </c>
      <c r="B1676" t="s">
        <v>52</v>
      </c>
      <c r="C1676" t="s">
        <v>90</v>
      </c>
      <c r="D1676" t="s">
        <v>108</v>
      </c>
      <c r="E1676" t="s">
        <v>125</v>
      </c>
      <c r="F1676">
        <v>0</v>
      </c>
      <c r="G1676">
        <f>MAX(I1670,I1670,I1577,I1673,I1579,I1674,I1675,I1672)</f>
        <v>1505094</v>
      </c>
      <c r="H1676">
        <f>'Operations'!I20</f>
        <v>8453</v>
      </c>
      <c r="I1676">
        <f>G1676+H1676</f>
        <v>1513547</v>
      </c>
      <c r="J1676">
        <f>IF(AND(D1676&lt;&gt;"dram",D1676&lt;&gt;"control"),H1676,0)</f>
        <v>8453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314</v>
      </c>
      <c r="C1677" t="s">
        <v>88</v>
      </c>
      <c r="D1677" t="s">
        <v>89</v>
      </c>
      <c r="E1677" t="s">
        <v>125</v>
      </c>
      <c r="F1677">
        <v>0</v>
      </c>
      <c r="G1677">
        <f>MAX(I1671,I1670)</f>
        <v>1496641</v>
      </c>
      <c r="H1677">
        <f>0</f>
        <v>8453</v>
      </c>
      <c r="I1677">
        <f>G1677+H1677</f>
        <v>1505094</v>
      </c>
      <c r="J1677">
        <f>IF(AND(D1677&lt;&gt;"dram",D1677&lt;&gt;"control"),H1677,0)</f>
        <v>0</v>
      </c>
      <c r="K1677">
        <f>IF(D1677="dram",H1677,0)</f>
        <v>0</v>
      </c>
      <c r="L1677">
        <v>0</v>
      </c>
      <c r="M1677">
        <v>0</v>
      </c>
    </row>
    <row r="1678" spans="1:13">
      <c r="A1678">
        <v>1676</v>
      </c>
      <c r="B1678" t="s">
        <v>315</v>
      </c>
      <c r="C1678" t="s">
        <v>92</v>
      </c>
      <c r="D1678" t="s">
        <v>83</v>
      </c>
      <c r="E1678" t="s">
        <v>125</v>
      </c>
      <c r="F1678">
        <v>1024</v>
      </c>
      <c r="G1678">
        <f>MAX(I1677,I1675)</f>
        <v>1505094</v>
      </c>
      <c r="H1678">
        <f>CEILING((dram_access_latency+F1678/dram_bandwidth)*frequency,1)</f>
        <v>116</v>
      </c>
      <c r="I1678">
        <f>G1678+H1678</f>
        <v>1505210</v>
      </c>
      <c r="J1678">
        <f>IF(AND(D1678&lt;&gt;"dram",D1678&lt;&gt;"control"),H1678,0)</f>
        <v>0</v>
      </c>
      <c r="K1678">
        <f>IF(D1678="dram",H1678,0)</f>
        <v>116</v>
      </c>
      <c r="L1678">
        <v>0</v>
      </c>
      <c r="M1678">
        <v>1024</v>
      </c>
    </row>
    <row r="1679" spans="1:13">
      <c r="A1679">
        <v>1677</v>
      </c>
      <c r="B1679" t="s">
        <v>310</v>
      </c>
      <c r="C1679" t="s">
        <v>82</v>
      </c>
      <c r="D1679" t="s">
        <v>83</v>
      </c>
      <c r="E1679" t="s">
        <v>126</v>
      </c>
      <c r="F1679">
        <v>262144</v>
      </c>
      <c r="G1679">
        <f>MAX(I1677,I1678)</f>
        <v>1505210</v>
      </c>
      <c r="H1679">
        <f>CEILING((dram_access_latency+F1679/dram_bandwidth)*frequency,1)</f>
        <v>4196</v>
      </c>
      <c r="I1679">
        <f>G1679+H1679</f>
        <v>1509406</v>
      </c>
      <c r="J1679">
        <f>IF(AND(D1679&lt;&gt;"dram",D1679&lt;&gt;"control"),H1679,0)</f>
        <v>0</v>
      </c>
      <c r="K1679">
        <f>IF(D1679="dram",H1679,0)</f>
        <v>4196</v>
      </c>
      <c r="L1679">
        <v>262144</v>
      </c>
      <c r="M1679">
        <v>0</v>
      </c>
    </row>
    <row r="1680" spans="1:13">
      <c r="A1680">
        <v>1678</v>
      </c>
      <c r="B1680" t="s">
        <v>312</v>
      </c>
      <c r="C1680" t="s">
        <v>82</v>
      </c>
      <c r="D1680" t="s">
        <v>83</v>
      </c>
      <c r="E1680" t="s">
        <v>126</v>
      </c>
      <c r="F1680">
        <v>8192</v>
      </c>
      <c r="G1680">
        <f>MAX(I1677,I1679)</f>
        <v>1509406</v>
      </c>
      <c r="H1680">
        <f>CEILING((dram_access_latency+F1680/dram_bandwidth)*frequency,1)</f>
        <v>228</v>
      </c>
      <c r="I1680">
        <f>G1680+H1680</f>
        <v>1509634</v>
      </c>
      <c r="J1680">
        <f>IF(AND(D1680&lt;&gt;"dram",D1680&lt;&gt;"control"),H1680,0)</f>
        <v>0</v>
      </c>
      <c r="K1680">
        <f>IF(D1680="dram",H1680,0)</f>
        <v>228</v>
      </c>
      <c r="L1680">
        <v>8192</v>
      </c>
      <c r="M1680">
        <v>0</v>
      </c>
    </row>
    <row r="1681" spans="1:13">
      <c r="A1681">
        <v>1679</v>
      </c>
      <c r="B1681" t="s">
        <v>313</v>
      </c>
      <c r="C1681" t="s">
        <v>82</v>
      </c>
      <c r="D1681" t="s">
        <v>83</v>
      </c>
      <c r="E1681" t="s">
        <v>126</v>
      </c>
      <c r="F1681">
        <v>1024</v>
      </c>
      <c r="G1681">
        <f>MAX(I1677,I1680)</f>
        <v>1509634</v>
      </c>
      <c r="H1681">
        <f>CEILING((dram_access_latency+F1681/dram_bandwidth)*frequency,1)</f>
        <v>116</v>
      </c>
      <c r="I1681">
        <f>G1681+H1681</f>
        <v>1509750</v>
      </c>
      <c r="J1681">
        <f>IF(AND(D1681&lt;&gt;"dram",D1681&lt;&gt;"control"),H1681,0)</f>
        <v>0</v>
      </c>
      <c r="K1681">
        <f>IF(D1681="dram",H1681,0)</f>
        <v>116</v>
      </c>
      <c r="L1681">
        <v>1024</v>
      </c>
      <c r="M1681">
        <v>0</v>
      </c>
    </row>
    <row r="1682" spans="1:13">
      <c r="A1682">
        <v>1680</v>
      </c>
      <c r="B1682" t="s">
        <v>52</v>
      </c>
      <c r="C1682" t="s">
        <v>90</v>
      </c>
      <c r="D1682" t="s">
        <v>108</v>
      </c>
      <c r="E1682" t="s">
        <v>126</v>
      </c>
      <c r="F1682">
        <v>0</v>
      </c>
      <c r="G1682">
        <f>MAX(I1676,I1676,I1577,I1679,I1579,I1680,I1681,I1678)</f>
        <v>1513547</v>
      </c>
      <c r="H1682">
        <f>'Operations'!I20</f>
        <v>8453</v>
      </c>
      <c r="I1682">
        <f>G1682+H1682</f>
        <v>1522000</v>
      </c>
      <c r="J1682">
        <f>IF(AND(D1682&lt;&gt;"dram",D1682&lt;&gt;"control"),H1682,0)</f>
        <v>8453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314</v>
      </c>
      <c r="C1683" t="s">
        <v>88</v>
      </c>
      <c r="D1683" t="s">
        <v>89</v>
      </c>
      <c r="E1683" t="s">
        <v>126</v>
      </c>
      <c r="F1683">
        <v>0</v>
      </c>
      <c r="G1683">
        <f>MAX(I1677,I1676)</f>
        <v>1505094</v>
      </c>
      <c r="H1683">
        <f>0</f>
        <v>8453</v>
      </c>
      <c r="I1683">
        <f>G1683+H1683</f>
        <v>1513547</v>
      </c>
      <c r="J1683">
        <f>IF(AND(D1683&lt;&gt;"dram",D1683&lt;&gt;"control"),H1683,0)</f>
        <v>0</v>
      </c>
      <c r="K1683">
        <f>IF(D1683="dram",H1683,0)</f>
        <v>0</v>
      </c>
      <c r="L1683">
        <v>0</v>
      </c>
      <c r="M1683">
        <v>0</v>
      </c>
    </row>
    <row r="1684" spans="1:13">
      <c r="A1684">
        <v>1682</v>
      </c>
      <c r="B1684" t="s">
        <v>315</v>
      </c>
      <c r="C1684" t="s">
        <v>92</v>
      </c>
      <c r="D1684" t="s">
        <v>83</v>
      </c>
      <c r="E1684" t="s">
        <v>126</v>
      </c>
      <c r="F1684">
        <v>1024</v>
      </c>
      <c r="G1684">
        <f>MAX(I1683,I1681)</f>
        <v>1513547</v>
      </c>
      <c r="H1684">
        <f>CEILING((dram_access_latency+F1684/dram_bandwidth)*frequency,1)</f>
        <v>116</v>
      </c>
      <c r="I1684">
        <f>G1684+H1684</f>
        <v>1513663</v>
      </c>
      <c r="J1684">
        <f>IF(AND(D1684&lt;&gt;"dram",D1684&lt;&gt;"control"),H1684,0)</f>
        <v>0</v>
      </c>
      <c r="K1684">
        <f>IF(D1684="dram",H1684,0)</f>
        <v>116</v>
      </c>
      <c r="L1684">
        <v>0</v>
      </c>
      <c r="M1684">
        <v>1024</v>
      </c>
    </row>
    <row r="1685" spans="1:13">
      <c r="A1685">
        <v>1683</v>
      </c>
      <c r="B1685" t="s">
        <v>310</v>
      </c>
      <c r="C1685" t="s">
        <v>82</v>
      </c>
      <c r="D1685" t="s">
        <v>83</v>
      </c>
      <c r="E1685" t="s">
        <v>127</v>
      </c>
      <c r="F1685">
        <v>262144</v>
      </c>
      <c r="G1685">
        <f>MAX(I1683,I1684)</f>
        <v>1513663</v>
      </c>
      <c r="H1685">
        <f>CEILING((dram_access_latency+F1685/dram_bandwidth)*frequency,1)</f>
        <v>4196</v>
      </c>
      <c r="I1685">
        <f>G1685+H1685</f>
        <v>1517859</v>
      </c>
      <c r="J1685">
        <f>IF(AND(D1685&lt;&gt;"dram",D1685&lt;&gt;"control"),H1685,0)</f>
        <v>0</v>
      </c>
      <c r="K1685">
        <f>IF(D1685="dram",H1685,0)</f>
        <v>4196</v>
      </c>
      <c r="L1685">
        <v>262144</v>
      </c>
      <c r="M1685">
        <v>0</v>
      </c>
    </row>
    <row r="1686" spans="1:13">
      <c r="A1686">
        <v>1684</v>
      </c>
      <c r="B1686" t="s">
        <v>312</v>
      </c>
      <c r="C1686" t="s">
        <v>82</v>
      </c>
      <c r="D1686" t="s">
        <v>83</v>
      </c>
      <c r="E1686" t="s">
        <v>127</v>
      </c>
      <c r="F1686">
        <v>8192</v>
      </c>
      <c r="G1686">
        <f>MAX(I1683,I1685)</f>
        <v>1517859</v>
      </c>
      <c r="H1686">
        <f>CEILING((dram_access_latency+F1686/dram_bandwidth)*frequency,1)</f>
        <v>228</v>
      </c>
      <c r="I1686">
        <f>G1686+H1686</f>
        <v>1518087</v>
      </c>
      <c r="J1686">
        <f>IF(AND(D1686&lt;&gt;"dram",D1686&lt;&gt;"control"),H1686,0)</f>
        <v>0</v>
      </c>
      <c r="K1686">
        <f>IF(D1686="dram",H1686,0)</f>
        <v>228</v>
      </c>
      <c r="L1686">
        <v>8192</v>
      </c>
      <c r="M1686">
        <v>0</v>
      </c>
    </row>
    <row r="1687" spans="1:13">
      <c r="A1687">
        <v>1685</v>
      </c>
      <c r="B1687" t="s">
        <v>313</v>
      </c>
      <c r="C1687" t="s">
        <v>82</v>
      </c>
      <c r="D1687" t="s">
        <v>83</v>
      </c>
      <c r="E1687" t="s">
        <v>127</v>
      </c>
      <c r="F1687">
        <v>1024</v>
      </c>
      <c r="G1687">
        <f>MAX(I1683,I1686)</f>
        <v>1518087</v>
      </c>
      <c r="H1687">
        <f>CEILING((dram_access_latency+F1687/dram_bandwidth)*frequency,1)</f>
        <v>116</v>
      </c>
      <c r="I1687">
        <f>G1687+H1687</f>
        <v>1518203</v>
      </c>
      <c r="J1687">
        <f>IF(AND(D1687&lt;&gt;"dram",D1687&lt;&gt;"control"),H1687,0)</f>
        <v>0</v>
      </c>
      <c r="K1687">
        <f>IF(D1687="dram",H1687,0)</f>
        <v>116</v>
      </c>
      <c r="L1687">
        <v>1024</v>
      </c>
      <c r="M1687">
        <v>0</v>
      </c>
    </row>
    <row r="1688" spans="1:13">
      <c r="A1688">
        <v>1686</v>
      </c>
      <c r="B1688" t="s">
        <v>52</v>
      </c>
      <c r="C1688" t="s">
        <v>90</v>
      </c>
      <c r="D1688" t="s">
        <v>108</v>
      </c>
      <c r="E1688" t="s">
        <v>127</v>
      </c>
      <c r="F1688">
        <v>0</v>
      </c>
      <c r="G1688">
        <f>MAX(I1682,I1682,I1577,I1685,I1579,I1686,I1687,I1684)</f>
        <v>1522000</v>
      </c>
      <c r="H1688">
        <f>'Operations'!I20</f>
        <v>8453</v>
      </c>
      <c r="I1688">
        <f>G1688+H1688</f>
        <v>1530453</v>
      </c>
      <c r="J1688">
        <f>IF(AND(D1688&lt;&gt;"dram",D1688&lt;&gt;"control"),H1688,0)</f>
        <v>8453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314</v>
      </c>
      <c r="C1689" t="s">
        <v>88</v>
      </c>
      <c r="D1689" t="s">
        <v>89</v>
      </c>
      <c r="E1689" t="s">
        <v>127</v>
      </c>
      <c r="F1689">
        <v>0</v>
      </c>
      <c r="G1689">
        <f>MAX(I1683,I1682)</f>
        <v>1513547</v>
      </c>
      <c r="H1689">
        <f>0</f>
        <v>8453</v>
      </c>
      <c r="I1689">
        <f>G1689+H1689</f>
        <v>1522000</v>
      </c>
      <c r="J1689">
        <f>IF(AND(D1689&lt;&gt;"dram",D1689&lt;&gt;"control"),H1689,0)</f>
        <v>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315</v>
      </c>
      <c r="C1690" t="s">
        <v>92</v>
      </c>
      <c r="D1690" t="s">
        <v>83</v>
      </c>
      <c r="E1690" t="s">
        <v>127</v>
      </c>
      <c r="F1690">
        <v>1024</v>
      </c>
      <c r="G1690">
        <f>MAX(I1689,I1687)</f>
        <v>1522000</v>
      </c>
      <c r="H1690">
        <f>CEILING((dram_access_latency+F1690/dram_bandwidth)*frequency,1)</f>
        <v>116</v>
      </c>
      <c r="I1690">
        <f>G1690+H1690</f>
        <v>1522116</v>
      </c>
      <c r="J1690">
        <f>IF(AND(D1690&lt;&gt;"dram",D1690&lt;&gt;"control"),H1690,0)</f>
        <v>0</v>
      </c>
      <c r="K1690">
        <f>IF(D1690="dram",H1690,0)</f>
        <v>116</v>
      </c>
      <c r="L1690">
        <v>0</v>
      </c>
      <c r="M1690">
        <v>1024</v>
      </c>
    </row>
    <row r="1691" spans="1:13">
      <c r="A1691">
        <v>1689</v>
      </c>
      <c r="B1691" t="s">
        <v>310</v>
      </c>
      <c r="C1691" t="s">
        <v>82</v>
      </c>
      <c r="D1691" t="s">
        <v>83</v>
      </c>
      <c r="E1691" t="s">
        <v>128</v>
      </c>
      <c r="F1691">
        <v>262144</v>
      </c>
      <c r="G1691">
        <f>MAX(I1689,I1690)</f>
        <v>1522116</v>
      </c>
      <c r="H1691">
        <f>CEILING((dram_access_latency+F1691/dram_bandwidth)*frequency,1)</f>
        <v>4196</v>
      </c>
      <c r="I1691">
        <f>G1691+H1691</f>
        <v>1526312</v>
      </c>
      <c r="J1691">
        <f>IF(AND(D1691&lt;&gt;"dram",D1691&lt;&gt;"control"),H1691,0)</f>
        <v>0</v>
      </c>
      <c r="K1691">
        <f>IF(D1691="dram",H1691,0)</f>
        <v>4196</v>
      </c>
      <c r="L1691">
        <v>262144</v>
      </c>
      <c r="M1691">
        <v>0</v>
      </c>
    </row>
    <row r="1692" spans="1:13">
      <c r="A1692">
        <v>1690</v>
      </c>
      <c r="B1692" t="s">
        <v>312</v>
      </c>
      <c r="C1692" t="s">
        <v>82</v>
      </c>
      <c r="D1692" t="s">
        <v>83</v>
      </c>
      <c r="E1692" t="s">
        <v>128</v>
      </c>
      <c r="F1692">
        <v>8192</v>
      </c>
      <c r="G1692">
        <f>MAX(I1689,I1691)</f>
        <v>1526312</v>
      </c>
      <c r="H1692">
        <f>CEILING((dram_access_latency+F1692/dram_bandwidth)*frequency,1)</f>
        <v>228</v>
      </c>
      <c r="I1692">
        <f>G1692+H1692</f>
        <v>1526540</v>
      </c>
      <c r="J1692">
        <f>IF(AND(D1692&lt;&gt;"dram",D1692&lt;&gt;"control"),H1692,0)</f>
        <v>0</v>
      </c>
      <c r="K1692">
        <f>IF(D1692="dram",H1692,0)</f>
        <v>228</v>
      </c>
      <c r="L1692">
        <v>8192</v>
      </c>
      <c r="M1692">
        <v>0</v>
      </c>
    </row>
    <row r="1693" spans="1:13">
      <c r="A1693">
        <v>1691</v>
      </c>
      <c r="B1693" t="s">
        <v>313</v>
      </c>
      <c r="C1693" t="s">
        <v>82</v>
      </c>
      <c r="D1693" t="s">
        <v>83</v>
      </c>
      <c r="E1693" t="s">
        <v>128</v>
      </c>
      <c r="F1693">
        <v>1024</v>
      </c>
      <c r="G1693">
        <f>MAX(I1689,I1692)</f>
        <v>1526540</v>
      </c>
      <c r="H1693">
        <f>CEILING((dram_access_latency+F1693/dram_bandwidth)*frequency,1)</f>
        <v>116</v>
      </c>
      <c r="I1693">
        <f>G1693+H1693</f>
        <v>1526656</v>
      </c>
      <c r="J1693">
        <f>IF(AND(D1693&lt;&gt;"dram",D1693&lt;&gt;"control"),H1693,0)</f>
        <v>0</v>
      </c>
      <c r="K1693">
        <f>IF(D1693="dram",H1693,0)</f>
        <v>116</v>
      </c>
      <c r="L1693">
        <v>1024</v>
      </c>
      <c r="M1693">
        <v>0</v>
      </c>
    </row>
    <row r="1694" spans="1:13">
      <c r="A1694">
        <v>1692</v>
      </c>
      <c r="B1694" t="s">
        <v>52</v>
      </c>
      <c r="C1694" t="s">
        <v>90</v>
      </c>
      <c r="D1694" t="s">
        <v>108</v>
      </c>
      <c r="E1694" t="s">
        <v>128</v>
      </c>
      <c r="F1694">
        <v>0</v>
      </c>
      <c r="G1694">
        <f>MAX(I1688,I1688,I1577,I1691,I1579,I1692,I1693,I1690)</f>
        <v>1530453</v>
      </c>
      <c r="H1694">
        <f>'Operations'!I20</f>
        <v>8453</v>
      </c>
      <c r="I1694">
        <f>G1694+H1694</f>
        <v>1538906</v>
      </c>
      <c r="J1694">
        <f>IF(AND(D1694&lt;&gt;"dram",D1694&lt;&gt;"control"),H1694,0)</f>
        <v>8453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314</v>
      </c>
      <c r="C1695" t="s">
        <v>88</v>
      </c>
      <c r="D1695" t="s">
        <v>89</v>
      </c>
      <c r="E1695" t="s">
        <v>128</v>
      </c>
      <c r="F1695">
        <v>0</v>
      </c>
      <c r="G1695">
        <f>MAX(I1689,I1688)</f>
        <v>1522000</v>
      </c>
      <c r="H1695">
        <f>0</f>
        <v>8453</v>
      </c>
      <c r="I1695">
        <f>G1695+H1695</f>
        <v>1530453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315</v>
      </c>
      <c r="C1696" t="s">
        <v>92</v>
      </c>
      <c r="D1696" t="s">
        <v>83</v>
      </c>
      <c r="E1696" t="s">
        <v>128</v>
      </c>
      <c r="F1696">
        <v>1024</v>
      </c>
      <c r="G1696">
        <f>MAX(I1695,I1693)</f>
        <v>1530453</v>
      </c>
      <c r="H1696">
        <f>CEILING((dram_access_latency+F1696/dram_bandwidth)*frequency,1)</f>
        <v>116</v>
      </c>
      <c r="I1696">
        <f>G1696+H1696</f>
        <v>1530569</v>
      </c>
      <c r="J1696">
        <f>IF(AND(D1696&lt;&gt;"dram",D1696&lt;&gt;"control"),H1696,0)</f>
        <v>0</v>
      </c>
      <c r="K1696">
        <f>IF(D1696="dram",H1696,0)</f>
        <v>116</v>
      </c>
      <c r="L1696">
        <v>0</v>
      </c>
      <c r="M1696">
        <v>1024</v>
      </c>
    </row>
    <row r="1697" spans="1:13">
      <c r="A1697">
        <v>1695</v>
      </c>
      <c r="B1697" t="s">
        <v>310</v>
      </c>
      <c r="C1697" t="s">
        <v>82</v>
      </c>
      <c r="D1697" t="s">
        <v>83</v>
      </c>
      <c r="E1697" t="s">
        <v>129</v>
      </c>
      <c r="F1697">
        <v>262144</v>
      </c>
      <c r="G1697">
        <f>MAX(I1695,I1696)</f>
        <v>1530569</v>
      </c>
      <c r="H1697">
        <f>CEILING((dram_access_latency+F1697/dram_bandwidth)*frequency,1)</f>
        <v>4196</v>
      </c>
      <c r="I1697">
        <f>G1697+H1697</f>
        <v>1534765</v>
      </c>
      <c r="J1697">
        <f>IF(AND(D1697&lt;&gt;"dram",D1697&lt;&gt;"control"),H1697,0)</f>
        <v>0</v>
      </c>
      <c r="K1697">
        <f>IF(D1697="dram",H1697,0)</f>
        <v>4196</v>
      </c>
      <c r="L1697">
        <v>262144</v>
      </c>
      <c r="M1697">
        <v>0</v>
      </c>
    </row>
    <row r="1698" spans="1:13">
      <c r="A1698">
        <v>1696</v>
      </c>
      <c r="B1698" t="s">
        <v>312</v>
      </c>
      <c r="C1698" t="s">
        <v>82</v>
      </c>
      <c r="D1698" t="s">
        <v>83</v>
      </c>
      <c r="E1698" t="s">
        <v>129</v>
      </c>
      <c r="F1698">
        <v>8192</v>
      </c>
      <c r="G1698">
        <f>MAX(I1695,I1697)</f>
        <v>1534765</v>
      </c>
      <c r="H1698">
        <f>CEILING((dram_access_latency+F1698/dram_bandwidth)*frequency,1)</f>
        <v>228</v>
      </c>
      <c r="I1698">
        <f>G1698+H1698</f>
        <v>1534993</v>
      </c>
      <c r="J1698">
        <f>IF(AND(D1698&lt;&gt;"dram",D1698&lt;&gt;"control"),H1698,0)</f>
        <v>0</v>
      </c>
      <c r="K1698">
        <f>IF(D1698="dram",H1698,0)</f>
        <v>228</v>
      </c>
      <c r="L1698">
        <v>8192</v>
      </c>
      <c r="M1698">
        <v>0</v>
      </c>
    </row>
    <row r="1699" spans="1:13">
      <c r="A1699">
        <v>1697</v>
      </c>
      <c r="B1699" t="s">
        <v>313</v>
      </c>
      <c r="C1699" t="s">
        <v>82</v>
      </c>
      <c r="D1699" t="s">
        <v>83</v>
      </c>
      <c r="E1699" t="s">
        <v>129</v>
      </c>
      <c r="F1699">
        <v>1024</v>
      </c>
      <c r="G1699">
        <f>MAX(I1695,I1698)</f>
        <v>1534993</v>
      </c>
      <c r="H1699">
        <f>CEILING((dram_access_latency+F1699/dram_bandwidth)*frequency,1)</f>
        <v>116</v>
      </c>
      <c r="I1699">
        <f>G1699+H1699</f>
        <v>1535109</v>
      </c>
      <c r="J1699">
        <f>IF(AND(D1699&lt;&gt;"dram",D1699&lt;&gt;"control"),H1699,0)</f>
        <v>0</v>
      </c>
      <c r="K1699">
        <f>IF(D1699="dram",H1699,0)</f>
        <v>116</v>
      </c>
      <c r="L1699">
        <v>1024</v>
      </c>
      <c r="M1699">
        <v>0</v>
      </c>
    </row>
    <row r="1700" spans="1:13">
      <c r="A1700">
        <v>1698</v>
      </c>
      <c r="B1700" t="s">
        <v>52</v>
      </c>
      <c r="C1700" t="s">
        <v>90</v>
      </c>
      <c r="D1700" t="s">
        <v>108</v>
      </c>
      <c r="E1700" t="s">
        <v>129</v>
      </c>
      <c r="F1700">
        <v>0</v>
      </c>
      <c r="G1700">
        <f>MAX(I1694,I1694,I1577,I1697,I1579,I1698,I1699,I1696)</f>
        <v>1538906</v>
      </c>
      <c r="H1700">
        <f>'Operations'!I20</f>
        <v>8453</v>
      </c>
      <c r="I1700">
        <f>G1700+H1700</f>
        <v>1547359</v>
      </c>
      <c r="J1700">
        <f>IF(AND(D1700&lt;&gt;"dram",D1700&lt;&gt;"control"),H1700,0)</f>
        <v>8453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314</v>
      </c>
      <c r="C1701" t="s">
        <v>88</v>
      </c>
      <c r="D1701" t="s">
        <v>89</v>
      </c>
      <c r="E1701" t="s">
        <v>129</v>
      </c>
      <c r="F1701">
        <v>0</v>
      </c>
      <c r="G1701">
        <f>MAX(I1695,I1694)</f>
        <v>1530453</v>
      </c>
      <c r="H1701">
        <f>0</f>
        <v>8453</v>
      </c>
      <c r="I1701">
        <f>G1701+H1701</f>
        <v>1538906</v>
      </c>
      <c r="J1701">
        <f>IF(AND(D1701&lt;&gt;"dram",D1701&lt;&gt;"control"),H1701,0)</f>
        <v>0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315</v>
      </c>
      <c r="C1702" t="s">
        <v>92</v>
      </c>
      <c r="D1702" t="s">
        <v>83</v>
      </c>
      <c r="E1702" t="s">
        <v>129</v>
      </c>
      <c r="F1702">
        <v>1024</v>
      </c>
      <c r="G1702">
        <f>MAX(I1701,I1699)</f>
        <v>1538906</v>
      </c>
      <c r="H1702">
        <f>CEILING((dram_access_latency+F1702/dram_bandwidth)*frequency,1)</f>
        <v>116</v>
      </c>
      <c r="I1702">
        <f>G1702+H1702</f>
        <v>1539022</v>
      </c>
      <c r="J1702">
        <f>IF(AND(D1702&lt;&gt;"dram",D1702&lt;&gt;"control"),H1702,0)</f>
        <v>0</v>
      </c>
      <c r="K1702">
        <f>IF(D1702="dram",H1702,0)</f>
        <v>116</v>
      </c>
      <c r="L1702">
        <v>0</v>
      </c>
      <c r="M1702">
        <v>1024</v>
      </c>
    </row>
    <row r="1703" spans="1:13">
      <c r="A1703">
        <v>1701</v>
      </c>
      <c r="B1703" t="s">
        <v>310</v>
      </c>
      <c r="C1703" t="s">
        <v>82</v>
      </c>
      <c r="D1703" t="s">
        <v>83</v>
      </c>
      <c r="E1703" t="s">
        <v>130</v>
      </c>
      <c r="F1703">
        <v>262144</v>
      </c>
      <c r="G1703">
        <f>MAX(I1701,I1702)</f>
        <v>1539022</v>
      </c>
      <c r="H1703">
        <f>CEILING((dram_access_latency+F1703/dram_bandwidth)*frequency,1)</f>
        <v>4196</v>
      </c>
      <c r="I1703">
        <f>G1703+H1703</f>
        <v>1543218</v>
      </c>
      <c r="J1703">
        <f>IF(AND(D1703&lt;&gt;"dram",D1703&lt;&gt;"control"),H1703,0)</f>
        <v>0</v>
      </c>
      <c r="K1703">
        <f>IF(D1703="dram",H1703,0)</f>
        <v>4196</v>
      </c>
      <c r="L1703">
        <v>262144</v>
      </c>
      <c r="M1703">
        <v>0</v>
      </c>
    </row>
    <row r="1704" spans="1:13">
      <c r="A1704">
        <v>1702</v>
      </c>
      <c r="B1704" t="s">
        <v>312</v>
      </c>
      <c r="C1704" t="s">
        <v>82</v>
      </c>
      <c r="D1704" t="s">
        <v>83</v>
      </c>
      <c r="E1704" t="s">
        <v>130</v>
      </c>
      <c r="F1704">
        <v>8192</v>
      </c>
      <c r="G1704">
        <f>MAX(I1701,I1703)</f>
        <v>1543218</v>
      </c>
      <c r="H1704">
        <f>CEILING((dram_access_latency+F1704/dram_bandwidth)*frequency,1)</f>
        <v>228</v>
      </c>
      <c r="I1704">
        <f>G1704+H1704</f>
        <v>1543446</v>
      </c>
      <c r="J1704">
        <f>IF(AND(D1704&lt;&gt;"dram",D1704&lt;&gt;"control"),H1704,0)</f>
        <v>0</v>
      </c>
      <c r="K1704">
        <f>IF(D1704="dram",H1704,0)</f>
        <v>228</v>
      </c>
      <c r="L1704">
        <v>8192</v>
      </c>
      <c r="M1704">
        <v>0</v>
      </c>
    </row>
    <row r="1705" spans="1:13">
      <c r="A1705">
        <v>1703</v>
      </c>
      <c r="B1705" t="s">
        <v>313</v>
      </c>
      <c r="C1705" t="s">
        <v>82</v>
      </c>
      <c r="D1705" t="s">
        <v>83</v>
      </c>
      <c r="E1705" t="s">
        <v>130</v>
      </c>
      <c r="F1705">
        <v>1024</v>
      </c>
      <c r="G1705">
        <f>MAX(I1701,I1704)</f>
        <v>1543446</v>
      </c>
      <c r="H1705">
        <f>CEILING((dram_access_latency+F1705/dram_bandwidth)*frequency,1)</f>
        <v>116</v>
      </c>
      <c r="I1705">
        <f>G1705+H1705</f>
        <v>1543562</v>
      </c>
      <c r="J1705">
        <f>IF(AND(D1705&lt;&gt;"dram",D1705&lt;&gt;"control"),H1705,0)</f>
        <v>0</v>
      </c>
      <c r="K1705">
        <f>IF(D1705="dram",H1705,0)</f>
        <v>116</v>
      </c>
      <c r="L1705">
        <v>1024</v>
      </c>
      <c r="M1705">
        <v>0</v>
      </c>
    </row>
    <row r="1706" spans="1:13">
      <c r="A1706">
        <v>1704</v>
      </c>
      <c r="B1706" t="s">
        <v>52</v>
      </c>
      <c r="C1706" t="s">
        <v>90</v>
      </c>
      <c r="D1706" t="s">
        <v>108</v>
      </c>
      <c r="E1706" t="s">
        <v>130</v>
      </c>
      <c r="F1706">
        <v>0</v>
      </c>
      <c r="G1706">
        <f>MAX(I1700,I1700,I1577,I1703,I1579,I1704,I1705,I1702)</f>
        <v>1547359</v>
      </c>
      <c r="H1706">
        <f>'Operations'!I20</f>
        <v>8453</v>
      </c>
      <c r="I1706">
        <f>G1706+H1706</f>
        <v>1555812</v>
      </c>
      <c r="J1706">
        <f>IF(AND(D1706&lt;&gt;"dram",D1706&lt;&gt;"control"),H1706,0)</f>
        <v>8453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314</v>
      </c>
      <c r="C1707" t="s">
        <v>88</v>
      </c>
      <c r="D1707" t="s">
        <v>89</v>
      </c>
      <c r="E1707" t="s">
        <v>130</v>
      </c>
      <c r="F1707">
        <v>0</v>
      </c>
      <c r="G1707">
        <f>MAX(I1701,I1700)</f>
        <v>1538906</v>
      </c>
      <c r="H1707">
        <f>0</f>
        <v>8453</v>
      </c>
      <c r="I1707">
        <f>G1707+H1707</f>
        <v>1547359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315</v>
      </c>
      <c r="C1708" t="s">
        <v>92</v>
      </c>
      <c r="D1708" t="s">
        <v>83</v>
      </c>
      <c r="E1708" t="s">
        <v>130</v>
      </c>
      <c r="F1708">
        <v>1024</v>
      </c>
      <c r="G1708">
        <f>MAX(I1707,I1705)</f>
        <v>1547359</v>
      </c>
      <c r="H1708">
        <f>CEILING((dram_access_latency+F1708/dram_bandwidth)*frequency,1)</f>
        <v>116</v>
      </c>
      <c r="I1708">
        <f>G1708+H1708</f>
        <v>1547475</v>
      </c>
      <c r="J1708">
        <f>IF(AND(D1708&lt;&gt;"dram",D1708&lt;&gt;"control"),H1708,0)</f>
        <v>0</v>
      </c>
      <c r="K1708">
        <f>IF(D1708="dram",H1708,0)</f>
        <v>116</v>
      </c>
      <c r="L1708">
        <v>0</v>
      </c>
      <c r="M1708">
        <v>1024</v>
      </c>
    </row>
    <row r="1709" spans="1:13">
      <c r="A1709">
        <v>1707</v>
      </c>
      <c r="B1709" t="s">
        <v>310</v>
      </c>
      <c r="C1709" t="s">
        <v>82</v>
      </c>
      <c r="D1709" t="s">
        <v>83</v>
      </c>
      <c r="E1709" t="s">
        <v>131</v>
      </c>
      <c r="F1709">
        <v>262144</v>
      </c>
      <c r="G1709">
        <f>MAX(I1707,I1708)</f>
        <v>1547475</v>
      </c>
      <c r="H1709">
        <f>CEILING((dram_access_latency+F1709/dram_bandwidth)*frequency,1)</f>
        <v>4196</v>
      </c>
      <c r="I1709">
        <f>G1709+H1709</f>
        <v>1551671</v>
      </c>
      <c r="J1709">
        <f>IF(AND(D1709&lt;&gt;"dram",D1709&lt;&gt;"control"),H1709,0)</f>
        <v>0</v>
      </c>
      <c r="K1709">
        <f>IF(D1709="dram",H1709,0)</f>
        <v>4196</v>
      </c>
      <c r="L1709">
        <v>262144</v>
      </c>
      <c r="M1709">
        <v>0</v>
      </c>
    </row>
    <row r="1710" spans="1:13">
      <c r="A1710">
        <v>1708</v>
      </c>
      <c r="B1710" t="s">
        <v>312</v>
      </c>
      <c r="C1710" t="s">
        <v>82</v>
      </c>
      <c r="D1710" t="s">
        <v>83</v>
      </c>
      <c r="E1710" t="s">
        <v>131</v>
      </c>
      <c r="F1710">
        <v>8192</v>
      </c>
      <c r="G1710">
        <f>MAX(I1707,I1709)</f>
        <v>1551671</v>
      </c>
      <c r="H1710">
        <f>CEILING((dram_access_latency+F1710/dram_bandwidth)*frequency,1)</f>
        <v>228</v>
      </c>
      <c r="I1710">
        <f>G1710+H1710</f>
        <v>1551899</v>
      </c>
      <c r="J1710">
        <f>IF(AND(D1710&lt;&gt;"dram",D1710&lt;&gt;"control"),H1710,0)</f>
        <v>0</v>
      </c>
      <c r="K1710">
        <f>IF(D1710="dram",H1710,0)</f>
        <v>228</v>
      </c>
      <c r="L1710">
        <v>8192</v>
      </c>
      <c r="M1710">
        <v>0</v>
      </c>
    </row>
    <row r="1711" spans="1:13">
      <c r="A1711">
        <v>1709</v>
      </c>
      <c r="B1711" t="s">
        <v>313</v>
      </c>
      <c r="C1711" t="s">
        <v>82</v>
      </c>
      <c r="D1711" t="s">
        <v>83</v>
      </c>
      <c r="E1711" t="s">
        <v>131</v>
      </c>
      <c r="F1711">
        <v>1024</v>
      </c>
      <c r="G1711">
        <f>MAX(I1707,I1710)</f>
        <v>1551899</v>
      </c>
      <c r="H1711">
        <f>CEILING((dram_access_latency+F1711/dram_bandwidth)*frequency,1)</f>
        <v>116</v>
      </c>
      <c r="I1711">
        <f>G1711+H1711</f>
        <v>1552015</v>
      </c>
      <c r="J1711">
        <f>IF(AND(D1711&lt;&gt;"dram",D1711&lt;&gt;"control"),H1711,0)</f>
        <v>0</v>
      </c>
      <c r="K1711">
        <f>IF(D1711="dram",H1711,0)</f>
        <v>116</v>
      </c>
      <c r="L1711">
        <v>1024</v>
      </c>
      <c r="M1711">
        <v>0</v>
      </c>
    </row>
    <row r="1712" spans="1:13">
      <c r="A1712">
        <v>1710</v>
      </c>
      <c r="B1712" t="s">
        <v>52</v>
      </c>
      <c r="C1712" t="s">
        <v>90</v>
      </c>
      <c r="D1712" t="s">
        <v>108</v>
      </c>
      <c r="E1712" t="s">
        <v>131</v>
      </c>
      <c r="F1712">
        <v>0</v>
      </c>
      <c r="G1712">
        <f>MAX(I1706,I1706,I1577,I1709,I1579,I1710,I1711,I1708)</f>
        <v>1555812</v>
      </c>
      <c r="H1712">
        <f>'Operations'!I20</f>
        <v>8453</v>
      </c>
      <c r="I1712">
        <f>G1712+H1712</f>
        <v>1564265</v>
      </c>
      <c r="J1712">
        <f>IF(AND(D1712&lt;&gt;"dram",D1712&lt;&gt;"control"),H1712,0)</f>
        <v>8453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314</v>
      </c>
      <c r="C1713" t="s">
        <v>88</v>
      </c>
      <c r="D1713" t="s">
        <v>89</v>
      </c>
      <c r="E1713" t="s">
        <v>131</v>
      </c>
      <c r="F1713">
        <v>0</v>
      </c>
      <c r="G1713">
        <f>MAX(I1707,I1706)</f>
        <v>1547359</v>
      </c>
      <c r="H1713">
        <f>0</f>
        <v>8453</v>
      </c>
      <c r="I1713">
        <f>G1713+H1713</f>
        <v>1555812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315</v>
      </c>
      <c r="C1714" t="s">
        <v>92</v>
      </c>
      <c r="D1714" t="s">
        <v>83</v>
      </c>
      <c r="E1714" t="s">
        <v>131</v>
      </c>
      <c r="F1714">
        <v>1024</v>
      </c>
      <c r="G1714">
        <f>MAX(I1713,I1711)</f>
        <v>1555812</v>
      </c>
      <c r="H1714">
        <f>CEILING((dram_access_latency+F1714/dram_bandwidth)*frequency,1)</f>
        <v>116</v>
      </c>
      <c r="I1714">
        <f>G1714+H1714</f>
        <v>1555928</v>
      </c>
      <c r="J1714">
        <f>IF(AND(D1714&lt;&gt;"dram",D1714&lt;&gt;"control"),H1714,0)</f>
        <v>0</v>
      </c>
      <c r="K1714">
        <f>IF(D1714="dram",H1714,0)</f>
        <v>116</v>
      </c>
      <c r="L1714">
        <v>0</v>
      </c>
      <c r="M1714">
        <v>1024</v>
      </c>
    </row>
    <row r="1715" spans="1:13">
      <c r="A1715">
        <v>1713</v>
      </c>
      <c r="B1715" t="s">
        <v>310</v>
      </c>
      <c r="C1715" t="s">
        <v>82</v>
      </c>
      <c r="D1715" t="s">
        <v>83</v>
      </c>
      <c r="E1715" t="s">
        <v>132</v>
      </c>
      <c r="F1715">
        <v>262144</v>
      </c>
      <c r="G1715">
        <f>MAX(I1713,I1714)</f>
        <v>1555928</v>
      </c>
      <c r="H1715">
        <f>CEILING((dram_access_latency+F1715/dram_bandwidth)*frequency,1)</f>
        <v>4196</v>
      </c>
      <c r="I1715">
        <f>G1715+H1715</f>
        <v>1560124</v>
      </c>
      <c r="J1715">
        <f>IF(AND(D1715&lt;&gt;"dram",D1715&lt;&gt;"control"),H1715,0)</f>
        <v>0</v>
      </c>
      <c r="K1715">
        <f>IF(D1715="dram",H1715,0)</f>
        <v>4196</v>
      </c>
      <c r="L1715">
        <v>262144</v>
      </c>
      <c r="M1715">
        <v>0</v>
      </c>
    </row>
    <row r="1716" spans="1:13">
      <c r="A1716">
        <v>1714</v>
      </c>
      <c r="B1716" t="s">
        <v>312</v>
      </c>
      <c r="C1716" t="s">
        <v>82</v>
      </c>
      <c r="D1716" t="s">
        <v>83</v>
      </c>
      <c r="E1716" t="s">
        <v>132</v>
      </c>
      <c r="F1716">
        <v>8192</v>
      </c>
      <c r="G1716">
        <f>MAX(I1713,I1715)</f>
        <v>1560124</v>
      </c>
      <c r="H1716">
        <f>CEILING((dram_access_latency+F1716/dram_bandwidth)*frequency,1)</f>
        <v>228</v>
      </c>
      <c r="I1716">
        <f>G1716+H1716</f>
        <v>1560352</v>
      </c>
      <c r="J1716">
        <f>IF(AND(D1716&lt;&gt;"dram",D1716&lt;&gt;"control"),H1716,0)</f>
        <v>0</v>
      </c>
      <c r="K1716">
        <f>IF(D1716="dram",H1716,0)</f>
        <v>228</v>
      </c>
      <c r="L1716">
        <v>8192</v>
      </c>
      <c r="M1716">
        <v>0</v>
      </c>
    </row>
    <row r="1717" spans="1:13">
      <c r="A1717">
        <v>1715</v>
      </c>
      <c r="B1717" t="s">
        <v>313</v>
      </c>
      <c r="C1717" t="s">
        <v>82</v>
      </c>
      <c r="D1717" t="s">
        <v>83</v>
      </c>
      <c r="E1717" t="s">
        <v>132</v>
      </c>
      <c r="F1717">
        <v>1024</v>
      </c>
      <c r="G1717">
        <f>MAX(I1713,I1716)</f>
        <v>1560352</v>
      </c>
      <c r="H1717">
        <f>CEILING((dram_access_latency+F1717/dram_bandwidth)*frequency,1)</f>
        <v>116</v>
      </c>
      <c r="I1717">
        <f>G1717+H1717</f>
        <v>1560468</v>
      </c>
      <c r="J1717">
        <f>IF(AND(D1717&lt;&gt;"dram",D1717&lt;&gt;"control"),H1717,0)</f>
        <v>0</v>
      </c>
      <c r="K1717">
        <f>IF(D1717="dram",H1717,0)</f>
        <v>116</v>
      </c>
      <c r="L1717">
        <v>1024</v>
      </c>
      <c r="M1717">
        <v>0</v>
      </c>
    </row>
    <row r="1718" spans="1:13">
      <c r="A1718">
        <v>1716</v>
      </c>
      <c r="B1718" t="s">
        <v>52</v>
      </c>
      <c r="C1718" t="s">
        <v>90</v>
      </c>
      <c r="D1718" t="s">
        <v>108</v>
      </c>
      <c r="E1718" t="s">
        <v>132</v>
      </c>
      <c r="F1718">
        <v>0</v>
      </c>
      <c r="G1718">
        <f>MAX(I1712,I1712,I1577,I1715,I1579,I1716,I1717,I1714)</f>
        <v>1564265</v>
      </c>
      <c r="H1718">
        <f>'Operations'!I20</f>
        <v>8453</v>
      </c>
      <c r="I1718">
        <f>G1718+H1718</f>
        <v>1572718</v>
      </c>
      <c r="J1718">
        <f>IF(AND(D1718&lt;&gt;"dram",D1718&lt;&gt;"control"),H1718,0)</f>
        <v>8453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314</v>
      </c>
      <c r="C1719" t="s">
        <v>88</v>
      </c>
      <c r="D1719" t="s">
        <v>89</v>
      </c>
      <c r="E1719" t="s">
        <v>132</v>
      </c>
      <c r="F1719">
        <v>0</v>
      </c>
      <c r="G1719">
        <f>MAX(I1713,I1712)</f>
        <v>1555812</v>
      </c>
      <c r="H1719">
        <f>0</f>
        <v>8453</v>
      </c>
      <c r="I1719">
        <f>G1719+H1719</f>
        <v>1564265</v>
      </c>
      <c r="J1719">
        <f>IF(AND(D1719&lt;&gt;"dram",D1719&lt;&gt;"control"),H1719,0)</f>
        <v>0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315</v>
      </c>
      <c r="C1720" t="s">
        <v>92</v>
      </c>
      <c r="D1720" t="s">
        <v>83</v>
      </c>
      <c r="E1720" t="s">
        <v>132</v>
      </c>
      <c r="F1720">
        <v>1024</v>
      </c>
      <c r="G1720">
        <f>MAX(I1719,I1717)</f>
        <v>1564265</v>
      </c>
      <c r="H1720">
        <f>CEILING((dram_access_latency+F1720/dram_bandwidth)*frequency,1)</f>
        <v>116</v>
      </c>
      <c r="I1720">
        <f>G1720+H1720</f>
        <v>1564381</v>
      </c>
      <c r="J1720">
        <f>IF(AND(D1720&lt;&gt;"dram",D1720&lt;&gt;"control"),H1720,0)</f>
        <v>0</v>
      </c>
      <c r="K1720">
        <f>IF(D1720="dram",H1720,0)</f>
        <v>116</v>
      </c>
      <c r="L1720">
        <v>0</v>
      </c>
      <c r="M1720">
        <v>1024</v>
      </c>
    </row>
    <row r="1721" spans="1:13">
      <c r="A1721">
        <v>1719</v>
      </c>
      <c r="B1721" t="s">
        <v>310</v>
      </c>
      <c r="C1721" t="s">
        <v>82</v>
      </c>
      <c r="D1721" t="s">
        <v>83</v>
      </c>
      <c r="E1721" t="s">
        <v>133</v>
      </c>
      <c r="F1721">
        <v>262144</v>
      </c>
      <c r="G1721">
        <f>MAX(I1719,I1720)</f>
        <v>1564381</v>
      </c>
      <c r="H1721">
        <f>CEILING((dram_access_latency+F1721/dram_bandwidth)*frequency,1)</f>
        <v>4196</v>
      </c>
      <c r="I1721">
        <f>G1721+H1721</f>
        <v>1568577</v>
      </c>
      <c r="J1721">
        <f>IF(AND(D1721&lt;&gt;"dram",D1721&lt;&gt;"control"),H1721,0)</f>
        <v>0</v>
      </c>
      <c r="K1721">
        <f>IF(D1721="dram",H1721,0)</f>
        <v>4196</v>
      </c>
      <c r="L1721">
        <v>262144</v>
      </c>
      <c r="M1721">
        <v>0</v>
      </c>
    </row>
    <row r="1722" spans="1:13">
      <c r="A1722">
        <v>1720</v>
      </c>
      <c r="B1722" t="s">
        <v>312</v>
      </c>
      <c r="C1722" t="s">
        <v>82</v>
      </c>
      <c r="D1722" t="s">
        <v>83</v>
      </c>
      <c r="E1722" t="s">
        <v>133</v>
      </c>
      <c r="F1722">
        <v>8192</v>
      </c>
      <c r="G1722">
        <f>MAX(I1719,I1721)</f>
        <v>1568577</v>
      </c>
      <c r="H1722">
        <f>CEILING((dram_access_latency+F1722/dram_bandwidth)*frequency,1)</f>
        <v>228</v>
      </c>
      <c r="I1722">
        <f>G1722+H1722</f>
        <v>1568805</v>
      </c>
      <c r="J1722">
        <f>IF(AND(D1722&lt;&gt;"dram",D1722&lt;&gt;"control"),H1722,0)</f>
        <v>0</v>
      </c>
      <c r="K1722">
        <f>IF(D1722="dram",H1722,0)</f>
        <v>228</v>
      </c>
      <c r="L1722">
        <v>8192</v>
      </c>
      <c r="M1722">
        <v>0</v>
      </c>
    </row>
    <row r="1723" spans="1:13">
      <c r="A1723">
        <v>1721</v>
      </c>
      <c r="B1723" t="s">
        <v>313</v>
      </c>
      <c r="C1723" t="s">
        <v>82</v>
      </c>
      <c r="D1723" t="s">
        <v>83</v>
      </c>
      <c r="E1723" t="s">
        <v>133</v>
      </c>
      <c r="F1723">
        <v>1024</v>
      </c>
      <c r="G1723">
        <f>MAX(I1719,I1722)</f>
        <v>1568805</v>
      </c>
      <c r="H1723">
        <f>CEILING((dram_access_latency+F1723/dram_bandwidth)*frequency,1)</f>
        <v>116</v>
      </c>
      <c r="I1723">
        <f>G1723+H1723</f>
        <v>1568921</v>
      </c>
      <c r="J1723">
        <f>IF(AND(D1723&lt;&gt;"dram",D1723&lt;&gt;"control"),H1723,0)</f>
        <v>0</v>
      </c>
      <c r="K1723">
        <f>IF(D1723="dram",H1723,0)</f>
        <v>116</v>
      </c>
      <c r="L1723">
        <v>1024</v>
      </c>
      <c r="M1723">
        <v>0</v>
      </c>
    </row>
    <row r="1724" spans="1:13">
      <c r="A1724">
        <v>1722</v>
      </c>
      <c r="B1724" t="s">
        <v>52</v>
      </c>
      <c r="C1724" t="s">
        <v>90</v>
      </c>
      <c r="D1724" t="s">
        <v>108</v>
      </c>
      <c r="E1724" t="s">
        <v>133</v>
      </c>
      <c r="F1724">
        <v>0</v>
      </c>
      <c r="G1724">
        <f>MAX(I1718,I1718,I1577,I1721,I1579,I1722,I1723,I1720)</f>
        <v>1572718</v>
      </c>
      <c r="H1724">
        <f>'Operations'!I20</f>
        <v>8453</v>
      </c>
      <c r="I1724">
        <f>G1724+H1724</f>
        <v>1581171</v>
      </c>
      <c r="J1724">
        <f>IF(AND(D1724&lt;&gt;"dram",D1724&lt;&gt;"control"),H1724,0)</f>
        <v>8453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314</v>
      </c>
      <c r="C1725" t="s">
        <v>88</v>
      </c>
      <c r="D1725" t="s">
        <v>89</v>
      </c>
      <c r="E1725" t="s">
        <v>133</v>
      </c>
      <c r="F1725">
        <v>0</v>
      </c>
      <c r="G1725">
        <f>MAX(I1719,I1718)</f>
        <v>1564265</v>
      </c>
      <c r="H1725">
        <f>0</f>
        <v>8453</v>
      </c>
      <c r="I1725">
        <f>G1725+H1725</f>
        <v>1572718</v>
      </c>
      <c r="J1725">
        <f>IF(AND(D1725&lt;&gt;"dram",D1725&lt;&gt;"control"),H1725,0)</f>
        <v>0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315</v>
      </c>
      <c r="C1726" t="s">
        <v>92</v>
      </c>
      <c r="D1726" t="s">
        <v>83</v>
      </c>
      <c r="E1726" t="s">
        <v>133</v>
      </c>
      <c r="F1726">
        <v>1024</v>
      </c>
      <c r="G1726">
        <f>MAX(I1725,I1723)</f>
        <v>1572718</v>
      </c>
      <c r="H1726">
        <f>CEILING((dram_access_latency+F1726/dram_bandwidth)*frequency,1)</f>
        <v>116</v>
      </c>
      <c r="I1726">
        <f>G1726+H1726</f>
        <v>1572834</v>
      </c>
      <c r="J1726">
        <f>IF(AND(D1726&lt;&gt;"dram",D1726&lt;&gt;"control"),H1726,0)</f>
        <v>0</v>
      </c>
      <c r="K1726">
        <f>IF(D1726="dram",H1726,0)</f>
        <v>116</v>
      </c>
      <c r="L1726">
        <v>0</v>
      </c>
      <c r="M1726">
        <v>1024</v>
      </c>
    </row>
    <row r="1727" spans="1:13">
      <c r="A1727">
        <v>1725</v>
      </c>
      <c r="B1727" t="s">
        <v>310</v>
      </c>
      <c r="C1727" t="s">
        <v>82</v>
      </c>
      <c r="D1727" t="s">
        <v>83</v>
      </c>
      <c r="E1727" t="s">
        <v>134</v>
      </c>
      <c r="F1727">
        <v>262144</v>
      </c>
      <c r="G1727">
        <f>MAX(I1725,I1726)</f>
        <v>1572834</v>
      </c>
      <c r="H1727">
        <f>CEILING((dram_access_latency+F1727/dram_bandwidth)*frequency,1)</f>
        <v>4196</v>
      </c>
      <c r="I1727">
        <f>G1727+H1727</f>
        <v>1577030</v>
      </c>
      <c r="J1727">
        <f>IF(AND(D1727&lt;&gt;"dram",D1727&lt;&gt;"control"),H1727,0)</f>
        <v>0</v>
      </c>
      <c r="K1727">
        <f>IF(D1727="dram",H1727,0)</f>
        <v>4196</v>
      </c>
      <c r="L1727">
        <v>262144</v>
      </c>
      <c r="M1727">
        <v>0</v>
      </c>
    </row>
    <row r="1728" spans="1:13">
      <c r="A1728">
        <v>1726</v>
      </c>
      <c r="B1728" t="s">
        <v>312</v>
      </c>
      <c r="C1728" t="s">
        <v>82</v>
      </c>
      <c r="D1728" t="s">
        <v>83</v>
      </c>
      <c r="E1728" t="s">
        <v>134</v>
      </c>
      <c r="F1728">
        <v>8192</v>
      </c>
      <c r="G1728">
        <f>MAX(I1725,I1727)</f>
        <v>1577030</v>
      </c>
      <c r="H1728">
        <f>CEILING((dram_access_latency+F1728/dram_bandwidth)*frequency,1)</f>
        <v>228</v>
      </c>
      <c r="I1728">
        <f>G1728+H1728</f>
        <v>1577258</v>
      </c>
      <c r="J1728">
        <f>IF(AND(D1728&lt;&gt;"dram",D1728&lt;&gt;"control"),H1728,0)</f>
        <v>0</v>
      </c>
      <c r="K1728">
        <f>IF(D1728="dram",H1728,0)</f>
        <v>228</v>
      </c>
      <c r="L1728">
        <v>8192</v>
      </c>
      <c r="M1728">
        <v>0</v>
      </c>
    </row>
    <row r="1729" spans="1:13">
      <c r="A1729">
        <v>1727</v>
      </c>
      <c r="B1729" t="s">
        <v>313</v>
      </c>
      <c r="C1729" t="s">
        <v>82</v>
      </c>
      <c r="D1729" t="s">
        <v>83</v>
      </c>
      <c r="E1729" t="s">
        <v>134</v>
      </c>
      <c r="F1729">
        <v>1024</v>
      </c>
      <c r="G1729">
        <f>MAX(I1725,I1728)</f>
        <v>1577258</v>
      </c>
      <c r="H1729">
        <f>CEILING((dram_access_latency+F1729/dram_bandwidth)*frequency,1)</f>
        <v>116</v>
      </c>
      <c r="I1729">
        <f>G1729+H1729</f>
        <v>1577374</v>
      </c>
      <c r="J1729">
        <f>IF(AND(D1729&lt;&gt;"dram",D1729&lt;&gt;"control"),H1729,0)</f>
        <v>0</v>
      </c>
      <c r="K1729">
        <f>IF(D1729="dram",H1729,0)</f>
        <v>116</v>
      </c>
      <c r="L1729">
        <v>1024</v>
      </c>
      <c r="M1729">
        <v>0</v>
      </c>
    </row>
    <row r="1730" spans="1:13">
      <c r="A1730">
        <v>1728</v>
      </c>
      <c r="B1730" t="s">
        <v>52</v>
      </c>
      <c r="C1730" t="s">
        <v>90</v>
      </c>
      <c r="D1730" t="s">
        <v>108</v>
      </c>
      <c r="E1730" t="s">
        <v>134</v>
      </c>
      <c r="F1730">
        <v>0</v>
      </c>
      <c r="G1730">
        <f>MAX(I1724,I1724,I1577,I1727,I1579,I1728,I1729,I1726)</f>
        <v>1581171</v>
      </c>
      <c r="H1730">
        <f>'Operations'!I20</f>
        <v>8453</v>
      </c>
      <c r="I1730">
        <f>G1730+H1730</f>
        <v>1589624</v>
      </c>
      <c r="J1730">
        <f>IF(AND(D1730&lt;&gt;"dram",D1730&lt;&gt;"control"),H1730,0)</f>
        <v>8453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314</v>
      </c>
      <c r="C1731" t="s">
        <v>88</v>
      </c>
      <c r="D1731" t="s">
        <v>89</v>
      </c>
      <c r="E1731" t="s">
        <v>134</v>
      </c>
      <c r="F1731">
        <v>0</v>
      </c>
      <c r="G1731">
        <f>MAX(I1725,I1724)</f>
        <v>1572718</v>
      </c>
      <c r="H1731">
        <f>0</f>
        <v>8453</v>
      </c>
      <c r="I1731">
        <f>G1731+H1731</f>
        <v>1581171</v>
      </c>
      <c r="J1731">
        <f>IF(AND(D1731&lt;&gt;"dram",D1731&lt;&gt;"control"),H1731,0)</f>
        <v>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315</v>
      </c>
      <c r="C1732" t="s">
        <v>92</v>
      </c>
      <c r="D1732" t="s">
        <v>83</v>
      </c>
      <c r="E1732" t="s">
        <v>134</v>
      </c>
      <c r="F1732">
        <v>1024</v>
      </c>
      <c r="G1732">
        <f>MAX(I1731,I1729)</f>
        <v>1581171</v>
      </c>
      <c r="H1732">
        <f>CEILING((dram_access_latency+F1732/dram_bandwidth)*frequency,1)</f>
        <v>116</v>
      </c>
      <c r="I1732">
        <f>G1732+H1732</f>
        <v>1581287</v>
      </c>
      <c r="J1732">
        <f>IF(AND(D1732&lt;&gt;"dram",D1732&lt;&gt;"control"),H1732,0)</f>
        <v>0</v>
      </c>
      <c r="K1732">
        <f>IF(D1732="dram",H1732,0)</f>
        <v>116</v>
      </c>
      <c r="L1732">
        <v>0</v>
      </c>
      <c r="M1732">
        <v>1024</v>
      </c>
    </row>
    <row r="1733" spans="1:13">
      <c r="A1733">
        <v>1731</v>
      </c>
      <c r="B1733" t="s">
        <v>310</v>
      </c>
      <c r="C1733" t="s">
        <v>82</v>
      </c>
      <c r="D1733" t="s">
        <v>83</v>
      </c>
      <c r="E1733" t="s">
        <v>135</v>
      </c>
      <c r="F1733">
        <v>262144</v>
      </c>
      <c r="G1733">
        <f>MAX(I1731,I1732)</f>
        <v>1581287</v>
      </c>
      <c r="H1733">
        <f>CEILING((dram_access_latency+F1733/dram_bandwidth)*frequency,1)</f>
        <v>4196</v>
      </c>
      <c r="I1733">
        <f>G1733+H1733</f>
        <v>1585483</v>
      </c>
      <c r="J1733">
        <f>IF(AND(D1733&lt;&gt;"dram",D1733&lt;&gt;"control"),H1733,0)</f>
        <v>0</v>
      </c>
      <c r="K1733">
        <f>IF(D1733="dram",H1733,0)</f>
        <v>4196</v>
      </c>
      <c r="L1733">
        <v>262144</v>
      </c>
      <c r="M1733">
        <v>0</v>
      </c>
    </row>
    <row r="1734" spans="1:13">
      <c r="A1734">
        <v>1732</v>
      </c>
      <c r="B1734" t="s">
        <v>312</v>
      </c>
      <c r="C1734" t="s">
        <v>82</v>
      </c>
      <c r="D1734" t="s">
        <v>83</v>
      </c>
      <c r="E1734" t="s">
        <v>135</v>
      </c>
      <c r="F1734">
        <v>8192</v>
      </c>
      <c r="G1734">
        <f>MAX(I1731,I1733)</f>
        <v>1585483</v>
      </c>
      <c r="H1734">
        <f>CEILING((dram_access_latency+F1734/dram_bandwidth)*frequency,1)</f>
        <v>228</v>
      </c>
      <c r="I1734">
        <f>G1734+H1734</f>
        <v>1585711</v>
      </c>
      <c r="J1734">
        <f>IF(AND(D1734&lt;&gt;"dram",D1734&lt;&gt;"control"),H1734,0)</f>
        <v>0</v>
      </c>
      <c r="K1734">
        <f>IF(D1734="dram",H1734,0)</f>
        <v>228</v>
      </c>
      <c r="L1734">
        <v>8192</v>
      </c>
      <c r="M1734">
        <v>0</v>
      </c>
    </row>
    <row r="1735" spans="1:13">
      <c r="A1735">
        <v>1733</v>
      </c>
      <c r="B1735" t="s">
        <v>313</v>
      </c>
      <c r="C1735" t="s">
        <v>82</v>
      </c>
      <c r="D1735" t="s">
        <v>83</v>
      </c>
      <c r="E1735" t="s">
        <v>135</v>
      </c>
      <c r="F1735">
        <v>1024</v>
      </c>
      <c r="G1735">
        <f>MAX(I1731,I1734)</f>
        <v>1585711</v>
      </c>
      <c r="H1735">
        <f>CEILING((dram_access_latency+F1735/dram_bandwidth)*frequency,1)</f>
        <v>116</v>
      </c>
      <c r="I1735">
        <f>G1735+H1735</f>
        <v>1585827</v>
      </c>
      <c r="J1735">
        <f>IF(AND(D1735&lt;&gt;"dram",D1735&lt;&gt;"control"),H1735,0)</f>
        <v>0</v>
      </c>
      <c r="K1735">
        <f>IF(D1735="dram",H1735,0)</f>
        <v>116</v>
      </c>
      <c r="L1735">
        <v>1024</v>
      </c>
      <c r="M1735">
        <v>0</v>
      </c>
    </row>
    <row r="1736" spans="1:13">
      <c r="A1736">
        <v>1734</v>
      </c>
      <c r="B1736" t="s">
        <v>52</v>
      </c>
      <c r="C1736" t="s">
        <v>90</v>
      </c>
      <c r="D1736" t="s">
        <v>108</v>
      </c>
      <c r="E1736" t="s">
        <v>135</v>
      </c>
      <c r="F1736">
        <v>0</v>
      </c>
      <c r="G1736">
        <f>MAX(I1730,I1730,I1577,I1733,I1579,I1734,I1735,I1732)</f>
        <v>1589624</v>
      </c>
      <c r="H1736">
        <f>'Operations'!I20</f>
        <v>8453</v>
      </c>
      <c r="I1736">
        <f>G1736+H1736</f>
        <v>1598077</v>
      </c>
      <c r="J1736">
        <f>IF(AND(D1736&lt;&gt;"dram",D1736&lt;&gt;"control"),H1736,0)</f>
        <v>8453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314</v>
      </c>
      <c r="C1737" t="s">
        <v>88</v>
      </c>
      <c r="D1737" t="s">
        <v>89</v>
      </c>
      <c r="E1737" t="s">
        <v>135</v>
      </c>
      <c r="F1737">
        <v>0</v>
      </c>
      <c r="G1737">
        <f>MAX(I1731,I1730)</f>
        <v>1581171</v>
      </c>
      <c r="H1737">
        <f>0</f>
        <v>8453</v>
      </c>
      <c r="I1737">
        <f>G1737+H1737</f>
        <v>1589624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315</v>
      </c>
      <c r="C1738" t="s">
        <v>92</v>
      </c>
      <c r="D1738" t="s">
        <v>83</v>
      </c>
      <c r="E1738" t="s">
        <v>135</v>
      </c>
      <c r="F1738">
        <v>1024</v>
      </c>
      <c r="G1738">
        <f>MAX(I1737,I1735)</f>
        <v>1589624</v>
      </c>
      <c r="H1738">
        <f>CEILING((dram_access_latency+F1738/dram_bandwidth)*frequency,1)</f>
        <v>116</v>
      </c>
      <c r="I1738">
        <f>G1738+H1738</f>
        <v>1589740</v>
      </c>
      <c r="J1738">
        <f>IF(AND(D1738&lt;&gt;"dram",D1738&lt;&gt;"control"),H1738,0)</f>
        <v>0</v>
      </c>
      <c r="K1738">
        <f>IF(D1738="dram",H1738,0)</f>
        <v>116</v>
      </c>
      <c r="L1738">
        <v>0</v>
      </c>
      <c r="M1738">
        <v>1024</v>
      </c>
    </row>
    <row r="1739" spans="1:13">
      <c r="A1739">
        <v>1737</v>
      </c>
      <c r="B1739" t="s">
        <v>310</v>
      </c>
      <c r="C1739" t="s">
        <v>82</v>
      </c>
      <c r="D1739" t="s">
        <v>83</v>
      </c>
      <c r="E1739" t="s">
        <v>136</v>
      </c>
      <c r="F1739">
        <v>262144</v>
      </c>
      <c r="G1739">
        <f>MAX(I1737,I1738)</f>
        <v>1589740</v>
      </c>
      <c r="H1739">
        <f>CEILING((dram_access_latency+F1739/dram_bandwidth)*frequency,1)</f>
        <v>4196</v>
      </c>
      <c r="I1739">
        <f>G1739+H1739</f>
        <v>1593936</v>
      </c>
      <c r="J1739">
        <f>IF(AND(D1739&lt;&gt;"dram",D1739&lt;&gt;"control"),H1739,0)</f>
        <v>0</v>
      </c>
      <c r="K1739">
        <f>IF(D1739="dram",H1739,0)</f>
        <v>4196</v>
      </c>
      <c r="L1739">
        <v>262144</v>
      </c>
      <c r="M1739">
        <v>0</v>
      </c>
    </row>
    <row r="1740" spans="1:13">
      <c r="A1740">
        <v>1738</v>
      </c>
      <c r="B1740" t="s">
        <v>312</v>
      </c>
      <c r="C1740" t="s">
        <v>82</v>
      </c>
      <c r="D1740" t="s">
        <v>83</v>
      </c>
      <c r="E1740" t="s">
        <v>136</v>
      </c>
      <c r="F1740">
        <v>8192</v>
      </c>
      <c r="G1740">
        <f>MAX(I1737,I1739)</f>
        <v>1593936</v>
      </c>
      <c r="H1740">
        <f>CEILING((dram_access_latency+F1740/dram_bandwidth)*frequency,1)</f>
        <v>228</v>
      </c>
      <c r="I1740">
        <f>G1740+H1740</f>
        <v>1594164</v>
      </c>
      <c r="J1740">
        <f>IF(AND(D1740&lt;&gt;"dram",D1740&lt;&gt;"control"),H1740,0)</f>
        <v>0</v>
      </c>
      <c r="K1740">
        <f>IF(D1740="dram",H1740,0)</f>
        <v>228</v>
      </c>
      <c r="L1740">
        <v>8192</v>
      </c>
      <c r="M1740">
        <v>0</v>
      </c>
    </row>
    <row r="1741" spans="1:13">
      <c r="A1741">
        <v>1739</v>
      </c>
      <c r="B1741" t="s">
        <v>313</v>
      </c>
      <c r="C1741" t="s">
        <v>82</v>
      </c>
      <c r="D1741" t="s">
        <v>83</v>
      </c>
      <c r="E1741" t="s">
        <v>136</v>
      </c>
      <c r="F1741">
        <v>1024</v>
      </c>
      <c r="G1741">
        <f>MAX(I1737,I1740)</f>
        <v>1594164</v>
      </c>
      <c r="H1741">
        <f>CEILING((dram_access_latency+F1741/dram_bandwidth)*frequency,1)</f>
        <v>116</v>
      </c>
      <c r="I1741">
        <f>G1741+H1741</f>
        <v>1594280</v>
      </c>
      <c r="J1741">
        <f>IF(AND(D1741&lt;&gt;"dram",D1741&lt;&gt;"control"),H1741,0)</f>
        <v>0</v>
      </c>
      <c r="K1741">
        <f>IF(D1741="dram",H1741,0)</f>
        <v>116</v>
      </c>
      <c r="L1741">
        <v>1024</v>
      </c>
      <c r="M1741">
        <v>0</v>
      </c>
    </row>
    <row r="1742" spans="1:13">
      <c r="A1742">
        <v>1740</v>
      </c>
      <c r="B1742" t="s">
        <v>52</v>
      </c>
      <c r="C1742" t="s">
        <v>90</v>
      </c>
      <c r="D1742" t="s">
        <v>108</v>
      </c>
      <c r="E1742" t="s">
        <v>136</v>
      </c>
      <c r="F1742">
        <v>0</v>
      </c>
      <c r="G1742">
        <f>MAX(I1736,I1736,I1577,I1739,I1579,I1740,I1741,I1738)</f>
        <v>1598077</v>
      </c>
      <c r="H1742">
        <f>'Operations'!I20</f>
        <v>8453</v>
      </c>
      <c r="I1742">
        <f>G1742+H1742</f>
        <v>1606530</v>
      </c>
      <c r="J1742">
        <f>IF(AND(D1742&lt;&gt;"dram",D1742&lt;&gt;"control"),H1742,0)</f>
        <v>8453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314</v>
      </c>
      <c r="C1743" t="s">
        <v>88</v>
      </c>
      <c r="D1743" t="s">
        <v>89</v>
      </c>
      <c r="E1743" t="s">
        <v>136</v>
      </c>
      <c r="F1743">
        <v>0</v>
      </c>
      <c r="G1743">
        <f>MAX(I1737,I1736)</f>
        <v>1589624</v>
      </c>
      <c r="H1743">
        <f>0</f>
        <v>8453</v>
      </c>
      <c r="I1743">
        <f>G1743+H1743</f>
        <v>1598077</v>
      </c>
      <c r="J1743">
        <f>IF(AND(D1743&lt;&gt;"dram",D1743&lt;&gt;"control"),H1743,0)</f>
        <v>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315</v>
      </c>
      <c r="C1744" t="s">
        <v>92</v>
      </c>
      <c r="D1744" t="s">
        <v>83</v>
      </c>
      <c r="E1744" t="s">
        <v>136</v>
      </c>
      <c r="F1744">
        <v>1024</v>
      </c>
      <c r="G1744">
        <f>MAX(I1743,I1741)</f>
        <v>1598077</v>
      </c>
      <c r="H1744">
        <f>CEILING((dram_access_latency+F1744/dram_bandwidth)*frequency,1)</f>
        <v>116</v>
      </c>
      <c r="I1744">
        <f>G1744+H1744</f>
        <v>1598193</v>
      </c>
      <c r="J1744">
        <f>IF(AND(D1744&lt;&gt;"dram",D1744&lt;&gt;"control"),H1744,0)</f>
        <v>0</v>
      </c>
      <c r="K1744">
        <f>IF(D1744="dram",H1744,0)</f>
        <v>116</v>
      </c>
      <c r="L1744">
        <v>0</v>
      </c>
      <c r="M1744">
        <v>1024</v>
      </c>
    </row>
    <row r="1745" spans="1:13">
      <c r="A1745">
        <v>1743</v>
      </c>
      <c r="B1745" t="s">
        <v>310</v>
      </c>
      <c r="C1745" t="s">
        <v>82</v>
      </c>
      <c r="D1745" t="s">
        <v>83</v>
      </c>
      <c r="E1745" t="s">
        <v>137</v>
      </c>
      <c r="F1745">
        <v>262144</v>
      </c>
      <c r="G1745">
        <f>MAX(I1743,I1744)</f>
        <v>1598193</v>
      </c>
      <c r="H1745">
        <f>CEILING((dram_access_latency+F1745/dram_bandwidth)*frequency,1)</f>
        <v>4196</v>
      </c>
      <c r="I1745">
        <f>G1745+H1745</f>
        <v>1602389</v>
      </c>
      <c r="J1745">
        <f>IF(AND(D1745&lt;&gt;"dram",D1745&lt;&gt;"control"),H1745,0)</f>
        <v>0</v>
      </c>
      <c r="K1745">
        <f>IF(D1745="dram",H1745,0)</f>
        <v>4196</v>
      </c>
      <c r="L1745">
        <v>262144</v>
      </c>
      <c r="M1745">
        <v>0</v>
      </c>
    </row>
    <row r="1746" spans="1:13">
      <c r="A1746">
        <v>1744</v>
      </c>
      <c r="B1746" t="s">
        <v>312</v>
      </c>
      <c r="C1746" t="s">
        <v>82</v>
      </c>
      <c r="D1746" t="s">
        <v>83</v>
      </c>
      <c r="E1746" t="s">
        <v>137</v>
      </c>
      <c r="F1746">
        <v>8192</v>
      </c>
      <c r="G1746">
        <f>MAX(I1743,I1745)</f>
        <v>1602389</v>
      </c>
      <c r="H1746">
        <f>CEILING((dram_access_latency+F1746/dram_bandwidth)*frequency,1)</f>
        <v>228</v>
      </c>
      <c r="I1746">
        <f>G1746+H1746</f>
        <v>1602617</v>
      </c>
      <c r="J1746">
        <f>IF(AND(D1746&lt;&gt;"dram",D1746&lt;&gt;"control"),H1746,0)</f>
        <v>0</v>
      </c>
      <c r="K1746">
        <f>IF(D1746="dram",H1746,0)</f>
        <v>228</v>
      </c>
      <c r="L1746">
        <v>8192</v>
      </c>
      <c r="M1746">
        <v>0</v>
      </c>
    </row>
    <row r="1747" spans="1:13">
      <c r="A1747">
        <v>1745</v>
      </c>
      <c r="B1747" t="s">
        <v>313</v>
      </c>
      <c r="C1747" t="s">
        <v>82</v>
      </c>
      <c r="D1747" t="s">
        <v>83</v>
      </c>
      <c r="E1747" t="s">
        <v>137</v>
      </c>
      <c r="F1747">
        <v>1024</v>
      </c>
      <c r="G1747">
        <f>MAX(I1743,I1746)</f>
        <v>1602617</v>
      </c>
      <c r="H1747">
        <f>CEILING((dram_access_latency+F1747/dram_bandwidth)*frequency,1)</f>
        <v>116</v>
      </c>
      <c r="I1747">
        <f>G1747+H1747</f>
        <v>1602733</v>
      </c>
      <c r="J1747">
        <f>IF(AND(D1747&lt;&gt;"dram",D1747&lt;&gt;"control"),H1747,0)</f>
        <v>0</v>
      </c>
      <c r="K1747">
        <f>IF(D1747="dram",H1747,0)</f>
        <v>116</v>
      </c>
      <c r="L1747">
        <v>1024</v>
      </c>
      <c r="M1747">
        <v>0</v>
      </c>
    </row>
    <row r="1748" spans="1:13">
      <c r="A1748">
        <v>1746</v>
      </c>
      <c r="B1748" t="s">
        <v>52</v>
      </c>
      <c r="C1748" t="s">
        <v>90</v>
      </c>
      <c r="D1748" t="s">
        <v>108</v>
      </c>
      <c r="E1748" t="s">
        <v>137</v>
      </c>
      <c r="F1748">
        <v>0</v>
      </c>
      <c r="G1748">
        <f>MAX(I1742,I1742,I1577,I1745,I1579,I1746,I1747,I1744)</f>
        <v>1606530</v>
      </c>
      <c r="H1748">
        <f>'Operations'!I20</f>
        <v>8453</v>
      </c>
      <c r="I1748">
        <f>G1748+H1748</f>
        <v>1614983</v>
      </c>
      <c r="J1748">
        <f>IF(AND(D1748&lt;&gt;"dram",D1748&lt;&gt;"control"),H1748,0)</f>
        <v>8453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314</v>
      </c>
      <c r="C1749" t="s">
        <v>88</v>
      </c>
      <c r="D1749" t="s">
        <v>89</v>
      </c>
      <c r="E1749" t="s">
        <v>137</v>
      </c>
      <c r="F1749">
        <v>0</v>
      </c>
      <c r="G1749">
        <f>MAX(I1743,I1742)</f>
        <v>1598077</v>
      </c>
      <c r="H1749">
        <f>0</f>
        <v>8453</v>
      </c>
      <c r="I1749">
        <f>G1749+H1749</f>
        <v>1606530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315</v>
      </c>
      <c r="C1750" t="s">
        <v>92</v>
      </c>
      <c r="D1750" t="s">
        <v>83</v>
      </c>
      <c r="E1750" t="s">
        <v>137</v>
      </c>
      <c r="F1750">
        <v>1024</v>
      </c>
      <c r="G1750">
        <f>MAX(I1749,I1747)</f>
        <v>1606530</v>
      </c>
      <c r="H1750">
        <f>CEILING((dram_access_latency+F1750/dram_bandwidth)*frequency,1)</f>
        <v>116</v>
      </c>
      <c r="I1750">
        <f>G1750+H1750</f>
        <v>1606646</v>
      </c>
      <c r="J1750">
        <f>IF(AND(D1750&lt;&gt;"dram",D1750&lt;&gt;"control"),H1750,0)</f>
        <v>0</v>
      </c>
      <c r="K1750">
        <f>IF(D1750="dram",H1750,0)</f>
        <v>116</v>
      </c>
      <c r="L1750">
        <v>0</v>
      </c>
      <c r="M1750">
        <v>1024</v>
      </c>
    </row>
    <row r="1751" spans="1:13">
      <c r="A1751">
        <v>1749</v>
      </c>
      <c r="B1751" t="s">
        <v>310</v>
      </c>
      <c r="C1751" t="s">
        <v>82</v>
      </c>
      <c r="D1751" t="s">
        <v>83</v>
      </c>
      <c r="E1751" t="s">
        <v>138</v>
      </c>
      <c r="F1751">
        <v>262144</v>
      </c>
      <c r="G1751">
        <f>MAX(I1749,I1750)</f>
        <v>1606646</v>
      </c>
      <c r="H1751">
        <f>CEILING((dram_access_latency+F1751/dram_bandwidth)*frequency,1)</f>
        <v>4196</v>
      </c>
      <c r="I1751">
        <f>G1751+H1751</f>
        <v>1610842</v>
      </c>
      <c r="J1751">
        <f>IF(AND(D1751&lt;&gt;"dram",D1751&lt;&gt;"control"),H1751,0)</f>
        <v>0</v>
      </c>
      <c r="K1751">
        <f>IF(D1751="dram",H1751,0)</f>
        <v>4196</v>
      </c>
      <c r="L1751">
        <v>262144</v>
      </c>
      <c r="M1751">
        <v>0</v>
      </c>
    </row>
    <row r="1752" spans="1:13">
      <c r="A1752">
        <v>1750</v>
      </c>
      <c r="B1752" t="s">
        <v>312</v>
      </c>
      <c r="C1752" t="s">
        <v>82</v>
      </c>
      <c r="D1752" t="s">
        <v>83</v>
      </c>
      <c r="E1752" t="s">
        <v>138</v>
      </c>
      <c r="F1752">
        <v>8192</v>
      </c>
      <c r="G1752">
        <f>MAX(I1749,I1751)</f>
        <v>1610842</v>
      </c>
      <c r="H1752">
        <f>CEILING((dram_access_latency+F1752/dram_bandwidth)*frequency,1)</f>
        <v>228</v>
      </c>
      <c r="I1752">
        <f>G1752+H1752</f>
        <v>1611070</v>
      </c>
      <c r="J1752">
        <f>IF(AND(D1752&lt;&gt;"dram",D1752&lt;&gt;"control"),H1752,0)</f>
        <v>0</v>
      </c>
      <c r="K1752">
        <f>IF(D1752="dram",H1752,0)</f>
        <v>228</v>
      </c>
      <c r="L1752">
        <v>8192</v>
      </c>
      <c r="M1752">
        <v>0</v>
      </c>
    </row>
    <row r="1753" spans="1:13">
      <c r="A1753">
        <v>1751</v>
      </c>
      <c r="B1753" t="s">
        <v>313</v>
      </c>
      <c r="C1753" t="s">
        <v>82</v>
      </c>
      <c r="D1753" t="s">
        <v>83</v>
      </c>
      <c r="E1753" t="s">
        <v>138</v>
      </c>
      <c r="F1753">
        <v>1024</v>
      </c>
      <c r="G1753">
        <f>MAX(I1749,I1752)</f>
        <v>1611070</v>
      </c>
      <c r="H1753">
        <f>CEILING((dram_access_latency+F1753/dram_bandwidth)*frequency,1)</f>
        <v>116</v>
      </c>
      <c r="I1753">
        <f>G1753+H1753</f>
        <v>1611186</v>
      </c>
      <c r="J1753">
        <f>IF(AND(D1753&lt;&gt;"dram",D1753&lt;&gt;"control"),H1753,0)</f>
        <v>0</v>
      </c>
      <c r="K1753">
        <f>IF(D1753="dram",H1753,0)</f>
        <v>116</v>
      </c>
      <c r="L1753">
        <v>1024</v>
      </c>
      <c r="M1753">
        <v>0</v>
      </c>
    </row>
    <row r="1754" spans="1:13">
      <c r="A1754">
        <v>1752</v>
      </c>
      <c r="B1754" t="s">
        <v>52</v>
      </c>
      <c r="C1754" t="s">
        <v>90</v>
      </c>
      <c r="D1754" t="s">
        <v>108</v>
      </c>
      <c r="E1754" t="s">
        <v>138</v>
      </c>
      <c r="F1754">
        <v>0</v>
      </c>
      <c r="G1754">
        <f>MAX(I1748,I1748,I1577,I1751,I1579,I1752,I1753,I1750)</f>
        <v>1614983</v>
      </c>
      <c r="H1754">
        <f>'Operations'!I20</f>
        <v>8453</v>
      </c>
      <c r="I1754">
        <f>G1754+H1754</f>
        <v>1623436</v>
      </c>
      <c r="J1754">
        <f>IF(AND(D1754&lt;&gt;"dram",D1754&lt;&gt;"control"),H1754,0)</f>
        <v>8453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314</v>
      </c>
      <c r="C1755" t="s">
        <v>88</v>
      </c>
      <c r="D1755" t="s">
        <v>89</v>
      </c>
      <c r="E1755" t="s">
        <v>138</v>
      </c>
      <c r="F1755">
        <v>0</v>
      </c>
      <c r="G1755">
        <f>MAX(I1749,I1748)</f>
        <v>1606530</v>
      </c>
      <c r="H1755">
        <f>0</f>
        <v>8453</v>
      </c>
      <c r="I1755">
        <f>G1755+H1755</f>
        <v>1614983</v>
      </c>
      <c r="J1755">
        <f>IF(AND(D1755&lt;&gt;"dram",D1755&lt;&gt;"control"),H1755,0)</f>
        <v>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315</v>
      </c>
      <c r="C1756" t="s">
        <v>92</v>
      </c>
      <c r="D1756" t="s">
        <v>83</v>
      </c>
      <c r="E1756" t="s">
        <v>138</v>
      </c>
      <c r="F1756">
        <v>1024</v>
      </c>
      <c r="G1756">
        <f>MAX(I1755,I1753)</f>
        <v>1614983</v>
      </c>
      <c r="H1756">
        <f>CEILING((dram_access_latency+F1756/dram_bandwidth)*frequency,1)</f>
        <v>116</v>
      </c>
      <c r="I1756">
        <f>G1756+H1756</f>
        <v>1615099</v>
      </c>
      <c r="J1756">
        <f>IF(AND(D1756&lt;&gt;"dram",D1756&lt;&gt;"control"),H1756,0)</f>
        <v>0</v>
      </c>
      <c r="K1756">
        <f>IF(D1756="dram",H1756,0)</f>
        <v>116</v>
      </c>
      <c r="L1756">
        <v>0</v>
      </c>
      <c r="M1756">
        <v>1024</v>
      </c>
    </row>
    <row r="1757" spans="1:13">
      <c r="A1757">
        <v>1755</v>
      </c>
      <c r="B1757" t="s">
        <v>310</v>
      </c>
      <c r="C1757" t="s">
        <v>82</v>
      </c>
      <c r="D1757" t="s">
        <v>83</v>
      </c>
      <c r="E1757" t="s">
        <v>139</v>
      </c>
      <c r="F1757">
        <v>262144</v>
      </c>
      <c r="G1757">
        <f>MAX(I1755,I1756)</f>
        <v>1615099</v>
      </c>
      <c r="H1757">
        <f>CEILING((dram_access_latency+F1757/dram_bandwidth)*frequency,1)</f>
        <v>4196</v>
      </c>
      <c r="I1757">
        <f>G1757+H1757</f>
        <v>1619295</v>
      </c>
      <c r="J1757">
        <f>IF(AND(D1757&lt;&gt;"dram",D1757&lt;&gt;"control"),H1757,0)</f>
        <v>0</v>
      </c>
      <c r="K1757">
        <f>IF(D1757="dram",H1757,0)</f>
        <v>4196</v>
      </c>
      <c r="L1757">
        <v>262144</v>
      </c>
      <c r="M1757">
        <v>0</v>
      </c>
    </row>
    <row r="1758" spans="1:13">
      <c r="A1758">
        <v>1756</v>
      </c>
      <c r="B1758" t="s">
        <v>312</v>
      </c>
      <c r="C1758" t="s">
        <v>82</v>
      </c>
      <c r="D1758" t="s">
        <v>83</v>
      </c>
      <c r="E1758" t="s">
        <v>139</v>
      </c>
      <c r="F1758">
        <v>8192</v>
      </c>
      <c r="G1758">
        <f>MAX(I1755,I1757)</f>
        <v>1619295</v>
      </c>
      <c r="H1758">
        <f>CEILING((dram_access_latency+F1758/dram_bandwidth)*frequency,1)</f>
        <v>228</v>
      </c>
      <c r="I1758">
        <f>G1758+H1758</f>
        <v>1619523</v>
      </c>
      <c r="J1758">
        <f>IF(AND(D1758&lt;&gt;"dram",D1758&lt;&gt;"control"),H1758,0)</f>
        <v>0</v>
      </c>
      <c r="K1758">
        <f>IF(D1758="dram",H1758,0)</f>
        <v>228</v>
      </c>
      <c r="L1758">
        <v>8192</v>
      </c>
      <c r="M1758">
        <v>0</v>
      </c>
    </row>
    <row r="1759" spans="1:13">
      <c r="A1759">
        <v>1757</v>
      </c>
      <c r="B1759" t="s">
        <v>313</v>
      </c>
      <c r="C1759" t="s">
        <v>82</v>
      </c>
      <c r="D1759" t="s">
        <v>83</v>
      </c>
      <c r="E1759" t="s">
        <v>139</v>
      </c>
      <c r="F1759">
        <v>1024</v>
      </c>
      <c r="G1759">
        <f>MAX(I1755,I1758)</f>
        <v>1619523</v>
      </c>
      <c r="H1759">
        <f>CEILING((dram_access_latency+F1759/dram_bandwidth)*frequency,1)</f>
        <v>116</v>
      </c>
      <c r="I1759">
        <f>G1759+H1759</f>
        <v>1619639</v>
      </c>
      <c r="J1759">
        <f>IF(AND(D1759&lt;&gt;"dram",D1759&lt;&gt;"control"),H1759,0)</f>
        <v>0</v>
      </c>
      <c r="K1759">
        <f>IF(D1759="dram",H1759,0)</f>
        <v>116</v>
      </c>
      <c r="L1759">
        <v>1024</v>
      </c>
      <c r="M1759">
        <v>0</v>
      </c>
    </row>
    <row r="1760" spans="1:13">
      <c r="A1760">
        <v>1758</v>
      </c>
      <c r="B1760" t="s">
        <v>52</v>
      </c>
      <c r="C1760" t="s">
        <v>90</v>
      </c>
      <c r="D1760" t="s">
        <v>108</v>
      </c>
      <c r="E1760" t="s">
        <v>139</v>
      </c>
      <c r="F1760">
        <v>0</v>
      </c>
      <c r="G1760">
        <f>MAX(I1754,I1754,I1577,I1757,I1579,I1758,I1759,I1756)</f>
        <v>1623436</v>
      </c>
      <c r="H1760">
        <f>'Operations'!I20</f>
        <v>8453</v>
      </c>
      <c r="I1760">
        <f>G1760+H1760</f>
        <v>1631889</v>
      </c>
      <c r="J1760">
        <f>IF(AND(D1760&lt;&gt;"dram",D1760&lt;&gt;"control"),H1760,0)</f>
        <v>8453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314</v>
      </c>
      <c r="C1761" t="s">
        <v>88</v>
      </c>
      <c r="D1761" t="s">
        <v>89</v>
      </c>
      <c r="E1761" t="s">
        <v>139</v>
      </c>
      <c r="F1761">
        <v>0</v>
      </c>
      <c r="G1761">
        <f>MAX(I1755,I1754)</f>
        <v>1614983</v>
      </c>
      <c r="H1761">
        <f>0</f>
        <v>8453</v>
      </c>
      <c r="I1761">
        <f>G1761+H1761</f>
        <v>1623436</v>
      </c>
      <c r="J1761">
        <f>IF(AND(D1761&lt;&gt;"dram",D1761&lt;&gt;"control"),H1761,0)</f>
        <v>0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315</v>
      </c>
      <c r="C1762" t="s">
        <v>92</v>
      </c>
      <c r="D1762" t="s">
        <v>83</v>
      </c>
      <c r="E1762" t="s">
        <v>139</v>
      </c>
      <c r="F1762">
        <v>1024</v>
      </c>
      <c r="G1762">
        <f>MAX(I1761,I1759)</f>
        <v>1623436</v>
      </c>
      <c r="H1762">
        <f>CEILING((dram_access_latency+F1762/dram_bandwidth)*frequency,1)</f>
        <v>116</v>
      </c>
      <c r="I1762">
        <f>G1762+H1762</f>
        <v>1623552</v>
      </c>
      <c r="J1762">
        <f>IF(AND(D1762&lt;&gt;"dram",D1762&lt;&gt;"control"),H1762,0)</f>
        <v>0</v>
      </c>
      <c r="K1762">
        <f>IF(D1762="dram",H1762,0)</f>
        <v>116</v>
      </c>
      <c r="L1762">
        <v>0</v>
      </c>
      <c r="M1762">
        <v>1024</v>
      </c>
    </row>
    <row r="1763" spans="1:13">
      <c r="A1763">
        <v>1761</v>
      </c>
      <c r="B1763" t="s">
        <v>310</v>
      </c>
      <c r="C1763" t="s">
        <v>82</v>
      </c>
      <c r="D1763" t="s">
        <v>83</v>
      </c>
      <c r="E1763" t="s">
        <v>140</v>
      </c>
      <c r="F1763">
        <v>262144</v>
      </c>
      <c r="G1763">
        <f>MAX(I1761,I1762)</f>
        <v>1623552</v>
      </c>
      <c r="H1763">
        <f>CEILING((dram_access_latency+F1763/dram_bandwidth)*frequency,1)</f>
        <v>4196</v>
      </c>
      <c r="I1763">
        <f>G1763+H1763</f>
        <v>1627748</v>
      </c>
      <c r="J1763">
        <f>IF(AND(D1763&lt;&gt;"dram",D1763&lt;&gt;"control"),H1763,0)</f>
        <v>0</v>
      </c>
      <c r="K1763">
        <f>IF(D1763="dram",H1763,0)</f>
        <v>4196</v>
      </c>
      <c r="L1763">
        <v>262144</v>
      </c>
      <c r="M1763">
        <v>0</v>
      </c>
    </row>
    <row r="1764" spans="1:13">
      <c r="A1764">
        <v>1762</v>
      </c>
      <c r="B1764" t="s">
        <v>312</v>
      </c>
      <c r="C1764" t="s">
        <v>82</v>
      </c>
      <c r="D1764" t="s">
        <v>83</v>
      </c>
      <c r="E1764" t="s">
        <v>140</v>
      </c>
      <c r="F1764">
        <v>8192</v>
      </c>
      <c r="G1764">
        <f>MAX(I1761,I1763)</f>
        <v>1627748</v>
      </c>
      <c r="H1764">
        <f>CEILING((dram_access_latency+F1764/dram_bandwidth)*frequency,1)</f>
        <v>228</v>
      </c>
      <c r="I1764">
        <f>G1764+H1764</f>
        <v>1627976</v>
      </c>
      <c r="J1764">
        <f>IF(AND(D1764&lt;&gt;"dram",D1764&lt;&gt;"control"),H1764,0)</f>
        <v>0</v>
      </c>
      <c r="K1764">
        <f>IF(D1764="dram",H1764,0)</f>
        <v>228</v>
      </c>
      <c r="L1764">
        <v>8192</v>
      </c>
      <c r="M1764">
        <v>0</v>
      </c>
    </row>
    <row r="1765" spans="1:13">
      <c r="A1765">
        <v>1763</v>
      </c>
      <c r="B1765" t="s">
        <v>313</v>
      </c>
      <c r="C1765" t="s">
        <v>82</v>
      </c>
      <c r="D1765" t="s">
        <v>83</v>
      </c>
      <c r="E1765" t="s">
        <v>140</v>
      </c>
      <c r="F1765">
        <v>1024</v>
      </c>
      <c r="G1765">
        <f>MAX(I1761,I1764)</f>
        <v>1627976</v>
      </c>
      <c r="H1765">
        <f>CEILING((dram_access_latency+F1765/dram_bandwidth)*frequency,1)</f>
        <v>116</v>
      </c>
      <c r="I1765">
        <f>G1765+H1765</f>
        <v>1628092</v>
      </c>
      <c r="J1765">
        <f>IF(AND(D1765&lt;&gt;"dram",D1765&lt;&gt;"control"),H1765,0)</f>
        <v>0</v>
      </c>
      <c r="K1765">
        <f>IF(D1765="dram",H1765,0)</f>
        <v>116</v>
      </c>
      <c r="L1765">
        <v>1024</v>
      </c>
      <c r="M1765">
        <v>0</v>
      </c>
    </row>
    <row r="1766" spans="1:13">
      <c r="A1766">
        <v>1764</v>
      </c>
      <c r="B1766" t="s">
        <v>52</v>
      </c>
      <c r="C1766" t="s">
        <v>90</v>
      </c>
      <c r="D1766" t="s">
        <v>108</v>
      </c>
      <c r="E1766" t="s">
        <v>140</v>
      </c>
      <c r="F1766">
        <v>0</v>
      </c>
      <c r="G1766">
        <f>MAX(I1760,I1760,I1577,I1763,I1579,I1764,I1765,I1762)</f>
        <v>1631889</v>
      </c>
      <c r="H1766">
        <f>'Operations'!I20</f>
        <v>8453</v>
      </c>
      <c r="I1766">
        <f>G1766+H1766</f>
        <v>1640342</v>
      </c>
      <c r="J1766">
        <f>IF(AND(D1766&lt;&gt;"dram",D1766&lt;&gt;"control"),H1766,0)</f>
        <v>8453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314</v>
      </c>
      <c r="C1767" t="s">
        <v>88</v>
      </c>
      <c r="D1767" t="s">
        <v>89</v>
      </c>
      <c r="E1767" t="s">
        <v>140</v>
      </c>
      <c r="F1767">
        <v>0</v>
      </c>
      <c r="G1767">
        <f>MAX(I1761,I1760)</f>
        <v>1623436</v>
      </c>
      <c r="H1767">
        <f>0</f>
        <v>8453</v>
      </c>
      <c r="I1767">
        <f>G1767+H1767</f>
        <v>1631889</v>
      </c>
      <c r="J1767">
        <f>IF(AND(D1767&lt;&gt;"dram",D1767&lt;&gt;"control"),H1767,0)</f>
        <v>0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315</v>
      </c>
      <c r="C1768" t="s">
        <v>92</v>
      </c>
      <c r="D1768" t="s">
        <v>83</v>
      </c>
      <c r="E1768" t="s">
        <v>140</v>
      </c>
      <c r="F1768">
        <v>1024</v>
      </c>
      <c r="G1768">
        <f>MAX(I1767,I1765)</f>
        <v>1631889</v>
      </c>
      <c r="H1768">
        <f>CEILING((dram_access_latency+F1768/dram_bandwidth)*frequency,1)</f>
        <v>116</v>
      </c>
      <c r="I1768">
        <f>G1768+H1768</f>
        <v>1632005</v>
      </c>
      <c r="J1768">
        <f>IF(AND(D1768&lt;&gt;"dram",D1768&lt;&gt;"control"),H1768,0)</f>
        <v>0</v>
      </c>
      <c r="K1768">
        <f>IF(D1768="dram",H1768,0)</f>
        <v>116</v>
      </c>
      <c r="L1768">
        <v>0</v>
      </c>
      <c r="M1768">
        <v>1024</v>
      </c>
    </row>
    <row r="1769" spans="1:13">
      <c r="A1769">
        <v>1767</v>
      </c>
      <c r="B1769" t="s">
        <v>316</v>
      </c>
      <c r="C1769" t="s">
        <v>88</v>
      </c>
      <c r="D1769" t="s">
        <v>89</v>
      </c>
      <c r="E1769" t="s">
        <v>84</v>
      </c>
      <c r="F1769">
        <v>0</v>
      </c>
      <c r="G1769">
        <f>MAX(I1767,I1766)</f>
        <v>1631889</v>
      </c>
      <c r="H1769">
        <f>0</f>
        <v>8453</v>
      </c>
      <c r="I1769">
        <f>G1769+H1769</f>
        <v>1640342</v>
      </c>
      <c r="J1769">
        <f>IF(AND(D1769&lt;&gt;"dram",D1769&lt;&gt;"control"),H1769,0)</f>
        <v>0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317</v>
      </c>
      <c r="C1770" t="s">
        <v>92</v>
      </c>
      <c r="D1770" t="s">
        <v>83</v>
      </c>
      <c r="E1770" t="s">
        <v>84</v>
      </c>
      <c r="F1770">
        <v>1024</v>
      </c>
      <c r="G1770">
        <f>MAX(I1769,I1768)</f>
        <v>1640342</v>
      </c>
      <c r="H1770">
        <f>CEILING((dram_access_latency+F1770/dram_bandwidth)*frequency,1)</f>
        <v>116</v>
      </c>
      <c r="I1770">
        <f>G1770+H1770</f>
        <v>1640458</v>
      </c>
      <c r="J1770">
        <f>IF(AND(D1770&lt;&gt;"dram",D1770&lt;&gt;"control"),H1770,0)</f>
        <v>0</v>
      </c>
      <c r="K1770">
        <f>IF(D1770="dram",H1770,0)</f>
        <v>116</v>
      </c>
      <c r="L1770">
        <v>0</v>
      </c>
      <c r="M1770">
        <v>1024</v>
      </c>
    </row>
    <row r="1771" spans="1:13">
      <c r="A1771">
        <v>1769</v>
      </c>
      <c r="B1771" t="s">
        <v>318</v>
      </c>
      <c r="C1771" t="s">
        <v>88</v>
      </c>
      <c r="D1771" t="s">
        <v>89</v>
      </c>
      <c r="E1771" t="s">
        <v>84</v>
      </c>
      <c r="F1771">
        <v>0</v>
      </c>
      <c r="G1771">
        <f>MAX(I1769,I1768)</f>
        <v>1640342</v>
      </c>
      <c r="H1771">
        <f>0</f>
        <v>0</v>
      </c>
      <c r="I1771">
        <f>G1771+H1771</f>
        <v>1640342</v>
      </c>
      <c r="J1771">
        <f>IF(AND(D1771&lt;&gt;"dram",D1771&lt;&gt;"control"),H1771,0)</f>
        <v>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319</v>
      </c>
      <c r="C1772" t="s">
        <v>88</v>
      </c>
      <c r="D1772" t="s">
        <v>89</v>
      </c>
      <c r="E1772" t="s">
        <v>84</v>
      </c>
      <c r="F1772">
        <v>0</v>
      </c>
      <c r="G1772">
        <f>MAX(I1771,I1770)</f>
        <v>1640342</v>
      </c>
      <c r="H1772">
        <f>0</f>
        <v>116</v>
      </c>
      <c r="I1772">
        <f>G1772+H1772</f>
        <v>1640458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320</v>
      </c>
      <c r="C1773" t="s">
        <v>82</v>
      </c>
      <c r="D1773" t="s">
        <v>83</v>
      </c>
      <c r="E1773" t="s">
        <v>84</v>
      </c>
      <c r="F1773">
        <v>16384</v>
      </c>
      <c r="G1773">
        <f>MAX(I1772,I1770)</f>
        <v>1640458</v>
      </c>
      <c r="H1773">
        <f>CEILING((dram_access_latency+F1773/dram_bandwidth)*frequency,1)</f>
        <v>356</v>
      </c>
      <c r="I1773">
        <f>G1773+H1773</f>
        <v>1640814</v>
      </c>
      <c r="J1773">
        <f>IF(AND(D1773&lt;&gt;"dram",D1773&lt;&gt;"control"),H1773,0)</f>
        <v>0</v>
      </c>
      <c r="K1773">
        <f>IF(D1773="dram",H1773,0)</f>
        <v>356</v>
      </c>
      <c r="L1773">
        <v>16384</v>
      </c>
      <c r="M1773">
        <v>0</v>
      </c>
    </row>
    <row r="1774" spans="1:13">
      <c r="A1774">
        <v>1772</v>
      </c>
      <c r="B1774" t="s">
        <v>321</v>
      </c>
      <c r="C1774" t="s">
        <v>82</v>
      </c>
      <c r="D1774" t="s">
        <v>83</v>
      </c>
      <c r="E1774" t="s">
        <v>86</v>
      </c>
      <c r="F1774">
        <v>16384</v>
      </c>
      <c r="G1774">
        <f>MAX(I1772,I1773)</f>
        <v>1640814</v>
      </c>
      <c r="H1774">
        <f>CEILING((dram_access_latency+F1774/dram_bandwidth)*frequency,1)</f>
        <v>356</v>
      </c>
      <c r="I1774">
        <f>G1774+H1774</f>
        <v>1641170</v>
      </c>
      <c r="J1774">
        <f>IF(AND(D1774&lt;&gt;"dram",D1774&lt;&gt;"control"),H1774,0)</f>
        <v>0</v>
      </c>
      <c r="K1774">
        <f>IF(D1774="dram",H1774,0)</f>
        <v>356</v>
      </c>
      <c r="L1774">
        <v>16384</v>
      </c>
      <c r="M1774">
        <v>0</v>
      </c>
    </row>
    <row r="1775" spans="1:13">
      <c r="A1775">
        <v>1773</v>
      </c>
      <c r="B1775" t="s">
        <v>322</v>
      </c>
      <c r="C1775" t="s">
        <v>88</v>
      </c>
      <c r="D1775" t="s">
        <v>89</v>
      </c>
      <c r="E1775" t="s">
        <v>86</v>
      </c>
      <c r="F1775">
        <v>0</v>
      </c>
      <c r="G1775">
        <f>MAX(I1772,I1773)</f>
        <v>1640458</v>
      </c>
      <c r="H1775">
        <f>0</f>
        <v>356</v>
      </c>
      <c r="I1775">
        <f>G1775+H1775</f>
        <v>1640814</v>
      </c>
      <c r="J1775">
        <f>IF(AND(D1775&lt;&gt;"dram",D1775&lt;&gt;"control"),H1775,0)</f>
        <v>0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53</v>
      </c>
      <c r="C1776" t="s">
        <v>90</v>
      </c>
      <c r="D1776" t="s">
        <v>17</v>
      </c>
      <c r="E1776" t="s">
        <v>86</v>
      </c>
      <c r="F1776">
        <v>0</v>
      </c>
      <c r="G1776">
        <f>MAX(I1775,I1766)</f>
        <v>1640814</v>
      </c>
      <c r="H1776">
        <f>'Operations'!I21</f>
        <v>320</v>
      </c>
      <c r="I1776">
        <f>G1776+H1776</f>
        <v>1641134</v>
      </c>
      <c r="J1776">
        <f>IF(AND(D1776&lt;&gt;"dram",D1776&lt;&gt;"control"),H1776,0)</f>
        <v>320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323</v>
      </c>
      <c r="C1777" t="s">
        <v>92</v>
      </c>
      <c r="D1777" t="s">
        <v>83</v>
      </c>
      <c r="E1777" t="s">
        <v>86</v>
      </c>
      <c r="F1777">
        <v>8192</v>
      </c>
      <c r="G1777">
        <f>MAX(I1776,I1774)</f>
        <v>1641170</v>
      </c>
      <c r="H1777">
        <f>CEILING((dram_access_latency+F1777/dram_bandwidth)*frequency,1)</f>
        <v>228</v>
      </c>
      <c r="I1777">
        <f>G1777+H1777</f>
        <v>1641398</v>
      </c>
      <c r="J1777">
        <f>IF(AND(D1777&lt;&gt;"dram",D1777&lt;&gt;"control"),H1777,0)</f>
        <v>0</v>
      </c>
      <c r="K1777">
        <f>IF(D1777="dram",H1777,0)</f>
        <v>228</v>
      </c>
      <c r="L1777">
        <v>0</v>
      </c>
      <c r="M1777">
        <v>8192</v>
      </c>
    </row>
    <row r="1778" spans="1:13">
      <c r="A1778">
        <v>1776</v>
      </c>
      <c r="B1778" t="s">
        <v>322</v>
      </c>
      <c r="C1778" t="s">
        <v>88</v>
      </c>
      <c r="D1778" t="s">
        <v>89</v>
      </c>
      <c r="E1778" t="s">
        <v>93</v>
      </c>
      <c r="F1778">
        <v>0</v>
      </c>
      <c r="G1778">
        <f>MAX(I1776,I1774)</f>
        <v>1641134</v>
      </c>
      <c r="H1778">
        <f>0</f>
        <v>36</v>
      </c>
      <c r="I1778">
        <f>G1778+H1778</f>
        <v>1641170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53</v>
      </c>
      <c r="C1779" t="s">
        <v>90</v>
      </c>
      <c r="D1779" t="s">
        <v>17</v>
      </c>
      <c r="E1779" t="s">
        <v>93</v>
      </c>
      <c r="F1779">
        <v>0</v>
      </c>
      <c r="G1779">
        <f>MAX(I1778,I1776)</f>
        <v>1641170</v>
      </c>
      <c r="H1779">
        <f>'Operations'!I21</f>
        <v>320</v>
      </c>
      <c r="I1779">
        <f>G1779+H1779</f>
        <v>1641490</v>
      </c>
      <c r="J1779">
        <f>IF(AND(D1779&lt;&gt;"dram",D1779&lt;&gt;"control"),H1779,0)</f>
        <v>320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323</v>
      </c>
      <c r="C1780" t="s">
        <v>92</v>
      </c>
      <c r="D1780" t="s">
        <v>83</v>
      </c>
      <c r="E1780" t="s">
        <v>93</v>
      </c>
      <c r="F1780">
        <v>8192</v>
      </c>
      <c r="G1780">
        <f>MAX(I1779,I1777)</f>
        <v>1641490</v>
      </c>
      <c r="H1780">
        <f>CEILING((dram_access_latency+F1780/dram_bandwidth)*frequency,1)</f>
        <v>228</v>
      </c>
      <c r="I1780">
        <f>G1780+H1780</f>
        <v>1641718</v>
      </c>
      <c r="J1780">
        <f>IF(AND(D1780&lt;&gt;"dram",D1780&lt;&gt;"control"),H1780,0)</f>
        <v>0</v>
      </c>
      <c r="K1780">
        <f>IF(D1780="dram",H1780,0)</f>
        <v>228</v>
      </c>
      <c r="L1780">
        <v>0</v>
      </c>
      <c r="M1780">
        <v>8192</v>
      </c>
    </row>
    <row r="1781" spans="1:13">
      <c r="A1781">
        <v>1779</v>
      </c>
      <c r="B1781" t="s">
        <v>324</v>
      </c>
      <c r="C1781" t="s">
        <v>88</v>
      </c>
      <c r="D1781" t="s">
        <v>89</v>
      </c>
      <c r="E1781" t="s">
        <v>84</v>
      </c>
      <c r="F1781">
        <v>0</v>
      </c>
      <c r="G1781">
        <f>MAX(I1779,I1777)</f>
        <v>1641490</v>
      </c>
      <c r="H1781">
        <f>0</f>
        <v>0</v>
      </c>
      <c r="I1781">
        <f>G1781+H1781</f>
        <v>1641490</v>
      </c>
      <c r="J1781">
        <f>IF(AND(D1781&lt;&gt;"dram",D1781&lt;&gt;"control"),H1781,0)</f>
        <v>0</v>
      </c>
      <c r="K1781">
        <f>IF(D1781="dram",H1781,0)</f>
        <v>0</v>
      </c>
      <c r="L1781">
        <v>0</v>
      </c>
      <c r="M1781">
        <v>0</v>
      </c>
    </row>
    <row r="1782" spans="1:13">
      <c r="A1782">
        <v>1780</v>
      </c>
      <c r="B1782" t="s">
        <v>325</v>
      </c>
      <c r="C1782" t="s">
        <v>88</v>
      </c>
      <c r="D1782" t="s">
        <v>89</v>
      </c>
      <c r="E1782" t="s">
        <v>84</v>
      </c>
      <c r="F1782">
        <v>0</v>
      </c>
      <c r="G1782">
        <f>MAX(I1781,I1780)</f>
        <v>1641490</v>
      </c>
      <c r="H1782">
        <f>0</f>
        <v>228</v>
      </c>
      <c r="I1782">
        <f>G1782+H1782</f>
        <v>1641718</v>
      </c>
      <c r="J1782">
        <f>IF(AND(D1782&lt;&gt;"dram",D1782&lt;&gt;"control"),H1782,0)</f>
        <v>0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326</v>
      </c>
      <c r="C1783" t="s">
        <v>82</v>
      </c>
      <c r="D1783" t="s">
        <v>83</v>
      </c>
      <c r="E1783" t="s">
        <v>84</v>
      </c>
      <c r="F1783">
        <v>16384</v>
      </c>
      <c r="G1783">
        <f>MAX(I1782,I1780)</f>
        <v>1641718</v>
      </c>
      <c r="H1783">
        <f>CEILING((dram_access_latency+F1783/dram_bandwidth)*frequency,1)</f>
        <v>356</v>
      </c>
      <c r="I1783">
        <f>G1783+H1783</f>
        <v>1642074</v>
      </c>
      <c r="J1783">
        <f>IF(AND(D1783&lt;&gt;"dram",D1783&lt;&gt;"control"),H1783,0)</f>
        <v>0</v>
      </c>
      <c r="K1783">
        <f>IF(D1783="dram",H1783,0)</f>
        <v>356</v>
      </c>
      <c r="L1783">
        <v>16384</v>
      </c>
      <c r="M1783">
        <v>0</v>
      </c>
    </row>
    <row r="1784" spans="1:13">
      <c r="A1784">
        <v>1782</v>
      </c>
      <c r="B1784" t="s">
        <v>327</v>
      </c>
      <c r="C1784" t="s">
        <v>82</v>
      </c>
      <c r="D1784" t="s">
        <v>83</v>
      </c>
      <c r="E1784" t="s">
        <v>84</v>
      </c>
      <c r="F1784">
        <v>8192</v>
      </c>
      <c r="G1784">
        <f>MAX(I1782,I1783)</f>
        <v>1642074</v>
      </c>
      <c r="H1784">
        <f>CEILING((dram_access_latency+F1784/dram_bandwidth)*frequency,1)</f>
        <v>228</v>
      </c>
      <c r="I1784">
        <f>G1784+H1784</f>
        <v>1642302</v>
      </c>
      <c r="J1784">
        <f>IF(AND(D1784&lt;&gt;"dram",D1784&lt;&gt;"control"),H1784,0)</f>
        <v>0</v>
      </c>
      <c r="K1784">
        <f>IF(D1784="dram",H1784,0)</f>
        <v>228</v>
      </c>
      <c r="L1784">
        <v>8192</v>
      </c>
      <c r="M1784">
        <v>0</v>
      </c>
    </row>
    <row r="1785" spans="1:13">
      <c r="A1785">
        <v>1783</v>
      </c>
      <c r="B1785" t="s">
        <v>328</v>
      </c>
      <c r="C1785" t="s">
        <v>88</v>
      </c>
      <c r="D1785" t="s">
        <v>89</v>
      </c>
      <c r="E1785" t="s">
        <v>86</v>
      </c>
      <c r="F1785">
        <v>0</v>
      </c>
      <c r="G1785">
        <f>MAX(I1782,I1783)</f>
        <v>1641718</v>
      </c>
      <c r="H1785">
        <f>0</f>
        <v>356</v>
      </c>
      <c r="I1785">
        <f>G1785+H1785</f>
        <v>1642074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329</v>
      </c>
      <c r="C1786" t="s">
        <v>88</v>
      </c>
      <c r="D1786" t="s">
        <v>89</v>
      </c>
      <c r="E1786" t="s">
        <v>86</v>
      </c>
      <c r="F1786">
        <v>0</v>
      </c>
      <c r="G1786">
        <f>MAX(I1785,I1784)</f>
        <v>1642074</v>
      </c>
      <c r="H1786">
        <f>0</f>
        <v>228</v>
      </c>
      <c r="I1786">
        <f>G1786+H1786</f>
        <v>1642302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54</v>
      </c>
      <c r="C1787" t="s">
        <v>90</v>
      </c>
      <c r="D1787" t="s">
        <v>17</v>
      </c>
      <c r="E1787" t="s">
        <v>86</v>
      </c>
      <c r="F1787">
        <v>0</v>
      </c>
      <c r="G1787">
        <f>MAX(I1786,I1779)</f>
        <v>1642302</v>
      </c>
      <c r="H1787">
        <f>'Operations'!I22</f>
        <v>8448</v>
      </c>
      <c r="I1787">
        <f>G1787+H1787</f>
        <v>1650750</v>
      </c>
      <c r="J1787">
        <f>IF(AND(D1787&lt;&gt;"dram",D1787&lt;&gt;"control"),H1787,0)</f>
        <v>8448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330</v>
      </c>
      <c r="C1788" t="s">
        <v>92</v>
      </c>
      <c r="D1788" t="s">
        <v>83</v>
      </c>
      <c r="E1788" t="s">
        <v>86</v>
      </c>
      <c r="F1788">
        <v>256</v>
      </c>
      <c r="G1788">
        <f>MAX(I1787,I1784)</f>
        <v>1650750</v>
      </c>
      <c r="H1788">
        <f>CEILING((dram_access_latency+F1788/dram_bandwidth)*frequency,1)</f>
        <v>104</v>
      </c>
      <c r="I1788">
        <f>G1788+H1788</f>
        <v>1650854</v>
      </c>
      <c r="J1788">
        <f>IF(AND(D1788&lt;&gt;"dram",D1788&lt;&gt;"control"),H1788,0)</f>
        <v>0</v>
      </c>
      <c r="K1788">
        <f>IF(D1788="dram",H1788,0)</f>
        <v>104</v>
      </c>
      <c r="L1788">
        <v>0</v>
      </c>
      <c r="M1788">
        <v>256</v>
      </c>
    </row>
    <row r="1789" spans="1:13">
      <c r="A1789">
        <v>1787</v>
      </c>
      <c r="B1789" t="s">
        <v>331</v>
      </c>
      <c r="C1789" t="s">
        <v>92</v>
      </c>
      <c r="D1789" t="s">
        <v>83</v>
      </c>
      <c r="E1789" t="s">
        <v>86</v>
      </c>
      <c r="F1789">
        <v>8192</v>
      </c>
      <c r="G1789">
        <f>MAX(I1787,I1788)</f>
        <v>1650854</v>
      </c>
      <c r="H1789">
        <f>CEILING((dram_access_latency+F1789/dram_bandwidth)*frequency,1)</f>
        <v>228</v>
      </c>
      <c r="I1789">
        <f>G1789+H1789</f>
        <v>1651082</v>
      </c>
      <c r="J1789">
        <f>IF(AND(D1789&lt;&gt;"dram",D1789&lt;&gt;"control"),H1789,0)</f>
        <v>0</v>
      </c>
      <c r="K1789">
        <f>IF(D1789="dram",H1789,0)</f>
        <v>228</v>
      </c>
      <c r="L1789">
        <v>0</v>
      </c>
      <c r="M1789">
        <v>8192</v>
      </c>
    </row>
    <row r="1790" spans="1:13">
      <c r="A1790">
        <v>1788</v>
      </c>
      <c r="B1790" t="s">
        <v>332</v>
      </c>
      <c r="C1790" t="s">
        <v>88</v>
      </c>
      <c r="D1790" t="s">
        <v>89</v>
      </c>
      <c r="E1790" t="s">
        <v>84</v>
      </c>
      <c r="F1790">
        <v>0</v>
      </c>
      <c r="G1790">
        <f>MAX(I1787,I1788)</f>
        <v>1650750</v>
      </c>
      <c r="H1790">
        <f>0</f>
        <v>104</v>
      </c>
      <c r="I1790">
        <f>G1790+H1790</f>
        <v>1650854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333</v>
      </c>
      <c r="C1791" t="s">
        <v>88</v>
      </c>
      <c r="D1791" t="s">
        <v>89</v>
      </c>
      <c r="E1791" t="s">
        <v>84</v>
      </c>
      <c r="F1791">
        <v>0</v>
      </c>
      <c r="G1791">
        <f>MAX(I1790,I1789)</f>
        <v>1650854</v>
      </c>
      <c r="H1791">
        <f>0</f>
        <v>228</v>
      </c>
      <c r="I1791">
        <f>G1791+H1791</f>
        <v>1651082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334</v>
      </c>
      <c r="C1792" t="s">
        <v>82</v>
      </c>
      <c r="D1792" t="s">
        <v>83</v>
      </c>
      <c r="E1792" t="s">
        <v>86</v>
      </c>
      <c r="F1792">
        <v>8192</v>
      </c>
      <c r="G1792">
        <f>MAX(I1791,I1789)</f>
        <v>1651082</v>
      </c>
      <c r="H1792">
        <f>CEILING((dram_access_latency+F1792/dram_bandwidth)*frequency,1)</f>
        <v>228</v>
      </c>
      <c r="I1792">
        <f>G1792+H1792</f>
        <v>1651310</v>
      </c>
      <c r="J1792">
        <f>IF(AND(D1792&lt;&gt;"dram",D1792&lt;&gt;"control"),H1792,0)</f>
        <v>0</v>
      </c>
      <c r="K1792">
        <f>IF(D1792="dram",H1792,0)</f>
        <v>228</v>
      </c>
      <c r="L1792">
        <v>8192</v>
      </c>
      <c r="M1792">
        <v>0</v>
      </c>
    </row>
    <row r="1793" spans="1:13">
      <c r="A1793">
        <v>1791</v>
      </c>
      <c r="B1793" t="s">
        <v>335</v>
      </c>
      <c r="C1793" t="s">
        <v>82</v>
      </c>
      <c r="D1793" t="s">
        <v>83</v>
      </c>
      <c r="E1793" t="s">
        <v>86</v>
      </c>
      <c r="F1793">
        <v>524288</v>
      </c>
      <c r="G1793">
        <f>MAX(I1791,I1792)</f>
        <v>1651310</v>
      </c>
      <c r="H1793">
        <f>CEILING((dram_access_latency+F1793/dram_bandwidth)*frequency,1)</f>
        <v>8292</v>
      </c>
      <c r="I1793">
        <f>G1793+H1793</f>
        <v>1659602</v>
      </c>
      <c r="J1793">
        <f>IF(AND(D1793&lt;&gt;"dram",D1793&lt;&gt;"control"),H1793,0)</f>
        <v>0</v>
      </c>
      <c r="K1793">
        <f>IF(D1793="dram",H1793,0)</f>
        <v>8292</v>
      </c>
      <c r="L1793">
        <v>524288</v>
      </c>
      <c r="M1793">
        <v>0</v>
      </c>
    </row>
    <row r="1794" spans="1:13">
      <c r="A1794">
        <v>1792</v>
      </c>
      <c r="B1794" t="s">
        <v>336</v>
      </c>
      <c r="C1794" t="s">
        <v>82</v>
      </c>
      <c r="D1794" t="s">
        <v>83</v>
      </c>
      <c r="E1794" t="s">
        <v>86</v>
      </c>
      <c r="F1794">
        <v>256</v>
      </c>
      <c r="G1794">
        <f>MAX(I1791,I1793)</f>
        <v>1659602</v>
      </c>
      <c r="H1794">
        <f>CEILING((dram_access_latency+F1794/dram_bandwidth)*frequency,1)</f>
        <v>104</v>
      </c>
      <c r="I1794">
        <f>G1794+H1794</f>
        <v>1659706</v>
      </c>
      <c r="J1794">
        <f>IF(AND(D1794&lt;&gt;"dram",D1794&lt;&gt;"control"),H1794,0)</f>
        <v>0</v>
      </c>
      <c r="K1794">
        <f>IF(D1794="dram",H1794,0)</f>
        <v>104</v>
      </c>
      <c r="L1794">
        <v>256</v>
      </c>
      <c r="M1794">
        <v>0</v>
      </c>
    </row>
    <row r="1795" spans="1:13">
      <c r="A1795">
        <v>1793</v>
      </c>
      <c r="B1795" t="s">
        <v>337</v>
      </c>
      <c r="C1795" t="s">
        <v>82</v>
      </c>
      <c r="D1795" t="s">
        <v>83</v>
      </c>
      <c r="E1795" t="s">
        <v>86</v>
      </c>
      <c r="F1795">
        <v>16384</v>
      </c>
      <c r="G1795">
        <f>MAX(I1791,I1794)</f>
        <v>1659706</v>
      </c>
      <c r="H1795">
        <f>CEILING((dram_access_latency+F1795/dram_bandwidth)*frequency,1)</f>
        <v>356</v>
      </c>
      <c r="I1795">
        <f>G1795+H1795</f>
        <v>1660062</v>
      </c>
      <c r="J1795">
        <f>IF(AND(D1795&lt;&gt;"dram",D1795&lt;&gt;"control"),H1795,0)</f>
        <v>0</v>
      </c>
      <c r="K1795">
        <f>IF(D1795="dram",H1795,0)</f>
        <v>356</v>
      </c>
      <c r="L1795">
        <v>16384</v>
      </c>
      <c r="M1795">
        <v>0</v>
      </c>
    </row>
    <row r="1796" spans="1:13">
      <c r="A1796">
        <v>1794</v>
      </c>
      <c r="B1796" t="s">
        <v>55</v>
      </c>
      <c r="C1796" t="s">
        <v>90</v>
      </c>
      <c r="D1796" t="s">
        <v>108</v>
      </c>
      <c r="E1796" t="s">
        <v>86</v>
      </c>
      <c r="F1796">
        <v>0</v>
      </c>
      <c r="G1796">
        <f>MAX(I1766,I1787,I1792,I1793,I1794,I1795)</f>
        <v>1660062</v>
      </c>
      <c r="H1796">
        <f>'Operations'!I23</f>
        <v>16901</v>
      </c>
      <c r="I1796">
        <f>G1796+H1796</f>
        <v>1676963</v>
      </c>
      <c r="J1796">
        <f>IF(AND(D1796&lt;&gt;"dram",D1796&lt;&gt;"control"),H1796,0)</f>
        <v>16901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335</v>
      </c>
      <c r="C1797" t="s">
        <v>82</v>
      </c>
      <c r="D1797" t="s">
        <v>83</v>
      </c>
      <c r="E1797" t="s">
        <v>93</v>
      </c>
      <c r="F1797">
        <v>524288</v>
      </c>
      <c r="G1797">
        <f>MAX(I1791,I1795)</f>
        <v>1660062</v>
      </c>
      <c r="H1797">
        <f>CEILING((dram_access_latency+F1797/dram_bandwidth)*frequency,1)</f>
        <v>8292</v>
      </c>
      <c r="I1797">
        <f>G1797+H1797</f>
        <v>1668354</v>
      </c>
      <c r="J1797">
        <f>IF(AND(D1797&lt;&gt;"dram",D1797&lt;&gt;"control"),H1797,0)</f>
        <v>0</v>
      </c>
      <c r="K1797">
        <f>IF(D1797="dram",H1797,0)</f>
        <v>8292</v>
      </c>
      <c r="L1797">
        <v>524288</v>
      </c>
      <c r="M1797">
        <v>0</v>
      </c>
    </row>
    <row r="1798" spans="1:13">
      <c r="A1798">
        <v>1796</v>
      </c>
      <c r="B1798" t="s">
        <v>337</v>
      </c>
      <c r="C1798" t="s">
        <v>82</v>
      </c>
      <c r="D1798" t="s">
        <v>83</v>
      </c>
      <c r="E1798" t="s">
        <v>93</v>
      </c>
      <c r="F1798">
        <v>16384</v>
      </c>
      <c r="G1798">
        <f>MAX(I1791,I1797)</f>
        <v>1668354</v>
      </c>
      <c r="H1798">
        <f>CEILING((dram_access_latency+F1798/dram_bandwidth)*frequency,1)</f>
        <v>356</v>
      </c>
      <c r="I1798">
        <f>G1798+H1798</f>
        <v>1668710</v>
      </c>
      <c r="J1798">
        <f>IF(AND(D1798&lt;&gt;"dram",D1798&lt;&gt;"control"),H1798,0)</f>
        <v>0</v>
      </c>
      <c r="K1798">
        <f>IF(D1798="dram",H1798,0)</f>
        <v>356</v>
      </c>
      <c r="L1798">
        <v>16384</v>
      </c>
      <c r="M1798">
        <v>0</v>
      </c>
    </row>
    <row r="1799" spans="1:13">
      <c r="A1799">
        <v>1797</v>
      </c>
      <c r="B1799" t="s">
        <v>55</v>
      </c>
      <c r="C1799" t="s">
        <v>90</v>
      </c>
      <c r="D1799" t="s">
        <v>108</v>
      </c>
      <c r="E1799" t="s">
        <v>93</v>
      </c>
      <c r="F1799">
        <v>0</v>
      </c>
      <c r="G1799">
        <f>MAX(I1796,I1796,I1792,I1797,I1794,I1798)</f>
        <v>1676963</v>
      </c>
      <c r="H1799">
        <f>'Operations'!I23</f>
        <v>16901</v>
      </c>
      <c r="I1799">
        <f>G1799+H1799</f>
        <v>1693864</v>
      </c>
      <c r="J1799">
        <f>IF(AND(D1799&lt;&gt;"dram",D1799&lt;&gt;"control"),H1799,0)</f>
        <v>16901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338</v>
      </c>
      <c r="C1800" t="s">
        <v>88</v>
      </c>
      <c r="D1800" t="s">
        <v>89</v>
      </c>
      <c r="E1800" t="s">
        <v>93</v>
      </c>
      <c r="F1800">
        <v>0</v>
      </c>
      <c r="G1800">
        <f>MAX(I1791,I1796)</f>
        <v>1651082</v>
      </c>
      <c r="H1800">
        <f>0</f>
        <v>25881</v>
      </c>
      <c r="I1800">
        <f>G1800+H1800</f>
        <v>1676963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339</v>
      </c>
      <c r="C1801" t="s">
        <v>92</v>
      </c>
      <c r="D1801" t="s">
        <v>83</v>
      </c>
      <c r="E1801" t="s">
        <v>93</v>
      </c>
      <c r="F1801">
        <v>2048</v>
      </c>
      <c r="G1801">
        <f>MAX(I1800,I1798)</f>
        <v>1676963</v>
      </c>
      <c r="H1801">
        <f>CEILING((dram_access_latency+F1801/dram_bandwidth)*frequency,1)</f>
        <v>132</v>
      </c>
      <c r="I1801">
        <f>G1801+H1801</f>
        <v>1677095</v>
      </c>
      <c r="J1801">
        <f>IF(AND(D1801&lt;&gt;"dram",D1801&lt;&gt;"control"),H1801,0)</f>
        <v>0</v>
      </c>
      <c r="K1801">
        <f>IF(D1801="dram",H1801,0)</f>
        <v>132</v>
      </c>
      <c r="L1801">
        <v>0</v>
      </c>
      <c r="M1801">
        <v>2048</v>
      </c>
    </row>
    <row r="1802" spans="1:13">
      <c r="A1802">
        <v>1800</v>
      </c>
      <c r="B1802" t="s">
        <v>335</v>
      </c>
      <c r="C1802" t="s">
        <v>82</v>
      </c>
      <c r="D1802" t="s">
        <v>83</v>
      </c>
      <c r="E1802" t="s">
        <v>111</v>
      </c>
      <c r="F1802">
        <v>524288</v>
      </c>
      <c r="G1802">
        <f>MAX(I1800,I1801)</f>
        <v>1677095</v>
      </c>
      <c r="H1802">
        <f>CEILING((dram_access_latency+F1802/dram_bandwidth)*frequency,1)</f>
        <v>8292</v>
      </c>
      <c r="I1802">
        <f>G1802+H1802</f>
        <v>1685387</v>
      </c>
      <c r="J1802">
        <f>IF(AND(D1802&lt;&gt;"dram",D1802&lt;&gt;"control"),H1802,0)</f>
        <v>0</v>
      </c>
      <c r="K1802">
        <f>IF(D1802="dram",H1802,0)</f>
        <v>8292</v>
      </c>
      <c r="L1802">
        <v>524288</v>
      </c>
      <c r="M1802">
        <v>0</v>
      </c>
    </row>
    <row r="1803" spans="1:13">
      <c r="A1803">
        <v>1801</v>
      </c>
      <c r="B1803" t="s">
        <v>337</v>
      </c>
      <c r="C1803" t="s">
        <v>82</v>
      </c>
      <c r="D1803" t="s">
        <v>83</v>
      </c>
      <c r="E1803" t="s">
        <v>111</v>
      </c>
      <c r="F1803">
        <v>16384</v>
      </c>
      <c r="G1803">
        <f>MAX(I1800,I1802)</f>
        <v>1685387</v>
      </c>
      <c r="H1803">
        <f>CEILING((dram_access_latency+F1803/dram_bandwidth)*frequency,1)</f>
        <v>356</v>
      </c>
      <c r="I1803">
        <f>G1803+H1803</f>
        <v>1685743</v>
      </c>
      <c r="J1803">
        <f>IF(AND(D1803&lt;&gt;"dram",D1803&lt;&gt;"control"),H1803,0)</f>
        <v>0</v>
      </c>
      <c r="K1803">
        <f>IF(D1803="dram",H1803,0)</f>
        <v>356</v>
      </c>
      <c r="L1803">
        <v>16384</v>
      </c>
      <c r="M1803">
        <v>0</v>
      </c>
    </row>
    <row r="1804" spans="1:13">
      <c r="A1804">
        <v>1802</v>
      </c>
      <c r="B1804" t="s">
        <v>55</v>
      </c>
      <c r="C1804" t="s">
        <v>90</v>
      </c>
      <c r="D1804" t="s">
        <v>108</v>
      </c>
      <c r="E1804" t="s">
        <v>111</v>
      </c>
      <c r="F1804">
        <v>0</v>
      </c>
      <c r="G1804">
        <f>MAX(I1799,I1799,I1792,I1802,I1794,I1803,I1801)</f>
        <v>1693864</v>
      </c>
      <c r="H1804">
        <f>'Operations'!I23</f>
        <v>16901</v>
      </c>
      <c r="I1804">
        <f>G1804+H1804</f>
        <v>1710765</v>
      </c>
      <c r="J1804">
        <f>IF(AND(D1804&lt;&gt;"dram",D1804&lt;&gt;"control"),H1804,0)</f>
        <v>16901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338</v>
      </c>
      <c r="C1805" t="s">
        <v>88</v>
      </c>
      <c r="D1805" t="s">
        <v>89</v>
      </c>
      <c r="E1805" t="s">
        <v>111</v>
      </c>
      <c r="F1805">
        <v>0</v>
      </c>
      <c r="G1805">
        <f>MAX(I1800,I1799)</f>
        <v>1676963</v>
      </c>
      <c r="H1805">
        <f>0</f>
        <v>16901</v>
      </c>
      <c r="I1805">
        <f>G1805+H1805</f>
        <v>1693864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339</v>
      </c>
      <c r="C1806" t="s">
        <v>92</v>
      </c>
      <c r="D1806" t="s">
        <v>83</v>
      </c>
      <c r="E1806" t="s">
        <v>111</v>
      </c>
      <c r="F1806">
        <v>2048</v>
      </c>
      <c r="G1806">
        <f>MAX(I1805,I1803)</f>
        <v>1693864</v>
      </c>
      <c r="H1806">
        <f>CEILING((dram_access_latency+F1806/dram_bandwidth)*frequency,1)</f>
        <v>132</v>
      </c>
      <c r="I1806">
        <f>G1806+H1806</f>
        <v>1693996</v>
      </c>
      <c r="J1806">
        <f>IF(AND(D1806&lt;&gt;"dram",D1806&lt;&gt;"control"),H1806,0)</f>
        <v>0</v>
      </c>
      <c r="K1806">
        <f>IF(D1806="dram",H1806,0)</f>
        <v>132</v>
      </c>
      <c r="L1806">
        <v>0</v>
      </c>
      <c r="M1806">
        <v>2048</v>
      </c>
    </row>
    <row r="1807" spans="1:13">
      <c r="A1807">
        <v>1805</v>
      </c>
      <c r="B1807" t="s">
        <v>335</v>
      </c>
      <c r="C1807" t="s">
        <v>82</v>
      </c>
      <c r="D1807" t="s">
        <v>83</v>
      </c>
      <c r="E1807" t="s">
        <v>112</v>
      </c>
      <c r="F1807">
        <v>524288</v>
      </c>
      <c r="G1807">
        <f>MAX(I1805,I1806)</f>
        <v>1693996</v>
      </c>
      <c r="H1807">
        <f>CEILING((dram_access_latency+F1807/dram_bandwidth)*frequency,1)</f>
        <v>8292</v>
      </c>
      <c r="I1807">
        <f>G1807+H1807</f>
        <v>1702288</v>
      </c>
      <c r="J1807">
        <f>IF(AND(D1807&lt;&gt;"dram",D1807&lt;&gt;"control"),H1807,0)</f>
        <v>0</v>
      </c>
      <c r="K1807">
        <f>IF(D1807="dram",H1807,0)</f>
        <v>8292</v>
      </c>
      <c r="L1807">
        <v>524288</v>
      </c>
      <c r="M1807">
        <v>0</v>
      </c>
    </row>
    <row r="1808" spans="1:13">
      <c r="A1808">
        <v>1806</v>
      </c>
      <c r="B1808" t="s">
        <v>337</v>
      </c>
      <c r="C1808" t="s">
        <v>82</v>
      </c>
      <c r="D1808" t="s">
        <v>83</v>
      </c>
      <c r="E1808" t="s">
        <v>112</v>
      </c>
      <c r="F1808">
        <v>16384</v>
      </c>
      <c r="G1808">
        <f>MAX(I1805,I1807)</f>
        <v>1702288</v>
      </c>
      <c r="H1808">
        <f>CEILING((dram_access_latency+F1808/dram_bandwidth)*frequency,1)</f>
        <v>356</v>
      </c>
      <c r="I1808">
        <f>G1808+H1808</f>
        <v>1702644</v>
      </c>
      <c r="J1808">
        <f>IF(AND(D1808&lt;&gt;"dram",D1808&lt;&gt;"control"),H1808,0)</f>
        <v>0</v>
      </c>
      <c r="K1808">
        <f>IF(D1808="dram",H1808,0)</f>
        <v>356</v>
      </c>
      <c r="L1808">
        <v>16384</v>
      </c>
      <c r="M1808">
        <v>0</v>
      </c>
    </row>
    <row r="1809" spans="1:13">
      <c r="A1809">
        <v>1807</v>
      </c>
      <c r="B1809" t="s">
        <v>55</v>
      </c>
      <c r="C1809" t="s">
        <v>90</v>
      </c>
      <c r="D1809" t="s">
        <v>108</v>
      </c>
      <c r="E1809" t="s">
        <v>112</v>
      </c>
      <c r="F1809">
        <v>0</v>
      </c>
      <c r="G1809">
        <f>MAX(I1804,I1804,I1792,I1807,I1794,I1808,I1806)</f>
        <v>1710765</v>
      </c>
      <c r="H1809">
        <f>'Operations'!I23</f>
        <v>16901</v>
      </c>
      <c r="I1809">
        <f>G1809+H1809</f>
        <v>1727666</v>
      </c>
      <c r="J1809">
        <f>IF(AND(D1809&lt;&gt;"dram",D1809&lt;&gt;"control"),H1809,0)</f>
        <v>16901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338</v>
      </c>
      <c r="C1810" t="s">
        <v>88</v>
      </c>
      <c r="D1810" t="s">
        <v>89</v>
      </c>
      <c r="E1810" t="s">
        <v>112</v>
      </c>
      <c r="F1810">
        <v>0</v>
      </c>
      <c r="G1810">
        <f>MAX(I1805,I1804)</f>
        <v>1693864</v>
      </c>
      <c r="H1810">
        <f>0</f>
        <v>16901</v>
      </c>
      <c r="I1810">
        <f>G1810+H1810</f>
        <v>1710765</v>
      </c>
      <c r="J1810">
        <f>IF(AND(D1810&lt;&gt;"dram",D1810&lt;&gt;"control"),H1810,0)</f>
        <v>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339</v>
      </c>
      <c r="C1811" t="s">
        <v>92</v>
      </c>
      <c r="D1811" t="s">
        <v>83</v>
      </c>
      <c r="E1811" t="s">
        <v>112</v>
      </c>
      <c r="F1811">
        <v>2048</v>
      </c>
      <c r="G1811">
        <f>MAX(I1810,I1808)</f>
        <v>1710765</v>
      </c>
      <c r="H1811">
        <f>CEILING((dram_access_latency+F1811/dram_bandwidth)*frequency,1)</f>
        <v>132</v>
      </c>
      <c r="I1811">
        <f>G1811+H1811</f>
        <v>1710897</v>
      </c>
      <c r="J1811">
        <f>IF(AND(D1811&lt;&gt;"dram",D1811&lt;&gt;"control"),H1811,0)</f>
        <v>0</v>
      </c>
      <c r="K1811">
        <f>IF(D1811="dram",H1811,0)</f>
        <v>132</v>
      </c>
      <c r="L1811">
        <v>0</v>
      </c>
      <c r="M1811">
        <v>2048</v>
      </c>
    </row>
    <row r="1812" spans="1:13">
      <c r="A1812">
        <v>1810</v>
      </c>
      <c r="B1812" t="s">
        <v>335</v>
      </c>
      <c r="C1812" t="s">
        <v>82</v>
      </c>
      <c r="D1812" t="s">
        <v>83</v>
      </c>
      <c r="E1812" t="s">
        <v>113</v>
      </c>
      <c r="F1812">
        <v>524288</v>
      </c>
      <c r="G1812">
        <f>MAX(I1810,I1811)</f>
        <v>1710897</v>
      </c>
      <c r="H1812">
        <f>CEILING((dram_access_latency+F1812/dram_bandwidth)*frequency,1)</f>
        <v>8292</v>
      </c>
      <c r="I1812">
        <f>G1812+H1812</f>
        <v>1719189</v>
      </c>
      <c r="J1812">
        <f>IF(AND(D1812&lt;&gt;"dram",D1812&lt;&gt;"control"),H1812,0)</f>
        <v>0</v>
      </c>
      <c r="K1812">
        <f>IF(D1812="dram",H1812,0)</f>
        <v>8292</v>
      </c>
      <c r="L1812">
        <v>524288</v>
      </c>
      <c r="M1812">
        <v>0</v>
      </c>
    </row>
    <row r="1813" spans="1:13">
      <c r="A1813">
        <v>1811</v>
      </c>
      <c r="B1813" t="s">
        <v>337</v>
      </c>
      <c r="C1813" t="s">
        <v>82</v>
      </c>
      <c r="D1813" t="s">
        <v>83</v>
      </c>
      <c r="E1813" t="s">
        <v>113</v>
      </c>
      <c r="F1813">
        <v>16384</v>
      </c>
      <c r="G1813">
        <f>MAX(I1810,I1812)</f>
        <v>1719189</v>
      </c>
      <c r="H1813">
        <f>CEILING((dram_access_latency+F1813/dram_bandwidth)*frequency,1)</f>
        <v>356</v>
      </c>
      <c r="I1813">
        <f>G1813+H1813</f>
        <v>1719545</v>
      </c>
      <c r="J1813">
        <f>IF(AND(D1813&lt;&gt;"dram",D1813&lt;&gt;"control"),H1813,0)</f>
        <v>0</v>
      </c>
      <c r="K1813">
        <f>IF(D1813="dram",H1813,0)</f>
        <v>356</v>
      </c>
      <c r="L1813">
        <v>16384</v>
      </c>
      <c r="M1813">
        <v>0</v>
      </c>
    </row>
    <row r="1814" spans="1:13">
      <c r="A1814">
        <v>1812</v>
      </c>
      <c r="B1814" t="s">
        <v>55</v>
      </c>
      <c r="C1814" t="s">
        <v>90</v>
      </c>
      <c r="D1814" t="s">
        <v>108</v>
      </c>
      <c r="E1814" t="s">
        <v>113</v>
      </c>
      <c r="F1814">
        <v>0</v>
      </c>
      <c r="G1814">
        <f>MAX(I1809,I1809,I1792,I1812,I1794,I1813,I1811)</f>
        <v>1727666</v>
      </c>
      <c r="H1814">
        <f>'Operations'!I23</f>
        <v>16901</v>
      </c>
      <c r="I1814">
        <f>G1814+H1814</f>
        <v>1744567</v>
      </c>
      <c r="J1814">
        <f>IF(AND(D1814&lt;&gt;"dram",D1814&lt;&gt;"control"),H1814,0)</f>
        <v>16901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338</v>
      </c>
      <c r="C1815" t="s">
        <v>88</v>
      </c>
      <c r="D1815" t="s">
        <v>89</v>
      </c>
      <c r="E1815" t="s">
        <v>113</v>
      </c>
      <c r="F1815">
        <v>0</v>
      </c>
      <c r="G1815">
        <f>MAX(I1810,I1809)</f>
        <v>1710765</v>
      </c>
      <c r="H1815">
        <f>0</f>
        <v>16901</v>
      </c>
      <c r="I1815">
        <f>G1815+H1815</f>
        <v>1727666</v>
      </c>
      <c r="J1815">
        <f>IF(AND(D1815&lt;&gt;"dram",D1815&lt;&gt;"control"),H1815,0)</f>
        <v>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339</v>
      </c>
      <c r="C1816" t="s">
        <v>92</v>
      </c>
      <c r="D1816" t="s">
        <v>83</v>
      </c>
      <c r="E1816" t="s">
        <v>113</v>
      </c>
      <c r="F1816">
        <v>2048</v>
      </c>
      <c r="G1816">
        <f>MAX(I1815,I1813)</f>
        <v>1727666</v>
      </c>
      <c r="H1816">
        <f>CEILING((dram_access_latency+F1816/dram_bandwidth)*frequency,1)</f>
        <v>132</v>
      </c>
      <c r="I1816">
        <f>G1816+H1816</f>
        <v>1727798</v>
      </c>
      <c r="J1816">
        <f>IF(AND(D1816&lt;&gt;"dram",D1816&lt;&gt;"control"),H1816,0)</f>
        <v>0</v>
      </c>
      <c r="K1816">
        <f>IF(D1816="dram",H1816,0)</f>
        <v>132</v>
      </c>
      <c r="L1816">
        <v>0</v>
      </c>
      <c r="M1816">
        <v>2048</v>
      </c>
    </row>
    <row r="1817" spans="1:13">
      <c r="A1817">
        <v>1815</v>
      </c>
      <c r="B1817" t="s">
        <v>335</v>
      </c>
      <c r="C1817" t="s">
        <v>82</v>
      </c>
      <c r="D1817" t="s">
        <v>83</v>
      </c>
      <c r="E1817" t="s">
        <v>114</v>
      </c>
      <c r="F1817">
        <v>524288</v>
      </c>
      <c r="G1817">
        <f>MAX(I1815,I1816)</f>
        <v>1727798</v>
      </c>
      <c r="H1817">
        <f>CEILING((dram_access_latency+F1817/dram_bandwidth)*frequency,1)</f>
        <v>8292</v>
      </c>
      <c r="I1817">
        <f>G1817+H1817</f>
        <v>1736090</v>
      </c>
      <c r="J1817">
        <f>IF(AND(D1817&lt;&gt;"dram",D1817&lt;&gt;"control"),H1817,0)</f>
        <v>0</v>
      </c>
      <c r="K1817">
        <f>IF(D1817="dram",H1817,0)</f>
        <v>8292</v>
      </c>
      <c r="L1817">
        <v>524288</v>
      </c>
      <c r="M1817">
        <v>0</v>
      </c>
    </row>
    <row r="1818" spans="1:13">
      <c r="A1818">
        <v>1816</v>
      </c>
      <c r="B1818" t="s">
        <v>337</v>
      </c>
      <c r="C1818" t="s">
        <v>82</v>
      </c>
      <c r="D1818" t="s">
        <v>83</v>
      </c>
      <c r="E1818" t="s">
        <v>114</v>
      </c>
      <c r="F1818">
        <v>16384</v>
      </c>
      <c r="G1818">
        <f>MAX(I1815,I1817)</f>
        <v>1736090</v>
      </c>
      <c r="H1818">
        <f>CEILING((dram_access_latency+F1818/dram_bandwidth)*frequency,1)</f>
        <v>356</v>
      </c>
      <c r="I1818">
        <f>G1818+H1818</f>
        <v>1736446</v>
      </c>
      <c r="J1818">
        <f>IF(AND(D1818&lt;&gt;"dram",D1818&lt;&gt;"control"),H1818,0)</f>
        <v>0</v>
      </c>
      <c r="K1818">
        <f>IF(D1818="dram",H1818,0)</f>
        <v>356</v>
      </c>
      <c r="L1818">
        <v>16384</v>
      </c>
      <c r="M1818">
        <v>0</v>
      </c>
    </row>
    <row r="1819" spans="1:13">
      <c r="A1819">
        <v>1817</v>
      </c>
      <c r="B1819" t="s">
        <v>55</v>
      </c>
      <c r="C1819" t="s">
        <v>90</v>
      </c>
      <c r="D1819" t="s">
        <v>108</v>
      </c>
      <c r="E1819" t="s">
        <v>114</v>
      </c>
      <c r="F1819">
        <v>0</v>
      </c>
      <c r="G1819">
        <f>MAX(I1814,I1814,I1792,I1817,I1794,I1818,I1816)</f>
        <v>1744567</v>
      </c>
      <c r="H1819">
        <f>'Operations'!I23</f>
        <v>16901</v>
      </c>
      <c r="I1819">
        <f>G1819+H1819</f>
        <v>1761468</v>
      </c>
      <c r="J1819">
        <f>IF(AND(D1819&lt;&gt;"dram",D1819&lt;&gt;"control"),H1819,0)</f>
        <v>16901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338</v>
      </c>
      <c r="C1820" t="s">
        <v>88</v>
      </c>
      <c r="D1820" t="s">
        <v>89</v>
      </c>
      <c r="E1820" t="s">
        <v>114</v>
      </c>
      <c r="F1820">
        <v>0</v>
      </c>
      <c r="G1820">
        <f>MAX(I1815,I1814)</f>
        <v>1727666</v>
      </c>
      <c r="H1820">
        <f>0</f>
        <v>16901</v>
      </c>
      <c r="I1820">
        <f>G1820+H1820</f>
        <v>1744567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339</v>
      </c>
      <c r="C1821" t="s">
        <v>92</v>
      </c>
      <c r="D1821" t="s">
        <v>83</v>
      </c>
      <c r="E1821" t="s">
        <v>114</v>
      </c>
      <c r="F1821">
        <v>2048</v>
      </c>
      <c r="G1821">
        <f>MAX(I1820,I1818)</f>
        <v>1744567</v>
      </c>
      <c r="H1821">
        <f>CEILING((dram_access_latency+F1821/dram_bandwidth)*frequency,1)</f>
        <v>132</v>
      </c>
      <c r="I1821">
        <f>G1821+H1821</f>
        <v>1744699</v>
      </c>
      <c r="J1821">
        <f>IF(AND(D1821&lt;&gt;"dram",D1821&lt;&gt;"control"),H1821,0)</f>
        <v>0</v>
      </c>
      <c r="K1821">
        <f>IF(D1821="dram",H1821,0)</f>
        <v>132</v>
      </c>
      <c r="L1821">
        <v>0</v>
      </c>
      <c r="M1821">
        <v>2048</v>
      </c>
    </row>
    <row r="1822" spans="1:13">
      <c r="A1822">
        <v>1820</v>
      </c>
      <c r="B1822" t="s">
        <v>335</v>
      </c>
      <c r="C1822" t="s">
        <v>82</v>
      </c>
      <c r="D1822" t="s">
        <v>83</v>
      </c>
      <c r="E1822" t="s">
        <v>115</v>
      </c>
      <c r="F1822">
        <v>524288</v>
      </c>
      <c r="G1822">
        <f>MAX(I1820,I1821)</f>
        <v>1744699</v>
      </c>
      <c r="H1822">
        <f>CEILING((dram_access_latency+F1822/dram_bandwidth)*frequency,1)</f>
        <v>8292</v>
      </c>
      <c r="I1822">
        <f>G1822+H1822</f>
        <v>1752991</v>
      </c>
      <c r="J1822">
        <f>IF(AND(D1822&lt;&gt;"dram",D1822&lt;&gt;"control"),H1822,0)</f>
        <v>0</v>
      </c>
      <c r="K1822">
        <f>IF(D1822="dram",H1822,0)</f>
        <v>8292</v>
      </c>
      <c r="L1822">
        <v>524288</v>
      </c>
      <c r="M1822">
        <v>0</v>
      </c>
    </row>
    <row r="1823" spans="1:13">
      <c r="A1823">
        <v>1821</v>
      </c>
      <c r="B1823" t="s">
        <v>337</v>
      </c>
      <c r="C1823" t="s">
        <v>82</v>
      </c>
      <c r="D1823" t="s">
        <v>83</v>
      </c>
      <c r="E1823" t="s">
        <v>115</v>
      </c>
      <c r="F1823">
        <v>16384</v>
      </c>
      <c r="G1823">
        <f>MAX(I1820,I1822)</f>
        <v>1752991</v>
      </c>
      <c r="H1823">
        <f>CEILING((dram_access_latency+F1823/dram_bandwidth)*frequency,1)</f>
        <v>356</v>
      </c>
      <c r="I1823">
        <f>G1823+H1823</f>
        <v>1753347</v>
      </c>
      <c r="J1823">
        <f>IF(AND(D1823&lt;&gt;"dram",D1823&lt;&gt;"control"),H1823,0)</f>
        <v>0</v>
      </c>
      <c r="K1823">
        <f>IF(D1823="dram",H1823,0)</f>
        <v>356</v>
      </c>
      <c r="L1823">
        <v>16384</v>
      </c>
      <c r="M1823">
        <v>0</v>
      </c>
    </row>
    <row r="1824" spans="1:13">
      <c r="A1824">
        <v>1822</v>
      </c>
      <c r="B1824" t="s">
        <v>55</v>
      </c>
      <c r="C1824" t="s">
        <v>90</v>
      </c>
      <c r="D1824" t="s">
        <v>108</v>
      </c>
      <c r="E1824" t="s">
        <v>115</v>
      </c>
      <c r="F1824">
        <v>0</v>
      </c>
      <c r="G1824">
        <f>MAX(I1819,I1819,I1792,I1822,I1794,I1823,I1821)</f>
        <v>1761468</v>
      </c>
      <c r="H1824">
        <f>'Operations'!I23</f>
        <v>16901</v>
      </c>
      <c r="I1824">
        <f>G1824+H1824</f>
        <v>1778369</v>
      </c>
      <c r="J1824">
        <f>IF(AND(D1824&lt;&gt;"dram",D1824&lt;&gt;"control"),H1824,0)</f>
        <v>16901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338</v>
      </c>
      <c r="C1825" t="s">
        <v>88</v>
      </c>
      <c r="D1825" t="s">
        <v>89</v>
      </c>
      <c r="E1825" t="s">
        <v>115</v>
      </c>
      <c r="F1825">
        <v>0</v>
      </c>
      <c r="G1825">
        <f>MAX(I1820,I1819)</f>
        <v>1744567</v>
      </c>
      <c r="H1825">
        <f>0</f>
        <v>16901</v>
      </c>
      <c r="I1825">
        <f>G1825+H1825</f>
        <v>1761468</v>
      </c>
      <c r="J1825">
        <f>IF(AND(D1825&lt;&gt;"dram",D1825&lt;&gt;"control"),H1825,0)</f>
        <v>0</v>
      </c>
      <c r="K1825">
        <f>IF(D1825="dram",H1825,0)</f>
        <v>0</v>
      </c>
      <c r="L1825">
        <v>0</v>
      </c>
      <c r="M1825">
        <v>0</v>
      </c>
    </row>
    <row r="1826" spans="1:13">
      <c r="A1826">
        <v>1824</v>
      </c>
      <c r="B1826" t="s">
        <v>339</v>
      </c>
      <c r="C1826" t="s">
        <v>92</v>
      </c>
      <c r="D1826" t="s">
        <v>83</v>
      </c>
      <c r="E1826" t="s">
        <v>115</v>
      </c>
      <c r="F1826">
        <v>2048</v>
      </c>
      <c r="G1826">
        <f>MAX(I1825,I1823)</f>
        <v>1761468</v>
      </c>
      <c r="H1826">
        <f>CEILING((dram_access_latency+F1826/dram_bandwidth)*frequency,1)</f>
        <v>132</v>
      </c>
      <c r="I1826">
        <f>G1826+H1826</f>
        <v>1761600</v>
      </c>
      <c r="J1826">
        <f>IF(AND(D1826&lt;&gt;"dram",D1826&lt;&gt;"control"),H1826,0)</f>
        <v>0</v>
      </c>
      <c r="K1826">
        <f>IF(D1826="dram",H1826,0)</f>
        <v>132</v>
      </c>
      <c r="L1826">
        <v>0</v>
      </c>
      <c r="M1826">
        <v>2048</v>
      </c>
    </row>
    <row r="1827" spans="1:13">
      <c r="A1827">
        <v>1825</v>
      </c>
      <c r="B1827" t="s">
        <v>335</v>
      </c>
      <c r="C1827" t="s">
        <v>82</v>
      </c>
      <c r="D1827" t="s">
        <v>83</v>
      </c>
      <c r="E1827" t="s">
        <v>116</v>
      </c>
      <c r="F1827">
        <v>524288</v>
      </c>
      <c r="G1827">
        <f>MAX(I1825,I1826)</f>
        <v>1761600</v>
      </c>
      <c r="H1827">
        <f>CEILING((dram_access_latency+F1827/dram_bandwidth)*frequency,1)</f>
        <v>8292</v>
      </c>
      <c r="I1827">
        <f>G1827+H1827</f>
        <v>1769892</v>
      </c>
      <c r="J1827">
        <f>IF(AND(D1827&lt;&gt;"dram",D1827&lt;&gt;"control"),H1827,0)</f>
        <v>0</v>
      </c>
      <c r="K1827">
        <f>IF(D1827="dram",H1827,0)</f>
        <v>8292</v>
      </c>
      <c r="L1827">
        <v>524288</v>
      </c>
      <c r="M1827">
        <v>0</v>
      </c>
    </row>
    <row r="1828" spans="1:13">
      <c r="A1828">
        <v>1826</v>
      </c>
      <c r="B1828" t="s">
        <v>337</v>
      </c>
      <c r="C1828" t="s">
        <v>82</v>
      </c>
      <c r="D1828" t="s">
        <v>83</v>
      </c>
      <c r="E1828" t="s">
        <v>116</v>
      </c>
      <c r="F1828">
        <v>16384</v>
      </c>
      <c r="G1828">
        <f>MAX(I1825,I1827)</f>
        <v>1769892</v>
      </c>
      <c r="H1828">
        <f>CEILING((dram_access_latency+F1828/dram_bandwidth)*frequency,1)</f>
        <v>356</v>
      </c>
      <c r="I1828">
        <f>G1828+H1828</f>
        <v>1770248</v>
      </c>
      <c r="J1828">
        <f>IF(AND(D1828&lt;&gt;"dram",D1828&lt;&gt;"control"),H1828,0)</f>
        <v>0</v>
      </c>
      <c r="K1828">
        <f>IF(D1828="dram",H1828,0)</f>
        <v>356</v>
      </c>
      <c r="L1828">
        <v>16384</v>
      </c>
      <c r="M1828">
        <v>0</v>
      </c>
    </row>
    <row r="1829" spans="1:13">
      <c r="A1829">
        <v>1827</v>
      </c>
      <c r="B1829" t="s">
        <v>55</v>
      </c>
      <c r="C1829" t="s">
        <v>90</v>
      </c>
      <c r="D1829" t="s">
        <v>108</v>
      </c>
      <c r="E1829" t="s">
        <v>116</v>
      </c>
      <c r="F1829">
        <v>0</v>
      </c>
      <c r="G1829">
        <f>MAX(I1824,I1824,I1792,I1827,I1794,I1828,I1826)</f>
        <v>1778369</v>
      </c>
      <c r="H1829">
        <f>'Operations'!I23</f>
        <v>16901</v>
      </c>
      <c r="I1829">
        <f>G1829+H1829</f>
        <v>1795270</v>
      </c>
      <c r="J1829">
        <f>IF(AND(D1829&lt;&gt;"dram",D1829&lt;&gt;"control"),H1829,0)</f>
        <v>16901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338</v>
      </c>
      <c r="C1830" t="s">
        <v>88</v>
      </c>
      <c r="D1830" t="s">
        <v>89</v>
      </c>
      <c r="E1830" t="s">
        <v>116</v>
      </c>
      <c r="F1830">
        <v>0</v>
      </c>
      <c r="G1830">
        <f>MAX(I1825,I1824)</f>
        <v>1761468</v>
      </c>
      <c r="H1830">
        <f>0</f>
        <v>16901</v>
      </c>
      <c r="I1830">
        <f>G1830+H1830</f>
        <v>1778369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339</v>
      </c>
      <c r="C1831" t="s">
        <v>92</v>
      </c>
      <c r="D1831" t="s">
        <v>83</v>
      </c>
      <c r="E1831" t="s">
        <v>116</v>
      </c>
      <c r="F1831">
        <v>2048</v>
      </c>
      <c r="G1831">
        <f>MAX(I1830,I1828)</f>
        <v>1778369</v>
      </c>
      <c r="H1831">
        <f>CEILING((dram_access_latency+F1831/dram_bandwidth)*frequency,1)</f>
        <v>132</v>
      </c>
      <c r="I1831">
        <f>G1831+H1831</f>
        <v>1778501</v>
      </c>
      <c r="J1831">
        <f>IF(AND(D1831&lt;&gt;"dram",D1831&lt;&gt;"control"),H1831,0)</f>
        <v>0</v>
      </c>
      <c r="K1831">
        <f>IF(D1831="dram",H1831,0)</f>
        <v>132</v>
      </c>
      <c r="L1831">
        <v>0</v>
      </c>
      <c r="M1831">
        <v>2048</v>
      </c>
    </row>
    <row r="1832" spans="1:13">
      <c r="A1832">
        <v>1830</v>
      </c>
      <c r="B1832" t="s">
        <v>335</v>
      </c>
      <c r="C1832" t="s">
        <v>82</v>
      </c>
      <c r="D1832" t="s">
        <v>83</v>
      </c>
      <c r="E1832" t="s">
        <v>117</v>
      </c>
      <c r="F1832">
        <v>524288</v>
      </c>
      <c r="G1832">
        <f>MAX(I1830,I1831)</f>
        <v>1778501</v>
      </c>
      <c r="H1832">
        <f>CEILING((dram_access_latency+F1832/dram_bandwidth)*frequency,1)</f>
        <v>8292</v>
      </c>
      <c r="I1832">
        <f>G1832+H1832</f>
        <v>1786793</v>
      </c>
      <c r="J1832">
        <f>IF(AND(D1832&lt;&gt;"dram",D1832&lt;&gt;"control"),H1832,0)</f>
        <v>0</v>
      </c>
      <c r="K1832">
        <f>IF(D1832="dram",H1832,0)</f>
        <v>8292</v>
      </c>
      <c r="L1832">
        <v>524288</v>
      </c>
      <c r="M1832">
        <v>0</v>
      </c>
    </row>
    <row r="1833" spans="1:13">
      <c r="A1833">
        <v>1831</v>
      </c>
      <c r="B1833" t="s">
        <v>337</v>
      </c>
      <c r="C1833" t="s">
        <v>82</v>
      </c>
      <c r="D1833" t="s">
        <v>83</v>
      </c>
      <c r="E1833" t="s">
        <v>117</v>
      </c>
      <c r="F1833">
        <v>16384</v>
      </c>
      <c r="G1833">
        <f>MAX(I1830,I1832)</f>
        <v>1786793</v>
      </c>
      <c r="H1833">
        <f>CEILING((dram_access_latency+F1833/dram_bandwidth)*frequency,1)</f>
        <v>356</v>
      </c>
      <c r="I1833">
        <f>G1833+H1833</f>
        <v>1787149</v>
      </c>
      <c r="J1833">
        <f>IF(AND(D1833&lt;&gt;"dram",D1833&lt;&gt;"control"),H1833,0)</f>
        <v>0</v>
      </c>
      <c r="K1833">
        <f>IF(D1833="dram",H1833,0)</f>
        <v>356</v>
      </c>
      <c r="L1833">
        <v>16384</v>
      </c>
      <c r="M1833">
        <v>0</v>
      </c>
    </row>
    <row r="1834" spans="1:13">
      <c r="A1834">
        <v>1832</v>
      </c>
      <c r="B1834" t="s">
        <v>55</v>
      </c>
      <c r="C1834" t="s">
        <v>90</v>
      </c>
      <c r="D1834" t="s">
        <v>108</v>
      </c>
      <c r="E1834" t="s">
        <v>117</v>
      </c>
      <c r="F1834">
        <v>0</v>
      </c>
      <c r="G1834">
        <f>MAX(I1829,I1829,I1792,I1832,I1794,I1833,I1831)</f>
        <v>1795270</v>
      </c>
      <c r="H1834">
        <f>'Operations'!I23</f>
        <v>16901</v>
      </c>
      <c r="I1834">
        <f>G1834+H1834</f>
        <v>1812171</v>
      </c>
      <c r="J1834">
        <f>IF(AND(D1834&lt;&gt;"dram",D1834&lt;&gt;"control"),H1834,0)</f>
        <v>16901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338</v>
      </c>
      <c r="C1835" t="s">
        <v>88</v>
      </c>
      <c r="D1835" t="s">
        <v>89</v>
      </c>
      <c r="E1835" t="s">
        <v>117</v>
      </c>
      <c r="F1835">
        <v>0</v>
      </c>
      <c r="G1835">
        <f>MAX(I1830,I1829)</f>
        <v>1778369</v>
      </c>
      <c r="H1835">
        <f>0</f>
        <v>16901</v>
      </c>
      <c r="I1835">
        <f>G1835+H1835</f>
        <v>1795270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339</v>
      </c>
      <c r="C1836" t="s">
        <v>92</v>
      </c>
      <c r="D1836" t="s">
        <v>83</v>
      </c>
      <c r="E1836" t="s">
        <v>117</v>
      </c>
      <c r="F1836">
        <v>2048</v>
      </c>
      <c r="G1836">
        <f>MAX(I1835,I1833)</f>
        <v>1795270</v>
      </c>
      <c r="H1836">
        <f>CEILING((dram_access_latency+F1836/dram_bandwidth)*frequency,1)</f>
        <v>132</v>
      </c>
      <c r="I1836">
        <f>G1836+H1836</f>
        <v>1795402</v>
      </c>
      <c r="J1836">
        <f>IF(AND(D1836&lt;&gt;"dram",D1836&lt;&gt;"control"),H1836,0)</f>
        <v>0</v>
      </c>
      <c r="K1836">
        <f>IF(D1836="dram",H1836,0)</f>
        <v>132</v>
      </c>
      <c r="L1836">
        <v>0</v>
      </c>
      <c r="M1836">
        <v>2048</v>
      </c>
    </row>
    <row r="1837" spans="1:13">
      <c r="A1837">
        <v>1835</v>
      </c>
      <c r="B1837" t="s">
        <v>335</v>
      </c>
      <c r="C1837" t="s">
        <v>82</v>
      </c>
      <c r="D1837" t="s">
        <v>83</v>
      </c>
      <c r="E1837" t="s">
        <v>118</v>
      </c>
      <c r="F1837">
        <v>524288</v>
      </c>
      <c r="G1837">
        <f>MAX(I1835,I1836)</f>
        <v>1795402</v>
      </c>
      <c r="H1837">
        <f>CEILING((dram_access_latency+F1837/dram_bandwidth)*frequency,1)</f>
        <v>8292</v>
      </c>
      <c r="I1837">
        <f>G1837+H1837</f>
        <v>1803694</v>
      </c>
      <c r="J1837">
        <f>IF(AND(D1837&lt;&gt;"dram",D1837&lt;&gt;"control"),H1837,0)</f>
        <v>0</v>
      </c>
      <c r="K1837">
        <f>IF(D1837="dram",H1837,0)</f>
        <v>8292</v>
      </c>
      <c r="L1837">
        <v>524288</v>
      </c>
      <c r="M1837">
        <v>0</v>
      </c>
    </row>
    <row r="1838" spans="1:13">
      <c r="A1838">
        <v>1836</v>
      </c>
      <c r="B1838" t="s">
        <v>337</v>
      </c>
      <c r="C1838" t="s">
        <v>82</v>
      </c>
      <c r="D1838" t="s">
        <v>83</v>
      </c>
      <c r="E1838" t="s">
        <v>118</v>
      </c>
      <c r="F1838">
        <v>16384</v>
      </c>
      <c r="G1838">
        <f>MAX(I1835,I1837)</f>
        <v>1803694</v>
      </c>
      <c r="H1838">
        <f>CEILING((dram_access_latency+F1838/dram_bandwidth)*frequency,1)</f>
        <v>356</v>
      </c>
      <c r="I1838">
        <f>G1838+H1838</f>
        <v>1804050</v>
      </c>
      <c r="J1838">
        <f>IF(AND(D1838&lt;&gt;"dram",D1838&lt;&gt;"control"),H1838,0)</f>
        <v>0</v>
      </c>
      <c r="K1838">
        <f>IF(D1838="dram",H1838,0)</f>
        <v>356</v>
      </c>
      <c r="L1838">
        <v>16384</v>
      </c>
      <c r="M1838">
        <v>0</v>
      </c>
    </row>
    <row r="1839" spans="1:13">
      <c r="A1839">
        <v>1837</v>
      </c>
      <c r="B1839" t="s">
        <v>55</v>
      </c>
      <c r="C1839" t="s">
        <v>90</v>
      </c>
      <c r="D1839" t="s">
        <v>108</v>
      </c>
      <c r="E1839" t="s">
        <v>118</v>
      </c>
      <c r="F1839">
        <v>0</v>
      </c>
      <c r="G1839">
        <f>MAX(I1834,I1834,I1792,I1837,I1794,I1838,I1836)</f>
        <v>1812171</v>
      </c>
      <c r="H1839">
        <f>'Operations'!I23</f>
        <v>16901</v>
      </c>
      <c r="I1839">
        <f>G1839+H1839</f>
        <v>1829072</v>
      </c>
      <c r="J1839">
        <f>IF(AND(D1839&lt;&gt;"dram",D1839&lt;&gt;"control"),H1839,0)</f>
        <v>16901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338</v>
      </c>
      <c r="C1840" t="s">
        <v>88</v>
      </c>
      <c r="D1840" t="s">
        <v>89</v>
      </c>
      <c r="E1840" t="s">
        <v>118</v>
      </c>
      <c r="F1840">
        <v>0</v>
      </c>
      <c r="G1840">
        <f>MAX(I1835,I1834)</f>
        <v>1795270</v>
      </c>
      <c r="H1840">
        <f>0</f>
        <v>16901</v>
      </c>
      <c r="I1840">
        <f>G1840+H1840</f>
        <v>1812171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339</v>
      </c>
      <c r="C1841" t="s">
        <v>92</v>
      </c>
      <c r="D1841" t="s">
        <v>83</v>
      </c>
      <c r="E1841" t="s">
        <v>118</v>
      </c>
      <c r="F1841">
        <v>2048</v>
      </c>
      <c r="G1841">
        <f>MAX(I1840,I1838)</f>
        <v>1812171</v>
      </c>
      <c r="H1841">
        <f>CEILING((dram_access_latency+F1841/dram_bandwidth)*frequency,1)</f>
        <v>132</v>
      </c>
      <c r="I1841">
        <f>G1841+H1841</f>
        <v>1812303</v>
      </c>
      <c r="J1841">
        <f>IF(AND(D1841&lt;&gt;"dram",D1841&lt;&gt;"control"),H1841,0)</f>
        <v>0</v>
      </c>
      <c r="K1841">
        <f>IF(D1841="dram",H1841,0)</f>
        <v>132</v>
      </c>
      <c r="L1841">
        <v>0</v>
      </c>
      <c r="M1841">
        <v>2048</v>
      </c>
    </row>
    <row r="1842" spans="1:13">
      <c r="A1842">
        <v>1840</v>
      </c>
      <c r="B1842" t="s">
        <v>335</v>
      </c>
      <c r="C1842" t="s">
        <v>82</v>
      </c>
      <c r="D1842" t="s">
        <v>83</v>
      </c>
      <c r="E1842" t="s">
        <v>119</v>
      </c>
      <c r="F1842">
        <v>524288</v>
      </c>
      <c r="G1842">
        <f>MAX(I1840,I1841)</f>
        <v>1812303</v>
      </c>
      <c r="H1842">
        <f>CEILING((dram_access_latency+F1842/dram_bandwidth)*frequency,1)</f>
        <v>8292</v>
      </c>
      <c r="I1842">
        <f>G1842+H1842</f>
        <v>1820595</v>
      </c>
      <c r="J1842">
        <f>IF(AND(D1842&lt;&gt;"dram",D1842&lt;&gt;"control"),H1842,0)</f>
        <v>0</v>
      </c>
      <c r="K1842">
        <f>IF(D1842="dram",H1842,0)</f>
        <v>8292</v>
      </c>
      <c r="L1842">
        <v>524288</v>
      </c>
      <c r="M1842">
        <v>0</v>
      </c>
    </row>
    <row r="1843" spans="1:13">
      <c r="A1843">
        <v>1841</v>
      </c>
      <c r="B1843" t="s">
        <v>337</v>
      </c>
      <c r="C1843" t="s">
        <v>82</v>
      </c>
      <c r="D1843" t="s">
        <v>83</v>
      </c>
      <c r="E1843" t="s">
        <v>119</v>
      </c>
      <c r="F1843">
        <v>16384</v>
      </c>
      <c r="G1843">
        <f>MAX(I1840,I1842)</f>
        <v>1820595</v>
      </c>
      <c r="H1843">
        <f>CEILING((dram_access_latency+F1843/dram_bandwidth)*frequency,1)</f>
        <v>356</v>
      </c>
      <c r="I1843">
        <f>G1843+H1843</f>
        <v>1820951</v>
      </c>
      <c r="J1843">
        <f>IF(AND(D1843&lt;&gt;"dram",D1843&lt;&gt;"control"),H1843,0)</f>
        <v>0</v>
      </c>
      <c r="K1843">
        <f>IF(D1843="dram",H1843,0)</f>
        <v>356</v>
      </c>
      <c r="L1843">
        <v>16384</v>
      </c>
      <c r="M1843">
        <v>0</v>
      </c>
    </row>
    <row r="1844" spans="1:13">
      <c r="A1844">
        <v>1842</v>
      </c>
      <c r="B1844" t="s">
        <v>55</v>
      </c>
      <c r="C1844" t="s">
        <v>90</v>
      </c>
      <c r="D1844" t="s">
        <v>108</v>
      </c>
      <c r="E1844" t="s">
        <v>119</v>
      </c>
      <c r="F1844">
        <v>0</v>
      </c>
      <c r="G1844">
        <f>MAX(I1839,I1839,I1792,I1842,I1794,I1843,I1841)</f>
        <v>1829072</v>
      </c>
      <c r="H1844">
        <f>'Operations'!I23</f>
        <v>16901</v>
      </c>
      <c r="I1844">
        <f>G1844+H1844</f>
        <v>1845973</v>
      </c>
      <c r="J1844">
        <f>IF(AND(D1844&lt;&gt;"dram",D1844&lt;&gt;"control"),H1844,0)</f>
        <v>16901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338</v>
      </c>
      <c r="C1845" t="s">
        <v>88</v>
      </c>
      <c r="D1845" t="s">
        <v>89</v>
      </c>
      <c r="E1845" t="s">
        <v>119</v>
      </c>
      <c r="F1845">
        <v>0</v>
      </c>
      <c r="G1845">
        <f>MAX(I1840,I1839)</f>
        <v>1812171</v>
      </c>
      <c r="H1845">
        <f>0</f>
        <v>16901</v>
      </c>
      <c r="I1845">
        <f>G1845+H1845</f>
        <v>1829072</v>
      </c>
      <c r="J1845">
        <f>IF(AND(D1845&lt;&gt;"dram",D1845&lt;&gt;"control"),H1845,0)</f>
        <v>0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339</v>
      </c>
      <c r="C1846" t="s">
        <v>92</v>
      </c>
      <c r="D1846" t="s">
        <v>83</v>
      </c>
      <c r="E1846" t="s">
        <v>119</v>
      </c>
      <c r="F1846">
        <v>2048</v>
      </c>
      <c r="G1846">
        <f>MAX(I1845,I1843)</f>
        <v>1829072</v>
      </c>
      <c r="H1846">
        <f>CEILING((dram_access_latency+F1846/dram_bandwidth)*frequency,1)</f>
        <v>132</v>
      </c>
      <c r="I1846">
        <f>G1846+H1846</f>
        <v>1829204</v>
      </c>
      <c r="J1846">
        <f>IF(AND(D1846&lt;&gt;"dram",D1846&lt;&gt;"control"),H1846,0)</f>
        <v>0</v>
      </c>
      <c r="K1846">
        <f>IF(D1846="dram",H1846,0)</f>
        <v>132</v>
      </c>
      <c r="L1846">
        <v>0</v>
      </c>
      <c r="M1846">
        <v>2048</v>
      </c>
    </row>
    <row r="1847" spans="1:13">
      <c r="A1847">
        <v>1845</v>
      </c>
      <c r="B1847" t="s">
        <v>335</v>
      </c>
      <c r="C1847" t="s">
        <v>82</v>
      </c>
      <c r="D1847" t="s">
        <v>83</v>
      </c>
      <c r="E1847" t="s">
        <v>120</v>
      </c>
      <c r="F1847">
        <v>524288</v>
      </c>
      <c r="G1847">
        <f>MAX(I1845,I1846)</f>
        <v>1829204</v>
      </c>
      <c r="H1847">
        <f>CEILING((dram_access_latency+F1847/dram_bandwidth)*frequency,1)</f>
        <v>8292</v>
      </c>
      <c r="I1847">
        <f>G1847+H1847</f>
        <v>1837496</v>
      </c>
      <c r="J1847">
        <f>IF(AND(D1847&lt;&gt;"dram",D1847&lt;&gt;"control"),H1847,0)</f>
        <v>0</v>
      </c>
      <c r="K1847">
        <f>IF(D1847="dram",H1847,0)</f>
        <v>8292</v>
      </c>
      <c r="L1847">
        <v>524288</v>
      </c>
      <c r="M1847">
        <v>0</v>
      </c>
    </row>
    <row r="1848" spans="1:13">
      <c r="A1848">
        <v>1846</v>
      </c>
      <c r="B1848" t="s">
        <v>337</v>
      </c>
      <c r="C1848" t="s">
        <v>82</v>
      </c>
      <c r="D1848" t="s">
        <v>83</v>
      </c>
      <c r="E1848" t="s">
        <v>120</v>
      </c>
      <c r="F1848">
        <v>16384</v>
      </c>
      <c r="G1848">
        <f>MAX(I1845,I1847)</f>
        <v>1837496</v>
      </c>
      <c r="H1848">
        <f>CEILING((dram_access_latency+F1848/dram_bandwidth)*frequency,1)</f>
        <v>356</v>
      </c>
      <c r="I1848">
        <f>G1848+H1848</f>
        <v>1837852</v>
      </c>
      <c r="J1848">
        <f>IF(AND(D1848&lt;&gt;"dram",D1848&lt;&gt;"control"),H1848,0)</f>
        <v>0</v>
      </c>
      <c r="K1848">
        <f>IF(D1848="dram",H1848,0)</f>
        <v>356</v>
      </c>
      <c r="L1848">
        <v>16384</v>
      </c>
      <c r="M1848">
        <v>0</v>
      </c>
    </row>
    <row r="1849" spans="1:13">
      <c r="A1849">
        <v>1847</v>
      </c>
      <c r="B1849" t="s">
        <v>55</v>
      </c>
      <c r="C1849" t="s">
        <v>90</v>
      </c>
      <c r="D1849" t="s">
        <v>108</v>
      </c>
      <c r="E1849" t="s">
        <v>120</v>
      </c>
      <c r="F1849">
        <v>0</v>
      </c>
      <c r="G1849">
        <f>MAX(I1844,I1844,I1792,I1847,I1794,I1848,I1846)</f>
        <v>1845973</v>
      </c>
      <c r="H1849">
        <f>'Operations'!I23</f>
        <v>16901</v>
      </c>
      <c r="I1849">
        <f>G1849+H1849</f>
        <v>1862874</v>
      </c>
      <c r="J1849">
        <f>IF(AND(D1849&lt;&gt;"dram",D1849&lt;&gt;"control"),H1849,0)</f>
        <v>16901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338</v>
      </c>
      <c r="C1850" t="s">
        <v>88</v>
      </c>
      <c r="D1850" t="s">
        <v>89</v>
      </c>
      <c r="E1850" t="s">
        <v>120</v>
      </c>
      <c r="F1850">
        <v>0</v>
      </c>
      <c r="G1850">
        <f>MAX(I1845,I1844)</f>
        <v>1829072</v>
      </c>
      <c r="H1850">
        <f>0</f>
        <v>16901</v>
      </c>
      <c r="I1850">
        <f>G1850+H1850</f>
        <v>1845973</v>
      </c>
      <c r="J1850">
        <f>IF(AND(D1850&lt;&gt;"dram",D1850&lt;&gt;"control"),H1850,0)</f>
        <v>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339</v>
      </c>
      <c r="C1851" t="s">
        <v>92</v>
      </c>
      <c r="D1851" t="s">
        <v>83</v>
      </c>
      <c r="E1851" t="s">
        <v>120</v>
      </c>
      <c r="F1851">
        <v>2048</v>
      </c>
      <c r="G1851">
        <f>MAX(I1850,I1848)</f>
        <v>1845973</v>
      </c>
      <c r="H1851">
        <f>CEILING((dram_access_latency+F1851/dram_bandwidth)*frequency,1)</f>
        <v>132</v>
      </c>
      <c r="I1851">
        <f>G1851+H1851</f>
        <v>1846105</v>
      </c>
      <c r="J1851">
        <f>IF(AND(D1851&lt;&gt;"dram",D1851&lt;&gt;"control"),H1851,0)</f>
        <v>0</v>
      </c>
      <c r="K1851">
        <f>IF(D1851="dram",H1851,0)</f>
        <v>132</v>
      </c>
      <c r="L1851">
        <v>0</v>
      </c>
      <c r="M1851">
        <v>2048</v>
      </c>
    </row>
    <row r="1852" spans="1:13">
      <c r="A1852">
        <v>1850</v>
      </c>
      <c r="B1852" t="s">
        <v>335</v>
      </c>
      <c r="C1852" t="s">
        <v>82</v>
      </c>
      <c r="D1852" t="s">
        <v>83</v>
      </c>
      <c r="E1852" t="s">
        <v>121</v>
      </c>
      <c r="F1852">
        <v>524288</v>
      </c>
      <c r="G1852">
        <f>MAX(I1850,I1851)</f>
        <v>1846105</v>
      </c>
      <c r="H1852">
        <f>CEILING((dram_access_latency+F1852/dram_bandwidth)*frequency,1)</f>
        <v>8292</v>
      </c>
      <c r="I1852">
        <f>G1852+H1852</f>
        <v>1854397</v>
      </c>
      <c r="J1852">
        <f>IF(AND(D1852&lt;&gt;"dram",D1852&lt;&gt;"control"),H1852,0)</f>
        <v>0</v>
      </c>
      <c r="K1852">
        <f>IF(D1852="dram",H1852,0)</f>
        <v>8292</v>
      </c>
      <c r="L1852">
        <v>524288</v>
      </c>
      <c r="M1852">
        <v>0</v>
      </c>
    </row>
    <row r="1853" spans="1:13">
      <c r="A1853">
        <v>1851</v>
      </c>
      <c r="B1853" t="s">
        <v>337</v>
      </c>
      <c r="C1853" t="s">
        <v>82</v>
      </c>
      <c r="D1853" t="s">
        <v>83</v>
      </c>
      <c r="E1853" t="s">
        <v>121</v>
      </c>
      <c r="F1853">
        <v>16384</v>
      </c>
      <c r="G1853">
        <f>MAX(I1850,I1852)</f>
        <v>1854397</v>
      </c>
      <c r="H1853">
        <f>CEILING((dram_access_latency+F1853/dram_bandwidth)*frequency,1)</f>
        <v>356</v>
      </c>
      <c r="I1853">
        <f>G1853+H1853</f>
        <v>1854753</v>
      </c>
      <c r="J1853">
        <f>IF(AND(D1853&lt;&gt;"dram",D1853&lt;&gt;"control"),H1853,0)</f>
        <v>0</v>
      </c>
      <c r="K1853">
        <f>IF(D1853="dram",H1853,0)</f>
        <v>356</v>
      </c>
      <c r="L1853">
        <v>16384</v>
      </c>
      <c r="M1853">
        <v>0</v>
      </c>
    </row>
    <row r="1854" spans="1:13">
      <c r="A1854">
        <v>1852</v>
      </c>
      <c r="B1854" t="s">
        <v>55</v>
      </c>
      <c r="C1854" t="s">
        <v>90</v>
      </c>
      <c r="D1854" t="s">
        <v>108</v>
      </c>
      <c r="E1854" t="s">
        <v>121</v>
      </c>
      <c r="F1854">
        <v>0</v>
      </c>
      <c r="G1854">
        <f>MAX(I1849,I1849,I1792,I1852,I1794,I1853,I1851)</f>
        <v>1862874</v>
      </c>
      <c r="H1854">
        <f>'Operations'!I23</f>
        <v>16901</v>
      </c>
      <c r="I1854">
        <f>G1854+H1854</f>
        <v>1879775</v>
      </c>
      <c r="J1854">
        <f>IF(AND(D1854&lt;&gt;"dram",D1854&lt;&gt;"control"),H1854,0)</f>
        <v>16901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338</v>
      </c>
      <c r="C1855" t="s">
        <v>88</v>
      </c>
      <c r="D1855" t="s">
        <v>89</v>
      </c>
      <c r="E1855" t="s">
        <v>121</v>
      </c>
      <c r="F1855">
        <v>0</v>
      </c>
      <c r="G1855">
        <f>MAX(I1850,I1849)</f>
        <v>1845973</v>
      </c>
      <c r="H1855">
        <f>0</f>
        <v>16901</v>
      </c>
      <c r="I1855">
        <f>G1855+H1855</f>
        <v>1862874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339</v>
      </c>
      <c r="C1856" t="s">
        <v>92</v>
      </c>
      <c r="D1856" t="s">
        <v>83</v>
      </c>
      <c r="E1856" t="s">
        <v>121</v>
      </c>
      <c r="F1856">
        <v>2048</v>
      </c>
      <c r="G1856">
        <f>MAX(I1855,I1853)</f>
        <v>1862874</v>
      </c>
      <c r="H1856">
        <f>CEILING((dram_access_latency+F1856/dram_bandwidth)*frequency,1)</f>
        <v>132</v>
      </c>
      <c r="I1856">
        <f>G1856+H1856</f>
        <v>1863006</v>
      </c>
      <c r="J1856">
        <f>IF(AND(D1856&lt;&gt;"dram",D1856&lt;&gt;"control"),H1856,0)</f>
        <v>0</v>
      </c>
      <c r="K1856">
        <f>IF(D1856="dram",H1856,0)</f>
        <v>132</v>
      </c>
      <c r="L1856">
        <v>0</v>
      </c>
      <c r="M1856">
        <v>2048</v>
      </c>
    </row>
    <row r="1857" spans="1:13">
      <c r="A1857">
        <v>1855</v>
      </c>
      <c r="B1857" t="s">
        <v>335</v>
      </c>
      <c r="C1857" t="s">
        <v>82</v>
      </c>
      <c r="D1857" t="s">
        <v>83</v>
      </c>
      <c r="E1857" t="s">
        <v>122</v>
      </c>
      <c r="F1857">
        <v>524288</v>
      </c>
      <c r="G1857">
        <f>MAX(I1855,I1856)</f>
        <v>1863006</v>
      </c>
      <c r="H1857">
        <f>CEILING((dram_access_latency+F1857/dram_bandwidth)*frequency,1)</f>
        <v>8292</v>
      </c>
      <c r="I1857">
        <f>G1857+H1857</f>
        <v>1871298</v>
      </c>
      <c r="J1857">
        <f>IF(AND(D1857&lt;&gt;"dram",D1857&lt;&gt;"control"),H1857,0)</f>
        <v>0</v>
      </c>
      <c r="K1857">
        <f>IF(D1857="dram",H1857,0)</f>
        <v>8292</v>
      </c>
      <c r="L1857">
        <v>524288</v>
      </c>
      <c r="M1857">
        <v>0</v>
      </c>
    </row>
    <row r="1858" spans="1:13">
      <c r="A1858">
        <v>1856</v>
      </c>
      <c r="B1858" t="s">
        <v>337</v>
      </c>
      <c r="C1858" t="s">
        <v>82</v>
      </c>
      <c r="D1858" t="s">
        <v>83</v>
      </c>
      <c r="E1858" t="s">
        <v>122</v>
      </c>
      <c r="F1858">
        <v>16384</v>
      </c>
      <c r="G1858">
        <f>MAX(I1855,I1857)</f>
        <v>1871298</v>
      </c>
      <c r="H1858">
        <f>CEILING((dram_access_latency+F1858/dram_bandwidth)*frequency,1)</f>
        <v>356</v>
      </c>
      <c r="I1858">
        <f>G1858+H1858</f>
        <v>1871654</v>
      </c>
      <c r="J1858">
        <f>IF(AND(D1858&lt;&gt;"dram",D1858&lt;&gt;"control"),H1858,0)</f>
        <v>0</v>
      </c>
      <c r="K1858">
        <f>IF(D1858="dram",H1858,0)</f>
        <v>356</v>
      </c>
      <c r="L1858">
        <v>16384</v>
      </c>
      <c r="M1858">
        <v>0</v>
      </c>
    </row>
    <row r="1859" spans="1:13">
      <c r="A1859">
        <v>1857</v>
      </c>
      <c r="B1859" t="s">
        <v>55</v>
      </c>
      <c r="C1859" t="s">
        <v>90</v>
      </c>
      <c r="D1859" t="s">
        <v>108</v>
      </c>
      <c r="E1859" t="s">
        <v>122</v>
      </c>
      <c r="F1859">
        <v>0</v>
      </c>
      <c r="G1859">
        <f>MAX(I1854,I1854,I1792,I1857,I1794,I1858,I1856)</f>
        <v>1879775</v>
      </c>
      <c r="H1859">
        <f>'Operations'!I23</f>
        <v>16901</v>
      </c>
      <c r="I1859">
        <f>G1859+H1859</f>
        <v>1896676</v>
      </c>
      <c r="J1859">
        <f>IF(AND(D1859&lt;&gt;"dram",D1859&lt;&gt;"control"),H1859,0)</f>
        <v>16901</v>
      </c>
      <c r="K1859">
        <f>IF(D1859="dram",H1859,0)</f>
        <v>0</v>
      </c>
      <c r="L1859">
        <v>0</v>
      </c>
      <c r="M1859">
        <v>0</v>
      </c>
    </row>
    <row r="1860" spans="1:13">
      <c r="A1860">
        <v>1858</v>
      </c>
      <c r="B1860" t="s">
        <v>338</v>
      </c>
      <c r="C1860" t="s">
        <v>88</v>
      </c>
      <c r="D1860" t="s">
        <v>89</v>
      </c>
      <c r="E1860" t="s">
        <v>122</v>
      </c>
      <c r="F1860">
        <v>0</v>
      </c>
      <c r="G1860">
        <f>MAX(I1855,I1854)</f>
        <v>1862874</v>
      </c>
      <c r="H1860">
        <f>0</f>
        <v>16901</v>
      </c>
      <c r="I1860">
        <f>G1860+H1860</f>
        <v>1879775</v>
      </c>
      <c r="J1860">
        <f>IF(AND(D1860&lt;&gt;"dram",D1860&lt;&gt;"control"),H1860,0)</f>
        <v>0</v>
      </c>
      <c r="K1860">
        <f>IF(D1860="dram",H1860,0)</f>
        <v>0</v>
      </c>
      <c r="L1860">
        <v>0</v>
      </c>
      <c r="M1860">
        <v>0</v>
      </c>
    </row>
    <row r="1861" spans="1:13">
      <c r="A1861">
        <v>1859</v>
      </c>
      <c r="B1861" t="s">
        <v>339</v>
      </c>
      <c r="C1861" t="s">
        <v>92</v>
      </c>
      <c r="D1861" t="s">
        <v>83</v>
      </c>
      <c r="E1861" t="s">
        <v>122</v>
      </c>
      <c r="F1861">
        <v>2048</v>
      </c>
      <c r="G1861">
        <f>MAX(I1860,I1858)</f>
        <v>1879775</v>
      </c>
      <c r="H1861">
        <f>CEILING((dram_access_latency+F1861/dram_bandwidth)*frequency,1)</f>
        <v>132</v>
      </c>
      <c r="I1861">
        <f>G1861+H1861</f>
        <v>1879907</v>
      </c>
      <c r="J1861">
        <f>IF(AND(D1861&lt;&gt;"dram",D1861&lt;&gt;"control"),H1861,0)</f>
        <v>0</v>
      </c>
      <c r="K1861">
        <f>IF(D1861="dram",H1861,0)</f>
        <v>132</v>
      </c>
      <c r="L1861">
        <v>0</v>
      </c>
      <c r="M1861">
        <v>2048</v>
      </c>
    </row>
    <row r="1862" spans="1:13">
      <c r="A1862">
        <v>1860</v>
      </c>
      <c r="B1862" t="s">
        <v>335</v>
      </c>
      <c r="C1862" t="s">
        <v>82</v>
      </c>
      <c r="D1862" t="s">
        <v>83</v>
      </c>
      <c r="E1862" t="s">
        <v>123</v>
      </c>
      <c r="F1862">
        <v>524288</v>
      </c>
      <c r="G1862">
        <f>MAX(I1860,I1861)</f>
        <v>1879907</v>
      </c>
      <c r="H1862">
        <f>CEILING((dram_access_latency+F1862/dram_bandwidth)*frequency,1)</f>
        <v>8292</v>
      </c>
      <c r="I1862">
        <f>G1862+H1862</f>
        <v>1888199</v>
      </c>
      <c r="J1862">
        <f>IF(AND(D1862&lt;&gt;"dram",D1862&lt;&gt;"control"),H1862,0)</f>
        <v>0</v>
      </c>
      <c r="K1862">
        <f>IF(D1862="dram",H1862,0)</f>
        <v>8292</v>
      </c>
      <c r="L1862">
        <v>524288</v>
      </c>
      <c r="M1862">
        <v>0</v>
      </c>
    </row>
    <row r="1863" spans="1:13">
      <c r="A1863">
        <v>1861</v>
      </c>
      <c r="B1863" t="s">
        <v>337</v>
      </c>
      <c r="C1863" t="s">
        <v>82</v>
      </c>
      <c r="D1863" t="s">
        <v>83</v>
      </c>
      <c r="E1863" t="s">
        <v>123</v>
      </c>
      <c r="F1863">
        <v>16384</v>
      </c>
      <c r="G1863">
        <f>MAX(I1860,I1862)</f>
        <v>1888199</v>
      </c>
      <c r="H1863">
        <f>CEILING((dram_access_latency+F1863/dram_bandwidth)*frequency,1)</f>
        <v>356</v>
      </c>
      <c r="I1863">
        <f>G1863+H1863</f>
        <v>1888555</v>
      </c>
      <c r="J1863">
        <f>IF(AND(D1863&lt;&gt;"dram",D1863&lt;&gt;"control"),H1863,0)</f>
        <v>0</v>
      </c>
      <c r="K1863">
        <f>IF(D1863="dram",H1863,0)</f>
        <v>356</v>
      </c>
      <c r="L1863">
        <v>16384</v>
      </c>
      <c r="M1863">
        <v>0</v>
      </c>
    </row>
    <row r="1864" spans="1:13">
      <c r="A1864">
        <v>1862</v>
      </c>
      <c r="B1864" t="s">
        <v>55</v>
      </c>
      <c r="C1864" t="s">
        <v>90</v>
      </c>
      <c r="D1864" t="s">
        <v>108</v>
      </c>
      <c r="E1864" t="s">
        <v>123</v>
      </c>
      <c r="F1864">
        <v>0</v>
      </c>
      <c r="G1864">
        <f>MAX(I1859,I1859,I1792,I1862,I1794,I1863,I1861)</f>
        <v>1896676</v>
      </c>
      <c r="H1864">
        <f>'Operations'!I23</f>
        <v>16901</v>
      </c>
      <c r="I1864">
        <f>G1864+H1864</f>
        <v>1913577</v>
      </c>
      <c r="J1864">
        <f>IF(AND(D1864&lt;&gt;"dram",D1864&lt;&gt;"control"),H1864,0)</f>
        <v>16901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338</v>
      </c>
      <c r="C1865" t="s">
        <v>88</v>
      </c>
      <c r="D1865" t="s">
        <v>89</v>
      </c>
      <c r="E1865" t="s">
        <v>123</v>
      </c>
      <c r="F1865">
        <v>0</v>
      </c>
      <c r="G1865">
        <f>MAX(I1860,I1859)</f>
        <v>1879775</v>
      </c>
      <c r="H1865">
        <f>0</f>
        <v>16901</v>
      </c>
      <c r="I1865">
        <f>G1865+H1865</f>
        <v>1896676</v>
      </c>
      <c r="J1865">
        <f>IF(AND(D1865&lt;&gt;"dram",D1865&lt;&gt;"control"),H1865,0)</f>
        <v>0</v>
      </c>
      <c r="K1865">
        <f>IF(D1865="dram",H1865,0)</f>
        <v>0</v>
      </c>
      <c r="L1865">
        <v>0</v>
      </c>
      <c r="M1865">
        <v>0</v>
      </c>
    </row>
    <row r="1866" spans="1:13">
      <c r="A1866">
        <v>1864</v>
      </c>
      <c r="B1866" t="s">
        <v>339</v>
      </c>
      <c r="C1866" t="s">
        <v>92</v>
      </c>
      <c r="D1866" t="s">
        <v>83</v>
      </c>
      <c r="E1866" t="s">
        <v>123</v>
      </c>
      <c r="F1866">
        <v>2048</v>
      </c>
      <c r="G1866">
        <f>MAX(I1865,I1863)</f>
        <v>1896676</v>
      </c>
      <c r="H1866">
        <f>CEILING((dram_access_latency+F1866/dram_bandwidth)*frequency,1)</f>
        <v>132</v>
      </c>
      <c r="I1866">
        <f>G1866+H1866</f>
        <v>1896808</v>
      </c>
      <c r="J1866">
        <f>IF(AND(D1866&lt;&gt;"dram",D1866&lt;&gt;"control"),H1866,0)</f>
        <v>0</v>
      </c>
      <c r="K1866">
        <f>IF(D1866="dram",H1866,0)</f>
        <v>132</v>
      </c>
      <c r="L1866">
        <v>0</v>
      </c>
      <c r="M1866">
        <v>2048</v>
      </c>
    </row>
    <row r="1867" spans="1:13">
      <c r="A1867">
        <v>1865</v>
      </c>
      <c r="B1867" t="s">
        <v>335</v>
      </c>
      <c r="C1867" t="s">
        <v>82</v>
      </c>
      <c r="D1867" t="s">
        <v>83</v>
      </c>
      <c r="E1867" t="s">
        <v>124</v>
      </c>
      <c r="F1867">
        <v>524288</v>
      </c>
      <c r="G1867">
        <f>MAX(I1865,I1866)</f>
        <v>1896808</v>
      </c>
      <c r="H1867">
        <f>CEILING((dram_access_latency+F1867/dram_bandwidth)*frequency,1)</f>
        <v>8292</v>
      </c>
      <c r="I1867">
        <f>G1867+H1867</f>
        <v>1905100</v>
      </c>
      <c r="J1867">
        <f>IF(AND(D1867&lt;&gt;"dram",D1867&lt;&gt;"control"),H1867,0)</f>
        <v>0</v>
      </c>
      <c r="K1867">
        <f>IF(D1867="dram",H1867,0)</f>
        <v>8292</v>
      </c>
      <c r="L1867">
        <v>524288</v>
      </c>
      <c r="M1867">
        <v>0</v>
      </c>
    </row>
    <row r="1868" spans="1:13">
      <c r="A1868">
        <v>1866</v>
      </c>
      <c r="B1868" t="s">
        <v>337</v>
      </c>
      <c r="C1868" t="s">
        <v>82</v>
      </c>
      <c r="D1868" t="s">
        <v>83</v>
      </c>
      <c r="E1868" t="s">
        <v>124</v>
      </c>
      <c r="F1868">
        <v>16384</v>
      </c>
      <c r="G1868">
        <f>MAX(I1865,I1867)</f>
        <v>1905100</v>
      </c>
      <c r="H1868">
        <f>CEILING((dram_access_latency+F1868/dram_bandwidth)*frequency,1)</f>
        <v>356</v>
      </c>
      <c r="I1868">
        <f>G1868+H1868</f>
        <v>1905456</v>
      </c>
      <c r="J1868">
        <f>IF(AND(D1868&lt;&gt;"dram",D1868&lt;&gt;"control"),H1868,0)</f>
        <v>0</v>
      </c>
      <c r="K1868">
        <f>IF(D1868="dram",H1868,0)</f>
        <v>356</v>
      </c>
      <c r="L1868">
        <v>16384</v>
      </c>
      <c r="M1868">
        <v>0</v>
      </c>
    </row>
    <row r="1869" spans="1:13">
      <c r="A1869">
        <v>1867</v>
      </c>
      <c r="B1869" t="s">
        <v>55</v>
      </c>
      <c r="C1869" t="s">
        <v>90</v>
      </c>
      <c r="D1869" t="s">
        <v>108</v>
      </c>
      <c r="E1869" t="s">
        <v>124</v>
      </c>
      <c r="F1869">
        <v>0</v>
      </c>
      <c r="G1869">
        <f>MAX(I1864,I1864,I1792,I1867,I1794,I1868,I1866)</f>
        <v>1913577</v>
      </c>
      <c r="H1869">
        <f>'Operations'!I23</f>
        <v>16901</v>
      </c>
      <c r="I1869">
        <f>G1869+H1869</f>
        <v>1930478</v>
      </c>
      <c r="J1869">
        <f>IF(AND(D1869&lt;&gt;"dram",D1869&lt;&gt;"control"),H1869,0)</f>
        <v>16901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338</v>
      </c>
      <c r="C1870" t="s">
        <v>88</v>
      </c>
      <c r="D1870" t="s">
        <v>89</v>
      </c>
      <c r="E1870" t="s">
        <v>124</v>
      </c>
      <c r="F1870">
        <v>0</v>
      </c>
      <c r="G1870">
        <f>MAX(I1865,I1864)</f>
        <v>1896676</v>
      </c>
      <c r="H1870">
        <f>0</f>
        <v>16901</v>
      </c>
      <c r="I1870">
        <f>G1870+H1870</f>
        <v>1913577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339</v>
      </c>
      <c r="C1871" t="s">
        <v>92</v>
      </c>
      <c r="D1871" t="s">
        <v>83</v>
      </c>
      <c r="E1871" t="s">
        <v>124</v>
      </c>
      <c r="F1871">
        <v>2048</v>
      </c>
      <c r="G1871">
        <f>MAX(I1870,I1868)</f>
        <v>1913577</v>
      </c>
      <c r="H1871">
        <f>CEILING((dram_access_latency+F1871/dram_bandwidth)*frequency,1)</f>
        <v>132</v>
      </c>
      <c r="I1871">
        <f>G1871+H1871</f>
        <v>1913709</v>
      </c>
      <c r="J1871">
        <f>IF(AND(D1871&lt;&gt;"dram",D1871&lt;&gt;"control"),H1871,0)</f>
        <v>0</v>
      </c>
      <c r="K1871">
        <f>IF(D1871="dram",H1871,0)</f>
        <v>132</v>
      </c>
      <c r="L1871">
        <v>0</v>
      </c>
      <c r="M1871">
        <v>2048</v>
      </c>
    </row>
    <row r="1872" spans="1:13">
      <c r="A1872">
        <v>1870</v>
      </c>
      <c r="B1872" t="s">
        <v>335</v>
      </c>
      <c r="C1872" t="s">
        <v>82</v>
      </c>
      <c r="D1872" t="s">
        <v>83</v>
      </c>
      <c r="E1872" t="s">
        <v>125</v>
      </c>
      <c r="F1872">
        <v>524288</v>
      </c>
      <c r="G1872">
        <f>MAX(I1870,I1871)</f>
        <v>1913709</v>
      </c>
      <c r="H1872">
        <f>CEILING((dram_access_latency+F1872/dram_bandwidth)*frequency,1)</f>
        <v>8292</v>
      </c>
      <c r="I1872">
        <f>G1872+H1872</f>
        <v>1922001</v>
      </c>
      <c r="J1872">
        <f>IF(AND(D1872&lt;&gt;"dram",D1872&lt;&gt;"control"),H1872,0)</f>
        <v>0</v>
      </c>
      <c r="K1872">
        <f>IF(D1872="dram",H1872,0)</f>
        <v>8292</v>
      </c>
      <c r="L1872">
        <v>524288</v>
      </c>
      <c r="M1872">
        <v>0</v>
      </c>
    </row>
    <row r="1873" spans="1:13">
      <c r="A1873">
        <v>1871</v>
      </c>
      <c r="B1873" t="s">
        <v>337</v>
      </c>
      <c r="C1873" t="s">
        <v>82</v>
      </c>
      <c r="D1873" t="s">
        <v>83</v>
      </c>
      <c r="E1873" t="s">
        <v>125</v>
      </c>
      <c r="F1873">
        <v>16384</v>
      </c>
      <c r="G1873">
        <f>MAX(I1870,I1872)</f>
        <v>1922001</v>
      </c>
      <c r="H1873">
        <f>CEILING((dram_access_latency+F1873/dram_bandwidth)*frequency,1)</f>
        <v>356</v>
      </c>
      <c r="I1873">
        <f>G1873+H1873</f>
        <v>1922357</v>
      </c>
      <c r="J1873">
        <f>IF(AND(D1873&lt;&gt;"dram",D1873&lt;&gt;"control"),H1873,0)</f>
        <v>0</v>
      </c>
      <c r="K1873">
        <f>IF(D1873="dram",H1873,0)</f>
        <v>356</v>
      </c>
      <c r="L1873">
        <v>16384</v>
      </c>
      <c r="M1873">
        <v>0</v>
      </c>
    </row>
    <row r="1874" spans="1:13">
      <c r="A1874">
        <v>1872</v>
      </c>
      <c r="B1874" t="s">
        <v>55</v>
      </c>
      <c r="C1874" t="s">
        <v>90</v>
      </c>
      <c r="D1874" t="s">
        <v>108</v>
      </c>
      <c r="E1874" t="s">
        <v>125</v>
      </c>
      <c r="F1874">
        <v>0</v>
      </c>
      <c r="G1874">
        <f>MAX(I1869,I1869,I1792,I1872,I1794,I1873,I1871)</f>
        <v>1930478</v>
      </c>
      <c r="H1874">
        <f>'Operations'!I23</f>
        <v>16901</v>
      </c>
      <c r="I1874">
        <f>G1874+H1874</f>
        <v>1947379</v>
      </c>
      <c r="J1874">
        <f>IF(AND(D1874&lt;&gt;"dram",D1874&lt;&gt;"control"),H1874,0)</f>
        <v>16901</v>
      </c>
      <c r="K1874">
        <f>IF(D1874="dram",H1874,0)</f>
        <v>0</v>
      </c>
      <c r="L1874">
        <v>0</v>
      </c>
      <c r="M1874">
        <v>0</v>
      </c>
    </row>
    <row r="1875" spans="1:13">
      <c r="A1875">
        <v>1873</v>
      </c>
      <c r="B1875" t="s">
        <v>338</v>
      </c>
      <c r="C1875" t="s">
        <v>88</v>
      </c>
      <c r="D1875" t="s">
        <v>89</v>
      </c>
      <c r="E1875" t="s">
        <v>125</v>
      </c>
      <c r="F1875">
        <v>0</v>
      </c>
      <c r="G1875">
        <f>MAX(I1870,I1869)</f>
        <v>1913577</v>
      </c>
      <c r="H1875">
        <f>0</f>
        <v>16901</v>
      </c>
      <c r="I1875">
        <f>G1875+H1875</f>
        <v>1930478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339</v>
      </c>
      <c r="C1876" t="s">
        <v>92</v>
      </c>
      <c r="D1876" t="s">
        <v>83</v>
      </c>
      <c r="E1876" t="s">
        <v>125</v>
      </c>
      <c r="F1876">
        <v>2048</v>
      </c>
      <c r="G1876">
        <f>MAX(I1875,I1873)</f>
        <v>1930478</v>
      </c>
      <c r="H1876">
        <f>CEILING((dram_access_latency+F1876/dram_bandwidth)*frequency,1)</f>
        <v>132</v>
      </c>
      <c r="I1876">
        <f>G1876+H1876</f>
        <v>1930610</v>
      </c>
      <c r="J1876">
        <f>IF(AND(D1876&lt;&gt;"dram",D1876&lt;&gt;"control"),H1876,0)</f>
        <v>0</v>
      </c>
      <c r="K1876">
        <f>IF(D1876="dram",H1876,0)</f>
        <v>132</v>
      </c>
      <c r="L1876">
        <v>0</v>
      </c>
      <c r="M1876">
        <v>2048</v>
      </c>
    </row>
    <row r="1877" spans="1:13">
      <c r="A1877">
        <v>1875</v>
      </c>
      <c r="B1877" t="s">
        <v>335</v>
      </c>
      <c r="C1877" t="s">
        <v>82</v>
      </c>
      <c r="D1877" t="s">
        <v>83</v>
      </c>
      <c r="E1877" t="s">
        <v>126</v>
      </c>
      <c r="F1877">
        <v>524288</v>
      </c>
      <c r="G1877">
        <f>MAX(I1875,I1876)</f>
        <v>1930610</v>
      </c>
      <c r="H1877">
        <f>CEILING((dram_access_latency+F1877/dram_bandwidth)*frequency,1)</f>
        <v>8292</v>
      </c>
      <c r="I1877">
        <f>G1877+H1877</f>
        <v>1938902</v>
      </c>
      <c r="J1877">
        <f>IF(AND(D1877&lt;&gt;"dram",D1877&lt;&gt;"control"),H1877,0)</f>
        <v>0</v>
      </c>
      <c r="K1877">
        <f>IF(D1877="dram",H1877,0)</f>
        <v>8292</v>
      </c>
      <c r="L1877">
        <v>524288</v>
      </c>
      <c r="M1877">
        <v>0</v>
      </c>
    </row>
    <row r="1878" spans="1:13">
      <c r="A1878">
        <v>1876</v>
      </c>
      <c r="B1878" t="s">
        <v>337</v>
      </c>
      <c r="C1878" t="s">
        <v>82</v>
      </c>
      <c r="D1878" t="s">
        <v>83</v>
      </c>
      <c r="E1878" t="s">
        <v>126</v>
      </c>
      <c r="F1878">
        <v>16384</v>
      </c>
      <c r="G1878">
        <f>MAX(I1875,I1877)</f>
        <v>1938902</v>
      </c>
      <c r="H1878">
        <f>CEILING((dram_access_latency+F1878/dram_bandwidth)*frequency,1)</f>
        <v>356</v>
      </c>
      <c r="I1878">
        <f>G1878+H1878</f>
        <v>1939258</v>
      </c>
      <c r="J1878">
        <f>IF(AND(D1878&lt;&gt;"dram",D1878&lt;&gt;"control"),H1878,0)</f>
        <v>0</v>
      </c>
      <c r="K1878">
        <f>IF(D1878="dram",H1878,0)</f>
        <v>356</v>
      </c>
      <c r="L1878">
        <v>16384</v>
      </c>
      <c r="M1878">
        <v>0</v>
      </c>
    </row>
    <row r="1879" spans="1:13">
      <c r="A1879">
        <v>1877</v>
      </c>
      <c r="B1879" t="s">
        <v>55</v>
      </c>
      <c r="C1879" t="s">
        <v>90</v>
      </c>
      <c r="D1879" t="s">
        <v>108</v>
      </c>
      <c r="E1879" t="s">
        <v>126</v>
      </c>
      <c r="F1879">
        <v>0</v>
      </c>
      <c r="G1879">
        <f>MAX(I1874,I1874,I1792,I1877,I1794,I1878,I1876)</f>
        <v>1947379</v>
      </c>
      <c r="H1879">
        <f>'Operations'!I23</f>
        <v>16901</v>
      </c>
      <c r="I1879">
        <f>G1879+H1879</f>
        <v>1964280</v>
      </c>
      <c r="J1879">
        <f>IF(AND(D1879&lt;&gt;"dram",D1879&lt;&gt;"control"),H1879,0)</f>
        <v>16901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338</v>
      </c>
      <c r="C1880" t="s">
        <v>88</v>
      </c>
      <c r="D1880" t="s">
        <v>89</v>
      </c>
      <c r="E1880" t="s">
        <v>126</v>
      </c>
      <c r="F1880">
        <v>0</v>
      </c>
      <c r="G1880">
        <f>MAX(I1875,I1874)</f>
        <v>1930478</v>
      </c>
      <c r="H1880">
        <f>0</f>
        <v>16901</v>
      </c>
      <c r="I1880">
        <f>G1880+H1880</f>
        <v>1947379</v>
      </c>
      <c r="J1880">
        <f>IF(AND(D1880&lt;&gt;"dram",D1880&lt;&gt;"control"),H1880,0)</f>
        <v>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339</v>
      </c>
      <c r="C1881" t="s">
        <v>92</v>
      </c>
      <c r="D1881" t="s">
        <v>83</v>
      </c>
      <c r="E1881" t="s">
        <v>126</v>
      </c>
      <c r="F1881">
        <v>2048</v>
      </c>
      <c r="G1881">
        <f>MAX(I1880,I1878)</f>
        <v>1947379</v>
      </c>
      <c r="H1881">
        <f>CEILING((dram_access_latency+F1881/dram_bandwidth)*frequency,1)</f>
        <v>132</v>
      </c>
      <c r="I1881">
        <f>G1881+H1881</f>
        <v>1947511</v>
      </c>
      <c r="J1881">
        <f>IF(AND(D1881&lt;&gt;"dram",D1881&lt;&gt;"control"),H1881,0)</f>
        <v>0</v>
      </c>
      <c r="K1881">
        <f>IF(D1881="dram",H1881,0)</f>
        <v>132</v>
      </c>
      <c r="L1881">
        <v>0</v>
      </c>
      <c r="M1881">
        <v>2048</v>
      </c>
    </row>
    <row r="1882" spans="1:13">
      <c r="A1882">
        <v>1880</v>
      </c>
      <c r="B1882" t="s">
        <v>335</v>
      </c>
      <c r="C1882" t="s">
        <v>82</v>
      </c>
      <c r="D1882" t="s">
        <v>83</v>
      </c>
      <c r="E1882" t="s">
        <v>127</v>
      </c>
      <c r="F1882">
        <v>524288</v>
      </c>
      <c r="G1882">
        <f>MAX(I1880,I1881)</f>
        <v>1947511</v>
      </c>
      <c r="H1882">
        <f>CEILING((dram_access_latency+F1882/dram_bandwidth)*frequency,1)</f>
        <v>8292</v>
      </c>
      <c r="I1882">
        <f>G1882+H1882</f>
        <v>1955803</v>
      </c>
      <c r="J1882">
        <f>IF(AND(D1882&lt;&gt;"dram",D1882&lt;&gt;"control"),H1882,0)</f>
        <v>0</v>
      </c>
      <c r="K1882">
        <f>IF(D1882="dram",H1882,0)</f>
        <v>8292</v>
      </c>
      <c r="L1882">
        <v>524288</v>
      </c>
      <c r="M1882">
        <v>0</v>
      </c>
    </row>
    <row r="1883" spans="1:13">
      <c r="A1883">
        <v>1881</v>
      </c>
      <c r="B1883" t="s">
        <v>337</v>
      </c>
      <c r="C1883" t="s">
        <v>82</v>
      </c>
      <c r="D1883" t="s">
        <v>83</v>
      </c>
      <c r="E1883" t="s">
        <v>127</v>
      </c>
      <c r="F1883">
        <v>16384</v>
      </c>
      <c r="G1883">
        <f>MAX(I1880,I1882)</f>
        <v>1955803</v>
      </c>
      <c r="H1883">
        <f>CEILING((dram_access_latency+F1883/dram_bandwidth)*frequency,1)</f>
        <v>356</v>
      </c>
      <c r="I1883">
        <f>G1883+H1883</f>
        <v>1956159</v>
      </c>
      <c r="J1883">
        <f>IF(AND(D1883&lt;&gt;"dram",D1883&lt;&gt;"control"),H1883,0)</f>
        <v>0</v>
      </c>
      <c r="K1883">
        <f>IF(D1883="dram",H1883,0)</f>
        <v>356</v>
      </c>
      <c r="L1883">
        <v>16384</v>
      </c>
      <c r="M1883">
        <v>0</v>
      </c>
    </row>
    <row r="1884" spans="1:13">
      <c r="A1884">
        <v>1882</v>
      </c>
      <c r="B1884" t="s">
        <v>55</v>
      </c>
      <c r="C1884" t="s">
        <v>90</v>
      </c>
      <c r="D1884" t="s">
        <v>108</v>
      </c>
      <c r="E1884" t="s">
        <v>127</v>
      </c>
      <c r="F1884">
        <v>0</v>
      </c>
      <c r="G1884">
        <f>MAX(I1879,I1879,I1792,I1882,I1794,I1883,I1881)</f>
        <v>1964280</v>
      </c>
      <c r="H1884">
        <f>'Operations'!I23</f>
        <v>16901</v>
      </c>
      <c r="I1884">
        <f>G1884+H1884</f>
        <v>1981181</v>
      </c>
      <c r="J1884">
        <f>IF(AND(D1884&lt;&gt;"dram",D1884&lt;&gt;"control"),H1884,0)</f>
        <v>16901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338</v>
      </c>
      <c r="C1885" t="s">
        <v>88</v>
      </c>
      <c r="D1885" t="s">
        <v>89</v>
      </c>
      <c r="E1885" t="s">
        <v>127</v>
      </c>
      <c r="F1885">
        <v>0</v>
      </c>
      <c r="G1885">
        <f>MAX(I1880,I1879)</f>
        <v>1947379</v>
      </c>
      <c r="H1885">
        <f>0</f>
        <v>16901</v>
      </c>
      <c r="I1885">
        <f>G1885+H1885</f>
        <v>1964280</v>
      </c>
      <c r="J1885">
        <f>IF(AND(D1885&lt;&gt;"dram",D1885&lt;&gt;"control"),H1885,0)</f>
        <v>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339</v>
      </c>
      <c r="C1886" t="s">
        <v>92</v>
      </c>
      <c r="D1886" t="s">
        <v>83</v>
      </c>
      <c r="E1886" t="s">
        <v>127</v>
      </c>
      <c r="F1886">
        <v>2048</v>
      </c>
      <c r="G1886">
        <f>MAX(I1885,I1883)</f>
        <v>1964280</v>
      </c>
      <c r="H1886">
        <f>CEILING((dram_access_latency+F1886/dram_bandwidth)*frequency,1)</f>
        <v>132</v>
      </c>
      <c r="I1886">
        <f>G1886+H1886</f>
        <v>1964412</v>
      </c>
      <c r="J1886">
        <f>IF(AND(D1886&lt;&gt;"dram",D1886&lt;&gt;"control"),H1886,0)</f>
        <v>0</v>
      </c>
      <c r="K1886">
        <f>IF(D1886="dram",H1886,0)</f>
        <v>132</v>
      </c>
      <c r="L1886">
        <v>0</v>
      </c>
      <c r="M1886">
        <v>2048</v>
      </c>
    </row>
    <row r="1887" spans="1:13">
      <c r="A1887">
        <v>1885</v>
      </c>
      <c r="B1887" t="s">
        <v>335</v>
      </c>
      <c r="C1887" t="s">
        <v>82</v>
      </c>
      <c r="D1887" t="s">
        <v>83</v>
      </c>
      <c r="E1887" t="s">
        <v>128</v>
      </c>
      <c r="F1887">
        <v>524288</v>
      </c>
      <c r="G1887">
        <f>MAX(I1885,I1886)</f>
        <v>1964412</v>
      </c>
      <c r="H1887">
        <f>CEILING((dram_access_latency+F1887/dram_bandwidth)*frequency,1)</f>
        <v>8292</v>
      </c>
      <c r="I1887">
        <f>G1887+H1887</f>
        <v>1972704</v>
      </c>
      <c r="J1887">
        <f>IF(AND(D1887&lt;&gt;"dram",D1887&lt;&gt;"control"),H1887,0)</f>
        <v>0</v>
      </c>
      <c r="K1887">
        <f>IF(D1887="dram",H1887,0)</f>
        <v>8292</v>
      </c>
      <c r="L1887">
        <v>524288</v>
      </c>
      <c r="M1887">
        <v>0</v>
      </c>
    </row>
    <row r="1888" spans="1:13">
      <c r="A1888">
        <v>1886</v>
      </c>
      <c r="B1888" t="s">
        <v>337</v>
      </c>
      <c r="C1888" t="s">
        <v>82</v>
      </c>
      <c r="D1888" t="s">
        <v>83</v>
      </c>
      <c r="E1888" t="s">
        <v>128</v>
      </c>
      <c r="F1888">
        <v>16384</v>
      </c>
      <c r="G1888">
        <f>MAX(I1885,I1887)</f>
        <v>1972704</v>
      </c>
      <c r="H1888">
        <f>CEILING((dram_access_latency+F1888/dram_bandwidth)*frequency,1)</f>
        <v>356</v>
      </c>
      <c r="I1888">
        <f>G1888+H1888</f>
        <v>1973060</v>
      </c>
      <c r="J1888">
        <f>IF(AND(D1888&lt;&gt;"dram",D1888&lt;&gt;"control"),H1888,0)</f>
        <v>0</v>
      </c>
      <c r="K1888">
        <f>IF(D1888="dram",H1888,0)</f>
        <v>356</v>
      </c>
      <c r="L1888">
        <v>16384</v>
      </c>
      <c r="M1888">
        <v>0</v>
      </c>
    </row>
    <row r="1889" spans="1:13">
      <c r="A1889">
        <v>1887</v>
      </c>
      <c r="B1889" t="s">
        <v>55</v>
      </c>
      <c r="C1889" t="s">
        <v>90</v>
      </c>
      <c r="D1889" t="s">
        <v>108</v>
      </c>
      <c r="E1889" t="s">
        <v>128</v>
      </c>
      <c r="F1889">
        <v>0</v>
      </c>
      <c r="G1889">
        <f>MAX(I1884,I1884,I1792,I1887,I1794,I1888,I1886)</f>
        <v>1981181</v>
      </c>
      <c r="H1889">
        <f>'Operations'!I23</f>
        <v>16901</v>
      </c>
      <c r="I1889">
        <f>G1889+H1889</f>
        <v>1998082</v>
      </c>
      <c r="J1889">
        <f>IF(AND(D1889&lt;&gt;"dram",D1889&lt;&gt;"control"),H1889,0)</f>
        <v>16901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338</v>
      </c>
      <c r="C1890" t="s">
        <v>88</v>
      </c>
      <c r="D1890" t="s">
        <v>89</v>
      </c>
      <c r="E1890" t="s">
        <v>128</v>
      </c>
      <c r="F1890">
        <v>0</v>
      </c>
      <c r="G1890">
        <f>MAX(I1885,I1884)</f>
        <v>1964280</v>
      </c>
      <c r="H1890">
        <f>0</f>
        <v>16901</v>
      </c>
      <c r="I1890">
        <f>G1890+H1890</f>
        <v>1981181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339</v>
      </c>
      <c r="C1891" t="s">
        <v>92</v>
      </c>
      <c r="D1891" t="s">
        <v>83</v>
      </c>
      <c r="E1891" t="s">
        <v>128</v>
      </c>
      <c r="F1891">
        <v>2048</v>
      </c>
      <c r="G1891">
        <f>MAX(I1890,I1888)</f>
        <v>1981181</v>
      </c>
      <c r="H1891">
        <f>CEILING((dram_access_latency+F1891/dram_bandwidth)*frequency,1)</f>
        <v>132</v>
      </c>
      <c r="I1891">
        <f>G1891+H1891</f>
        <v>1981313</v>
      </c>
      <c r="J1891">
        <f>IF(AND(D1891&lt;&gt;"dram",D1891&lt;&gt;"control"),H1891,0)</f>
        <v>0</v>
      </c>
      <c r="K1891">
        <f>IF(D1891="dram",H1891,0)</f>
        <v>132</v>
      </c>
      <c r="L1891">
        <v>0</v>
      </c>
      <c r="M1891">
        <v>2048</v>
      </c>
    </row>
    <row r="1892" spans="1:13">
      <c r="A1892">
        <v>1890</v>
      </c>
      <c r="B1892" t="s">
        <v>335</v>
      </c>
      <c r="C1892" t="s">
        <v>82</v>
      </c>
      <c r="D1892" t="s">
        <v>83</v>
      </c>
      <c r="E1892" t="s">
        <v>129</v>
      </c>
      <c r="F1892">
        <v>524288</v>
      </c>
      <c r="G1892">
        <f>MAX(I1890,I1891)</f>
        <v>1981313</v>
      </c>
      <c r="H1892">
        <f>CEILING((dram_access_latency+F1892/dram_bandwidth)*frequency,1)</f>
        <v>8292</v>
      </c>
      <c r="I1892">
        <f>G1892+H1892</f>
        <v>1989605</v>
      </c>
      <c r="J1892">
        <f>IF(AND(D1892&lt;&gt;"dram",D1892&lt;&gt;"control"),H1892,0)</f>
        <v>0</v>
      </c>
      <c r="K1892">
        <f>IF(D1892="dram",H1892,0)</f>
        <v>8292</v>
      </c>
      <c r="L1892">
        <v>524288</v>
      </c>
      <c r="M1892">
        <v>0</v>
      </c>
    </row>
    <row r="1893" spans="1:13">
      <c r="A1893">
        <v>1891</v>
      </c>
      <c r="B1893" t="s">
        <v>337</v>
      </c>
      <c r="C1893" t="s">
        <v>82</v>
      </c>
      <c r="D1893" t="s">
        <v>83</v>
      </c>
      <c r="E1893" t="s">
        <v>129</v>
      </c>
      <c r="F1893">
        <v>16384</v>
      </c>
      <c r="G1893">
        <f>MAX(I1890,I1892)</f>
        <v>1989605</v>
      </c>
      <c r="H1893">
        <f>CEILING((dram_access_latency+F1893/dram_bandwidth)*frequency,1)</f>
        <v>356</v>
      </c>
      <c r="I1893">
        <f>G1893+H1893</f>
        <v>1989961</v>
      </c>
      <c r="J1893">
        <f>IF(AND(D1893&lt;&gt;"dram",D1893&lt;&gt;"control"),H1893,0)</f>
        <v>0</v>
      </c>
      <c r="K1893">
        <f>IF(D1893="dram",H1893,0)</f>
        <v>356</v>
      </c>
      <c r="L1893">
        <v>16384</v>
      </c>
      <c r="M1893">
        <v>0</v>
      </c>
    </row>
    <row r="1894" spans="1:13">
      <c r="A1894">
        <v>1892</v>
      </c>
      <c r="B1894" t="s">
        <v>55</v>
      </c>
      <c r="C1894" t="s">
        <v>90</v>
      </c>
      <c r="D1894" t="s">
        <v>108</v>
      </c>
      <c r="E1894" t="s">
        <v>129</v>
      </c>
      <c r="F1894">
        <v>0</v>
      </c>
      <c r="G1894">
        <f>MAX(I1889,I1889,I1792,I1892,I1794,I1893,I1891)</f>
        <v>1998082</v>
      </c>
      <c r="H1894">
        <f>'Operations'!I23</f>
        <v>16901</v>
      </c>
      <c r="I1894">
        <f>G1894+H1894</f>
        <v>2014983</v>
      </c>
      <c r="J1894">
        <f>IF(AND(D1894&lt;&gt;"dram",D1894&lt;&gt;"control"),H1894,0)</f>
        <v>16901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338</v>
      </c>
      <c r="C1895" t="s">
        <v>88</v>
      </c>
      <c r="D1895" t="s">
        <v>89</v>
      </c>
      <c r="E1895" t="s">
        <v>129</v>
      </c>
      <c r="F1895">
        <v>0</v>
      </c>
      <c r="G1895">
        <f>MAX(I1890,I1889)</f>
        <v>1981181</v>
      </c>
      <c r="H1895">
        <f>0</f>
        <v>16901</v>
      </c>
      <c r="I1895">
        <f>G1895+H1895</f>
        <v>1998082</v>
      </c>
      <c r="J1895">
        <f>IF(AND(D1895&lt;&gt;"dram",D1895&lt;&gt;"control"),H1895,0)</f>
        <v>0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339</v>
      </c>
      <c r="C1896" t="s">
        <v>92</v>
      </c>
      <c r="D1896" t="s">
        <v>83</v>
      </c>
      <c r="E1896" t="s">
        <v>129</v>
      </c>
      <c r="F1896">
        <v>2048</v>
      </c>
      <c r="G1896">
        <f>MAX(I1895,I1893)</f>
        <v>1998082</v>
      </c>
      <c r="H1896">
        <f>CEILING((dram_access_latency+F1896/dram_bandwidth)*frequency,1)</f>
        <v>132</v>
      </c>
      <c r="I1896">
        <f>G1896+H1896</f>
        <v>1998214</v>
      </c>
      <c r="J1896">
        <f>IF(AND(D1896&lt;&gt;"dram",D1896&lt;&gt;"control"),H1896,0)</f>
        <v>0</v>
      </c>
      <c r="K1896">
        <f>IF(D1896="dram",H1896,0)</f>
        <v>132</v>
      </c>
      <c r="L1896">
        <v>0</v>
      </c>
      <c r="M1896">
        <v>2048</v>
      </c>
    </row>
    <row r="1897" spans="1:13">
      <c r="A1897">
        <v>1895</v>
      </c>
      <c r="B1897" t="s">
        <v>335</v>
      </c>
      <c r="C1897" t="s">
        <v>82</v>
      </c>
      <c r="D1897" t="s">
        <v>83</v>
      </c>
      <c r="E1897" t="s">
        <v>130</v>
      </c>
      <c r="F1897">
        <v>524288</v>
      </c>
      <c r="G1897">
        <f>MAX(I1895,I1896)</f>
        <v>1998214</v>
      </c>
      <c r="H1897">
        <f>CEILING((dram_access_latency+F1897/dram_bandwidth)*frequency,1)</f>
        <v>8292</v>
      </c>
      <c r="I1897">
        <f>G1897+H1897</f>
        <v>2006506</v>
      </c>
      <c r="J1897">
        <f>IF(AND(D1897&lt;&gt;"dram",D1897&lt;&gt;"control"),H1897,0)</f>
        <v>0</v>
      </c>
      <c r="K1897">
        <f>IF(D1897="dram",H1897,0)</f>
        <v>8292</v>
      </c>
      <c r="L1897">
        <v>524288</v>
      </c>
      <c r="M1897">
        <v>0</v>
      </c>
    </row>
    <row r="1898" spans="1:13">
      <c r="A1898">
        <v>1896</v>
      </c>
      <c r="B1898" t="s">
        <v>337</v>
      </c>
      <c r="C1898" t="s">
        <v>82</v>
      </c>
      <c r="D1898" t="s">
        <v>83</v>
      </c>
      <c r="E1898" t="s">
        <v>130</v>
      </c>
      <c r="F1898">
        <v>16384</v>
      </c>
      <c r="G1898">
        <f>MAX(I1895,I1897)</f>
        <v>2006506</v>
      </c>
      <c r="H1898">
        <f>CEILING((dram_access_latency+F1898/dram_bandwidth)*frequency,1)</f>
        <v>356</v>
      </c>
      <c r="I1898">
        <f>G1898+H1898</f>
        <v>2006862</v>
      </c>
      <c r="J1898">
        <f>IF(AND(D1898&lt;&gt;"dram",D1898&lt;&gt;"control"),H1898,0)</f>
        <v>0</v>
      </c>
      <c r="K1898">
        <f>IF(D1898="dram",H1898,0)</f>
        <v>356</v>
      </c>
      <c r="L1898">
        <v>16384</v>
      </c>
      <c r="M1898">
        <v>0</v>
      </c>
    </row>
    <row r="1899" spans="1:13">
      <c r="A1899">
        <v>1897</v>
      </c>
      <c r="B1899" t="s">
        <v>55</v>
      </c>
      <c r="C1899" t="s">
        <v>90</v>
      </c>
      <c r="D1899" t="s">
        <v>108</v>
      </c>
      <c r="E1899" t="s">
        <v>130</v>
      </c>
      <c r="F1899">
        <v>0</v>
      </c>
      <c r="G1899">
        <f>MAX(I1894,I1894,I1792,I1897,I1794,I1898,I1896)</f>
        <v>2014983</v>
      </c>
      <c r="H1899">
        <f>'Operations'!I23</f>
        <v>16901</v>
      </c>
      <c r="I1899">
        <f>G1899+H1899</f>
        <v>2031884</v>
      </c>
      <c r="J1899">
        <f>IF(AND(D1899&lt;&gt;"dram",D1899&lt;&gt;"control"),H1899,0)</f>
        <v>16901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338</v>
      </c>
      <c r="C1900" t="s">
        <v>88</v>
      </c>
      <c r="D1900" t="s">
        <v>89</v>
      </c>
      <c r="E1900" t="s">
        <v>130</v>
      </c>
      <c r="F1900">
        <v>0</v>
      </c>
      <c r="G1900">
        <f>MAX(I1895,I1894)</f>
        <v>1998082</v>
      </c>
      <c r="H1900">
        <f>0</f>
        <v>16901</v>
      </c>
      <c r="I1900">
        <f>G1900+H1900</f>
        <v>2014983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339</v>
      </c>
      <c r="C1901" t="s">
        <v>92</v>
      </c>
      <c r="D1901" t="s">
        <v>83</v>
      </c>
      <c r="E1901" t="s">
        <v>130</v>
      </c>
      <c r="F1901">
        <v>2048</v>
      </c>
      <c r="G1901">
        <f>MAX(I1900,I1898)</f>
        <v>2014983</v>
      </c>
      <c r="H1901">
        <f>CEILING((dram_access_latency+F1901/dram_bandwidth)*frequency,1)</f>
        <v>132</v>
      </c>
      <c r="I1901">
        <f>G1901+H1901</f>
        <v>2015115</v>
      </c>
      <c r="J1901">
        <f>IF(AND(D1901&lt;&gt;"dram",D1901&lt;&gt;"control"),H1901,0)</f>
        <v>0</v>
      </c>
      <c r="K1901">
        <f>IF(D1901="dram",H1901,0)</f>
        <v>132</v>
      </c>
      <c r="L1901">
        <v>0</v>
      </c>
      <c r="M1901">
        <v>2048</v>
      </c>
    </row>
    <row r="1902" spans="1:13">
      <c r="A1902">
        <v>1900</v>
      </c>
      <c r="B1902" t="s">
        <v>335</v>
      </c>
      <c r="C1902" t="s">
        <v>82</v>
      </c>
      <c r="D1902" t="s">
        <v>83</v>
      </c>
      <c r="E1902" t="s">
        <v>131</v>
      </c>
      <c r="F1902">
        <v>524288</v>
      </c>
      <c r="G1902">
        <f>MAX(I1900,I1901)</f>
        <v>2015115</v>
      </c>
      <c r="H1902">
        <f>CEILING((dram_access_latency+F1902/dram_bandwidth)*frequency,1)</f>
        <v>8292</v>
      </c>
      <c r="I1902">
        <f>G1902+H1902</f>
        <v>2023407</v>
      </c>
      <c r="J1902">
        <f>IF(AND(D1902&lt;&gt;"dram",D1902&lt;&gt;"control"),H1902,0)</f>
        <v>0</v>
      </c>
      <c r="K1902">
        <f>IF(D1902="dram",H1902,0)</f>
        <v>8292</v>
      </c>
      <c r="L1902">
        <v>524288</v>
      </c>
      <c r="M1902">
        <v>0</v>
      </c>
    </row>
    <row r="1903" spans="1:13">
      <c r="A1903">
        <v>1901</v>
      </c>
      <c r="B1903" t="s">
        <v>337</v>
      </c>
      <c r="C1903" t="s">
        <v>82</v>
      </c>
      <c r="D1903" t="s">
        <v>83</v>
      </c>
      <c r="E1903" t="s">
        <v>131</v>
      </c>
      <c r="F1903">
        <v>16384</v>
      </c>
      <c r="G1903">
        <f>MAX(I1900,I1902)</f>
        <v>2023407</v>
      </c>
      <c r="H1903">
        <f>CEILING((dram_access_latency+F1903/dram_bandwidth)*frequency,1)</f>
        <v>356</v>
      </c>
      <c r="I1903">
        <f>G1903+H1903</f>
        <v>2023763</v>
      </c>
      <c r="J1903">
        <f>IF(AND(D1903&lt;&gt;"dram",D1903&lt;&gt;"control"),H1903,0)</f>
        <v>0</v>
      </c>
      <c r="K1903">
        <f>IF(D1903="dram",H1903,0)</f>
        <v>356</v>
      </c>
      <c r="L1903">
        <v>16384</v>
      </c>
      <c r="M1903">
        <v>0</v>
      </c>
    </row>
    <row r="1904" spans="1:13">
      <c r="A1904">
        <v>1902</v>
      </c>
      <c r="B1904" t="s">
        <v>55</v>
      </c>
      <c r="C1904" t="s">
        <v>90</v>
      </c>
      <c r="D1904" t="s">
        <v>108</v>
      </c>
      <c r="E1904" t="s">
        <v>131</v>
      </c>
      <c r="F1904">
        <v>0</v>
      </c>
      <c r="G1904">
        <f>MAX(I1899,I1899,I1792,I1902,I1794,I1903,I1901)</f>
        <v>2031884</v>
      </c>
      <c r="H1904">
        <f>'Operations'!I23</f>
        <v>16901</v>
      </c>
      <c r="I1904">
        <f>G1904+H1904</f>
        <v>2048785</v>
      </c>
      <c r="J1904">
        <f>IF(AND(D1904&lt;&gt;"dram",D1904&lt;&gt;"control"),H1904,0)</f>
        <v>16901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338</v>
      </c>
      <c r="C1905" t="s">
        <v>88</v>
      </c>
      <c r="D1905" t="s">
        <v>89</v>
      </c>
      <c r="E1905" t="s">
        <v>131</v>
      </c>
      <c r="F1905">
        <v>0</v>
      </c>
      <c r="G1905">
        <f>MAX(I1900,I1899)</f>
        <v>2014983</v>
      </c>
      <c r="H1905">
        <f>0</f>
        <v>16901</v>
      </c>
      <c r="I1905">
        <f>G1905+H1905</f>
        <v>2031884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339</v>
      </c>
      <c r="C1906" t="s">
        <v>92</v>
      </c>
      <c r="D1906" t="s">
        <v>83</v>
      </c>
      <c r="E1906" t="s">
        <v>131</v>
      </c>
      <c r="F1906">
        <v>2048</v>
      </c>
      <c r="G1906">
        <f>MAX(I1905,I1903)</f>
        <v>2031884</v>
      </c>
      <c r="H1906">
        <f>CEILING((dram_access_latency+F1906/dram_bandwidth)*frequency,1)</f>
        <v>132</v>
      </c>
      <c r="I1906">
        <f>G1906+H1906</f>
        <v>2032016</v>
      </c>
      <c r="J1906">
        <f>IF(AND(D1906&lt;&gt;"dram",D1906&lt;&gt;"control"),H1906,0)</f>
        <v>0</v>
      </c>
      <c r="K1906">
        <f>IF(D1906="dram",H1906,0)</f>
        <v>132</v>
      </c>
      <c r="L1906">
        <v>0</v>
      </c>
      <c r="M1906">
        <v>2048</v>
      </c>
    </row>
    <row r="1907" spans="1:13">
      <c r="A1907">
        <v>1905</v>
      </c>
      <c r="B1907" t="s">
        <v>335</v>
      </c>
      <c r="C1907" t="s">
        <v>82</v>
      </c>
      <c r="D1907" t="s">
        <v>83</v>
      </c>
      <c r="E1907" t="s">
        <v>132</v>
      </c>
      <c r="F1907">
        <v>524288</v>
      </c>
      <c r="G1907">
        <f>MAX(I1905,I1906)</f>
        <v>2032016</v>
      </c>
      <c r="H1907">
        <f>CEILING((dram_access_latency+F1907/dram_bandwidth)*frequency,1)</f>
        <v>8292</v>
      </c>
      <c r="I1907">
        <f>G1907+H1907</f>
        <v>2040308</v>
      </c>
      <c r="J1907">
        <f>IF(AND(D1907&lt;&gt;"dram",D1907&lt;&gt;"control"),H1907,0)</f>
        <v>0</v>
      </c>
      <c r="K1907">
        <f>IF(D1907="dram",H1907,0)</f>
        <v>8292</v>
      </c>
      <c r="L1907">
        <v>524288</v>
      </c>
      <c r="M1907">
        <v>0</v>
      </c>
    </row>
    <row r="1908" spans="1:13">
      <c r="A1908">
        <v>1906</v>
      </c>
      <c r="B1908" t="s">
        <v>337</v>
      </c>
      <c r="C1908" t="s">
        <v>82</v>
      </c>
      <c r="D1908" t="s">
        <v>83</v>
      </c>
      <c r="E1908" t="s">
        <v>132</v>
      </c>
      <c r="F1908">
        <v>16384</v>
      </c>
      <c r="G1908">
        <f>MAX(I1905,I1907)</f>
        <v>2040308</v>
      </c>
      <c r="H1908">
        <f>CEILING((dram_access_latency+F1908/dram_bandwidth)*frequency,1)</f>
        <v>356</v>
      </c>
      <c r="I1908">
        <f>G1908+H1908</f>
        <v>2040664</v>
      </c>
      <c r="J1908">
        <f>IF(AND(D1908&lt;&gt;"dram",D1908&lt;&gt;"control"),H1908,0)</f>
        <v>0</v>
      </c>
      <c r="K1908">
        <f>IF(D1908="dram",H1908,0)</f>
        <v>356</v>
      </c>
      <c r="L1908">
        <v>16384</v>
      </c>
      <c r="M1908">
        <v>0</v>
      </c>
    </row>
    <row r="1909" spans="1:13">
      <c r="A1909">
        <v>1907</v>
      </c>
      <c r="B1909" t="s">
        <v>55</v>
      </c>
      <c r="C1909" t="s">
        <v>90</v>
      </c>
      <c r="D1909" t="s">
        <v>108</v>
      </c>
      <c r="E1909" t="s">
        <v>132</v>
      </c>
      <c r="F1909">
        <v>0</v>
      </c>
      <c r="G1909">
        <f>MAX(I1904,I1904,I1792,I1907,I1794,I1908,I1906)</f>
        <v>2048785</v>
      </c>
      <c r="H1909">
        <f>'Operations'!I23</f>
        <v>16901</v>
      </c>
      <c r="I1909">
        <f>G1909+H1909</f>
        <v>2065686</v>
      </c>
      <c r="J1909">
        <f>IF(AND(D1909&lt;&gt;"dram",D1909&lt;&gt;"control"),H1909,0)</f>
        <v>16901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338</v>
      </c>
      <c r="C1910" t="s">
        <v>88</v>
      </c>
      <c r="D1910" t="s">
        <v>89</v>
      </c>
      <c r="E1910" t="s">
        <v>132</v>
      </c>
      <c r="F1910">
        <v>0</v>
      </c>
      <c r="G1910">
        <f>MAX(I1905,I1904)</f>
        <v>2031884</v>
      </c>
      <c r="H1910">
        <f>0</f>
        <v>16901</v>
      </c>
      <c r="I1910">
        <f>G1910+H1910</f>
        <v>2048785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339</v>
      </c>
      <c r="C1911" t="s">
        <v>92</v>
      </c>
      <c r="D1911" t="s">
        <v>83</v>
      </c>
      <c r="E1911" t="s">
        <v>132</v>
      </c>
      <c r="F1911">
        <v>2048</v>
      </c>
      <c r="G1911">
        <f>MAX(I1910,I1908)</f>
        <v>2048785</v>
      </c>
      <c r="H1911">
        <f>CEILING((dram_access_latency+F1911/dram_bandwidth)*frequency,1)</f>
        <v>132</v>
      </c>
      <c r="I1911">
        <f>G1911+H1911</f>
        <v>2048917</v>
      </c>
      <c r="J1911">
        <f>IF(AND(D1911&lt;&gt;"dram",D1911&lt;&gt;"control"),H1911,0)</f>
        <v>0</v>
      </c>
      <c r="K1911">
        <f>IF(D1911="dram",H1911,0)</f>
        <v>132</v>
      </c>
      <c r="L1911">
        <v>0</v>
      </c>
      <c r="M1911">
        <v>2048</v>
      </c>
    </row>
    <row r="1912" spans="1:13">
      <c r="A1912">
        <v>1910</v>
      </c>
      <c r="B1912" t="s">
        <v>335</v>
      </c>
      <c r="C1912" t="s">
        <v>82</v>
      </c>
      <c r="D1912" t="s">
        <v>83</v>
      </c>
      <c r="E1912" t="s">
        <v>133</v>
      </c>
      <c r="F1912">
        <v>524288</v>
      </c>
      <c r="G1912">
        <f>MAX(I1910,I1911)</f>
        <v>2048917</v>
      </c>
      <c r="H1912">
        <f>CEILING((dram_access_latency+F1912/dram_bandwidth)*frequency,1)</f>
        <v>8292</v>
      </c>
      <c r="I1912">
        <f>G1912+H1912</f>
        <v>2057209</v>
      </c>
      <c r="J1912">
        <f>IF(AND(D1912&lt;&gt;"dram",D1912&lt;&gt;"control"),H1912,0)</f>
        <v>0</v>
      </c>
      <c r="K1912">
        <f>IF(D1912="dram",H1912,0)</f>
        <v>8292</v>
      </c>
      <c r="L1912">
        <v>524288</v>
      </c>
      <c r="M1912">
        <v>0</v>
      </c>
    </row>
    <row r="1913" spans="1:13">
      <c r="A1913">
        <v>1911</v>
      </c>
      <c r="B1913" t="s">
        <v>337</v>
      </c>
      <c r="C1913" t="s">
        <v>82</v>
      </c>
      <c r="D1913" t="s">
        <v>83</v>
      </c>
      <c r="E1913" t="s">
        <v>133</v>
      </c>
      <c r="F1913">
        <v>16384</v>
      </c>
      <c r="G1913">
        <f>MAX(I1910,I1912)</f>
        <v>2057209</v>
      </c>
      <c r="H1913">
        <f>CEILING((dram_access_latency+F1913/dram_bandwidth)*frequency,1)</f>
        <v>356</v>
      </c>
      <c r="I1913">
        <f>G1913+H1913</f>
        <v>2057565</v>
      </c>
      <c r="J1913">
        <f>IF(AND(D1913&lt;&gt;"dram",D1913&lt;&gt;"control"),H1913,0)</f>
        <v>0</v>
      </c>
      <c r="K1913">
        <f>IF(D1913="dram",H1913,0)</f>
        <v>356</v>
      </c>
      <c r="L1913">
        <v>16384</v>
      </c>
      <c r="M1913">
        <v>0</v>
      </c>
    </row>
    <row r="1914" spans="1:13">
      <c r="A1914">
        <v>1912</v>
      </c>
      <c r="B1914" t="s">
        <v>55</v>
      </c>
      <c r="C1914" t="s">
        <v>90</v>
      </c>
      <c r="D1914" t="s">
        <v>108</v>
      </c>
      <c r="E1914" t="s">
        <v>133</v>
      </c>
      <c r="F1914">
        <v>0</v>
      </c>
      <c r="G1914">
        <f>MAX(I1909,I1909,I1792,I1912,I1794,I1913,I1911)</f>
        <v>2065686</v>
      </c>
      <c r="H1914">
        <f>'Operations'!I23</f>
        <v>16901</v>
      </c>
      <c r="I1914">
        <f>G1914+H1914</f>
        <v>2082587</v>
      </c>
      <c r="J1914">
        <f>IF(AND(D1914&lt;&gt;"dram",D1914&lt;&gt;"control"),H1914,0)</f>
        <v>16901</v>
      </c>
      <c r="K1914">
        <f>IF(D1914="dram",H1914,0)</f>
        <v>0</v>
      </c>
      <c r="L1914">
        <v>0</v>
      </c>
      <c r="M1914">
        <v>0</v>
      </c>
    </row>
    <row r="1915" spans="1:13">
      <c r="A1915">
        <v>1913</v>
      </c>
      <c r="B1915" t="s">
        <v>338</v>
      </c>
      <c r="C1915" t="s">
        <v>88</v>
      </c>
      <c r="D1915" t="s">
        <v>89</v>
      </c>
      <c r="E1915" t="s">
        <v>133</v>
      </c>
      <c r="F1915">
        <v>0</v>
      </c>
      <c r="G1915">
        <f>MAX(I1910,I1909)</f>
        <v>2048785</v>
      </c>
      <c r="H1915">
        <f>0</f>
        <v>16901</v>
      </c>
      <c r="I1915">
        <f>G1915+H1915</f>
        <v>2065686</v>
      </c>
      <c r="J1915">
        <f>IF(AND(D1915&lt;&gt;"dram",D1915&lt;&gt;"control"),H1915,0)</f>
        <v>0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339</v>
      </c>
      <c r="C1916" t="s">
        <v>92</v>
      </c>
      <c r="D1916" t="s">
        <v>83</v>
      </c>
      <c r="E1916" t="s">
        <v>133</v>
      </c>
      <c r="F1916">
        <v>2048</v>
      </c>
      <c r="G1916">
        <f>MAX(I1915,I1913)</f>
        <v>2065686</v>
      </c>
      <c r="H1916">
        <f>CEILING((dram_access_latency+F1916/dram_bandwidth)*frequency,1)</f>
        <v>132</v>
      </c>
      <c r="I1916">
        <f>G1916+H1916</f>
        <v>2065818</v>
      </c>
      <c r="J1916">
        <f>IF(AND(D1916&lt;&gt;"dram",D1916&lt;&gt;"control"),H1916,0)</f>
        <v>0</v>
      </c>
      <c r="K1916">
        <f>IF(D1916="dram",H1916,0)</f>
        <v>132</v>
      </c>
      <c r="L1916">
        <v>0</v>
      </c>
      <c r="M1916">
        <v>2048</v>
      </c>
    </row>
    <row r="1917" spans="1:13">
      <c r="A1917">
        <v>1915</v>
      </c>
      <c r="B1917" t="s">
        <v>335</v>
      </c>
      <c r="C1917" t="s">
        <v>82</v>
      </c>
      <c r="D1917" t="s">
        <v>83</v>
      </c>
      <c r="E1917" t="s">
        <v>134</v>
      </c>
      <c r="F1917">
        <v>524288</v>
      </c>
      <c r="G1917">
        <f>MAX(I1915,I1916)</f>
        <v>2065818</v>
      </c>
      <c r="H1917">
        <f>CEILING((dram_access_latency+F1917/dram_bandwidth)*frequency,1)</f>
        <v>8292</v>
      </c>
      <c r="I1917">
        <f>G1917+H1917</f>
        <v>2074110</v>
      </c>
      <c r="J1917">
        <f>IF(AND(D1917&lt;&gt;"dram",D1917&lt;&gt;"control"),H1917,0)</f>
        <v>0</v>
      </c>
      <c r="K1917">
        <f>IF(D1917="dram",H1917,0)</f>
        <v>8292</v>
      </c>
      <c r="L1917">
        <v>524288</v>
      </c>
      <c r="M1917">
        <v>0</v>
      </c>
    </row>
    <row r="1918" spans="1:13">
      <c r="A1918">
        <v>1916</v>
      </c>
      <c r="B1918" t="s">
        <v>337</v>
      </c>
      <c r="C1918" t="s">
        <v>82</v>
      </c>
      <c r="D1918" t="s">
        <v>83</v>
      </c>
      <c r="E1918" t="s">
        <v>134</v>
      </c>
      <c r="F1918">
        <v>16384</v>
      </c>
      <c r="G1918">
        <f>MAX(I1915,I1917)</f>
        <v>2074110</v>
      </c>
      <c r="H1918">
        <f>CEILING((dram_access_latency+F1918/dram_bandwidth)*frequency,1)</f>
        <v>356</v>
      </c>
      <c r="I1918">
        <f>G1918+H1918</f>
        <v>2074466</v>
      </c>
      <c r="J1918">
        <f>IF(AND(D1918&lt;&gt;"dram",D1918&lt;&gt;"control"),H1918,0)</f>
        <v>0</v>
      </c>
      <c r="K1918">
        <f>IF(D1918="dram",H1918,0)</f>
        <v>356</v>
      </c>
      <c r="L1918">
        <v>16384</v>
      </c>
      <c r="M1918">
        <v>0</v>
      </c>
    </row>
    <row r="1919" spans="1:13">
      <c r="A1919">
        <v>1917</v>
      </c>
      <c r="B1919" t="s">
        <v>55</v>
      </c>
      <c r="C1919" t="s">
        <v>90</v>
      </c>
      <c r="D1919" t="s">
        <v>108</v>
      </c>
      <c r="E1919" t="s">
        <v>134</v>
      </c>
      <c r="F1919">
        <v>0</v>
      </c>
      <c r="G1919">
        <f>MAX(I1914,I1914,I1792,I1917,I1794,I1918,I1916)</f>
        <v>2082587</v>
      </c>
      <c r="H1919">
        <f>'Operations'!I23</f>
        <v>16901</v>
      </c>
      <c r="I1919">
        <f>G1919+H1919</f>
        <v>2099488</v>
      </c>
      <c r="J1919">
        <f>IF(AND(D1919&lt;&gt;"dram",D1919&lt;&gt;"control"),H1919,0)</f>
        <v>16901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338</v>
      </c>
      <c r="C1920" t="s">
        <v>88</v>
      </c>
      <c r="D1920" t="s">
        <v>89</v>
      </c>
      <c r="E1920" t="s">
        <v>134</v>
      </c>
      <c r="F1920">
        <v>0</v>
      </c>
      <c r="G1920">
        <f>MAX(I1915,I1914)</f>
        <v>2065686</v>
      </c>
      <c r="H1920">
        <f>0</f>
        <v>16901</v>
      </c>
      <c r="I1920">
        <f>G1920+H1920</f>
        <v>2082587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339</v>
      </c>
      <c r="C1921" t="s">
        <v>92</v>
      </c>
      <c r="D1921" t="s">
        <v>83</v>
      </c>
      <c r="E1921" t="s">
        <v>134</v>
      </c>
      <c r="F1921">
        <v>2048</v>
      </c>
      <c r="G1921">
        <f>MAX(I1920,I1918)</f>
        <v>2082587</v>
      </c>
      <c r="H1921">
        <f>CEILING((dram_access_latency+F1921/dram_bandwidth)*frequency,1)</f>
        <v>132</v>
      </c>
      <c r="I1921">
        <f>G1921+H1921</f>
        <v>2082719</v>
      </c>
      <c r="J1921">
        <f>IF(AND(D1921&lt;&gt;"dram",D1921&lt;&gt;"control"),H1921,0)</f>
        <v>0</v>
      </c>
      <c r="K1921">
        <f>IF(D1921="dram",H1921,0)</f>
        <v>132</v>
      </c>
      <c r="L1921">
        <v>0</v>
      </c>
      <c r="M1921">
        <v>2048</v>
      </c>
    </row>
    <row r="1922" spans="1:13">
      <c r="A1922">
        <v>1920</v>
      </c>
      <c r="B1922" t="s">
        <v>335</v>
      </c>
      <c r="C1922" t="s">
        <v>82</v>
      </c>
      <c r="D1922" t="s">
        <v>83</v>
      </c>
      <c r="E1922" t="s">
        <v>135</v>
      </c>
      <c r="F1922">
        <v>524288</v>
      </c>
      <c r="G1922">
        <f>MAX(I1920,I1921)</f>
        <v>2082719</v>
      </c>
      <c r="H1922">
        <f>CEILING((dram_access_latency+F1922/dram_bandwidth)*frequency,1)</f>
        <v>8292</v>
      </c>
      <c r="I1922">
        <f>G1922+H1922</f>
        <v>2091011</v>
      </c>
      <c r="J1922">
        <f>IF(AND(D1922&lt;&gt;"dram",D1922&lt;&gt;"control"),H1922,0)</f>
        <v>0</v>
      </c>
      <c r="K1922">
        <f>IF(D1922="dram",H1922,0)</f>
        <v>8292</v>
      </c>
      <c r="L1922">
        <v>524288</v>
      </c>
      <c r="M1922">
        <v>0</v>
      </c>
    </row>
    <row r="1923" spans="1:13">
      <c r="A1923">
        <v>1921</v>
      </c>
      <c r="B1923" t="s">
        <v>337</v>
      </c>
      <c r="C1923" t="s">
        <v>82</v>
      </c>
      <c r="D1923" t="s">
        <v>83</v>
      </c>
      <c r="E1923" t="s">
        <v>135</v>
      </c>
      <c r="F1923">
        <v>16384</v>
      </c>
      <c r="G1923">
        <f>MAX(I1920,I1922)</f>
        <v>2091011</v>
      </c>
      <c r="H1923">
        <f>CEILING((dram_access_latency+F1923/dram_bandwidth)*frequency,1)</f>
        <v>356</v>
      </c>
      <c r="I1923">
        <f>G1923+H1923</f>
        <v>2091367</v>
      </c>
      <c r="J1923">
        <f>IF(AND(D1923&lt;&gt;"dram",D1923&lt;&gt;"control"),H1923,0)</f>
        <v>0</v>
      </c>
      <c r="K1923">
        <f>IF(D1923="dram",H1923,0)</f>
        <v>356</v>
      </c>
      <c r="L1923">
        <v>16384</v>
      </c>
      <c r="M1923">
        <v>0</v>
      </c>
    </row>
    <row r="1924" spans="1:13">
      <c r="A1924">
        <v>1922</v>
      </c>
      <c r="B1924" t="s">
        <v>55</v>
      </c>
      <c r="C1924" t="s">
        <v>90</v>
      </c>
      <c r="D1924" t="s">
        <v>108</v>
      </c>
      <c r="E1924" t="s">
        <v>135</v>
      </c>
      <c r="F1924">
        <v>0</v>
      </c>
      <c r="G1924">
        <f>MAX(I1919,I1919,I1792,I1922,I1794,I1923,I1921)</f>
        <v>2099488</v>
      </c>
      <c r="H1924">
        <f>'Operations'!I23</f>
        <v>16901</v>
      </c>
      <c r="I1924">
        <f>G1924+H1924</f>
        <v>2116389</v>
      </c>
      <c r="J1924">
        <f>IF(AND(D1924&lt;&gt;"dram",D1924&lt;&gt;"control"),H1924,0)</f>
        <v>16901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338</v>
      </c>
      <c r="C1925" t="s">
        <v>88</v>
      </c>
      <c r="D1925" t="s">
        <v>89</v>
      </c>
      <c r="E1925" t="s">
        <v>135</v>
      </c>
      <c r="F1925">
        <v>0</v>
      </c>
      <c r="G1925">
        <f>MAX(I1920,I1919)</f>
        <v>2082587</v>
      </c>
      <c r="H1925">
        <f>0</f>
        <v>16901</v>
      </c>
      <c r="I1925">
        <f>G1925+H1925</f>
        <v>2099488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339</v>
      </c>
      <c r="C1926" t="s">
        <v>92</v>
      </c>
      <c r="D1926" t="s">
        <v>83</v>
      </c>
      <c r="E1926" t="s">
        <v>135</v>
      </c>
      <c r="F1926">
        <v>2048</v>
      </c>
      <c r="G1926">
        <f>MAX(I1925,I1923)</f>
        <v>2099488</v>
      </c>
      <c r="H1926">
        <f>CEILING((dram_access_latency+F1926/dram_bandwidth)*frequency,1)</f>
        <v>132</v>
      </c>
      <c r="I1926">
        <f>G1926+H1926</f>
        <v>2099620</v>
      </c>
      <c r="J1926">
        <f>IF(AND(D1926&lt;&gt;"dram",D1926&lt;&gt;"control"),H1926,0)</f>
        <v>0</v>
      </c>
      <c r="K1926">
        <f>IF(D1926="dram",H1926,0)</f>
        <v>132</v>
      </c>
      <c r="L1926">
        <v>0</v>
      </c>
      <c r="M1926">
        <v>2048</v>
      </c>
    </row>
    <row r="1927" spans="1:13">
      <c r="A1927">
        <v>1925</v>
      </c>
      <c r="B1927" t="s">
        <v>335</v>
      </c>
      <c r="C1927" t="s">
        <v>82</v>
      </c>
      <c r="D1927" t="s">
        <v>83</v>
      </c>
      <c r="E1927" t="s">
        <v>136</v>
      </c>
      <c r="F1927">
        <v>524288</v>
      </c>
      <c r="G1927">
        <f>MAX(I1925,I1926)</f>
        <v>2099620</v>
      </c>
      <c r="H1927">
        <f>CEILING((dram_access_latency+F1927/dram_bandwidth)*frequency,1)</f>
        <v>8292</v>
      </c>
      <c r="I1927">
        <f>G1927+H1927</f>
        <v>2107912</v>
      </c>
      <c r="J1927">
        <f>IF(AND(D1927&lt;&gt;"dram",D1927&lt;&gt;"control"),H1927,0)</f>
        <v>0</v>
      </c>
      <c r="K1927">
        <f>IF(D1927="dram",H1927,0)</f>
        <v>8292</v>
      </c>
      <c r="L1927">
        <v>524288</v>
      </c>
      <c r="M1927">
        <v>0</v>
      </c>
    </row>
    <row r="1928" spans="1:13">
      <c r="A1928">
        <v>1926</v>
      </c>
      <c r="B1928" t="s">
        <v>337</v>
      </c>
      <c r="C1928" t="s">
        <v>82</v>
      </c>
      <c r="D1928" t="s">
        <v>83</v>
      </c>
      <c r="E1928" t="s">
        <v>136</v>
      </c>
      <c r="F1928">
        <v>16384</v>
      </c>
      <c r="G1928">
        <f>MAX(I1925,I1927)</f>
        <v>2107912</v>
      </c>
      <c r="H1928">
        <f>CEILING((dram_access_latency+F1928/dram_bandwidth)*frequency,1)</f>
        <v>356</v>
      </c>
      <c r="I1928">
        <f>G1928+H1928</f>
        <v>2108268</v>
      </c>
      <c r="J1928">
        <f>IF(AND(D1928&lt;&gt;"dram",D1928&lt;&gt;"control"),H1928,0)</f>
        <v>0</v>
      </c>
      <c r="K1928">
        <f>IF(D1928="dram",H1928,0)</f>
        <v>356</v>
      </c>
      <c r="L1928">
        <v>16384</v>
      </c>
      <c r="M1928">
        <v>0</v>
      </c>
    </row>
    <row r="1929" spans="1:13">
      <c r="A1929">
        <v>1927</v>
      </c>
      <c r="B1929" t="s">
        <v>55</v>
      </c>
      <c r="C1929" t="s">
        <v>90</v>
      </c>
      <c r="D1929" t="s">
        <v>108</v>
      </c>
      <c r="E1929" t="s">
        <v>136</v>
      </c>
      <c r="F1929">
        <v>0</v>
      </c>
      <c r="G1929">
        <f>MAX(I1924,I1924,I1792,I1927,I1794,I1928,I1926)</f>
        <v>2116389</v>
      </c>
      <c r="H1929">
        <f>'Operations'!I23</f>
        <v>16901</v>
      </c>
      <c r="I1929">
        <f>G1929+H1929</f>
        <v>2133290</v>
      </c>
      <c r="J1929">
        <f>IF(AND(D1929&lt;&gt;"dram",D1929&lt;&gt;"control"),H1929,0)</f>
        <v>16901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338</v>
      </c>
      <c r="C1930" t="s">
        <v>88</v>
      </c>
      <c r="D1930" t="s">
        <v>89</v>
      </c>
      <c r="E1930" t="s">
        <v>136</v>
      </c>
      <c r="F1930">
        <v>0</v>
      </c>
      <c r="G1930">
        <f>MAX(I1925,I1924)</f>
        <v>2099488</v>
      </c>
      <c r="H1930">
        <f>0</f>
        <v>16901</v>
      </c>
      <c r="I1930">
        <f>G1930+H1930</f>
        <v>2116389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339</v>
      </c>
      <c r="C1931" t="s">
        <v>92</v>
      </c>
      <c r="D1931" t="s">
        <v>83</v>
      </c>
      <c r="E1931" t="s">
        <v>136</v>
      </c>
      <c r="F1931">
        <v>2048</v>
      </c>
      <c r="G1931">
        <f>MAX(I1930,I1928)</f>
        <v>2116389</v>
      </c>
      <c r="H1931">
        <f>CEILING((dram_access_latency+F1931/dram_bandwidth)*frequency,1)</f>
        <v>132</v>
      </c>
      <c r="I1931">
        <f>G1931+H1931</f>
        <v>2116521</v>
      </c>
      <c r="J1931">
        <f>IF(AND(D1931&lt;&gt;"dram",D1931&lt;&gt;"control"),H1931,0)</f>
        <v>0</v>
      </c>
      <c r="K1931">
        <f>IF(D1931="dram",H1931,0)</f>
        <v>132</v>
      </c>
      <c r="L1931">
        <v>0</v>
      </c>
      <c r="M1931">
        <v>2048</v>
      </c>
    </row>
    <row r="1932" spans="1:13">
      <c r="A1932">
        <v>1930</v>
      </c>
      <c r="B1932" t="s">
        <v>335</v>
      </c>
      <c r="C1932" t="s">
        <v>82</v>
      </c>
      <c r="D1932" t="s">
        <v>83</v>
      </c>
      <c r="E1932" t="s">
        <v>137</v>
      </c>
      <c r="F1932">
        <v>524288</v>
      </c>
      <c r="G1932">
        <f>MAX(I1930,I1931)</f>
        <v>2116521</v>
      </c>
      <c r="H1932">
        <f>CEILING((dram_access_latency+F1932/dram_bandwidth)*frequency,1)</f>
        <v>8292</v>
      </c>
      <c r="I1932">
        <f>G1932+H1932</f>
        <v>2124813</v>
      </c>
      <c r="J1932">
        <f>IF(AND(D1932&lt;&gt;"dram",D1932&lt;&gt;"control"),H1932,0)</f>
        <v>0</v>
      </c>
      <c r="K1932">
        <f>IF(D1932="dram",H1932,0)</f>
        <v>8292</v>
      </c>
      <c r="L1932">
        <v>524288</v>
      </c>
      <c r="M1932">
        <v>0</v>
      </c>
    </row>
    <row r="1933" spans="1:13">
      <c r="A1933">
        <v>1931</v>
      </c>
      <c r="B1933" t="s">
        <v>337</v>
      </c>
      <c r="C1933" t="s">
        <v>82</v>
      </c>
      <c r="D1933" t="s">
        <v>83</v>
      </c>
      <c r="E1933" t="s">
        <v>137</v>
      </c>
      <c r="F1933">
        <v>16384</v>
      </c>
      <c r="G1933">
        <f>MAX(I1930,I1932)</f>
        <v>2124813</v>
      </c>
      <c r="H1933">
        <f>CEILING((dram_access_latency+F1933/dram_bandwidth)*frequency,1)</f>
        <v>356</v>
      </c>
      <c r="I1933">
        <f>G1933+H1933</f>
        <v>2125169</v>
      </c>
      <c r="J1933">
        <f>IF(AND(D1933&lt;&gt;"dram",D1933&lt;&gt;"control"),H1933,0)</f>
        <v>0</v>
      </c>
      <c r="K1933">
        <f>IF(D1933="dram",H1933,0)</f>
        <v>356</v>
      </c>
      <c r="L1933">
        <v>16384</v>
      </c>
      <c r="M1933">
        <v>0</v>
      </c>
    </row>
    <row r="1934" spans="1:13">
      <c r="A1934">
        <v>1932</v>
      </c>
      <c r="B1934" t="s">
        <v>55</v>
      </c>
      <c r="C1934" t="s">
        <v>90</v>
      </c>
      <c r="D1934" t="s">
        <v>108</v>
      </c>
      <c r="E1934" t="s">
        <v>137</v>
      </c>
      <c r="F1934">
        <v>0</v>
      </c>
      <c r="G1934">
        <f>MAX(I1929,I1929,I1792,I1932,I1794,I1933,I1931)</f>
        <v>2133290</v>
      </c>
      <c r="H1934">
        <f>'Operations'!I23</f>
        <v>16901</v>
      </c>
      <c r="I1934">
        <f>G1934+H1934</f>
        <v>2150191</v>
      </c>
      <c r="J1934">
        <f>IF(AND(D1934&lt;&gt;"dram",D1934&lt;&gt;"control"),H1934,0)</f>
        <v>16901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338</v>
      </c>
      <c r="C1935" t="s">
        <v>88</v>
      </c>
      <c r="D1935" t="s">
        <v>89</v>
      </c>
      <c r="E1935" t="s">
        <v>137</v>
      </c>
      <c r="F1935">
        <v>0</v>
      </c>
      <c r="G1935">
        <f>MAX(I1930,I1929)</f>
        <v>2116389</v>
      </c>
      <c r="H1935">
        <f>0</f>
        <v>16901</v>
      </c>
      <c r="I1935">
        <f>G1935+H1935</f>
        <v>2133290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339</v>
      </c>
      <c r="C1936" t="s">
        <v>92</v>
      </c>
      <c r="D1936" t="s">
        <v>83</v>
      </c>
      <c r="E1936" t="s">
        <v>137</v>
      </c>
      <c r="F1936">
        <v>2048</v>
      </c>
      <c r="G1936">
        <f>MAX(I1935,I1933)</f>
        <v>2133290</v>
      </c>
      <c r="H1936">
        <f>CEILING((dram_access_latency+F1936/dram_bandwidth)*frequency,1)</f>
        <v>132</v>
      </c>
      <c r="I1936">
        <f>G1936+H1936</f>
        <v>2133422</v>
      </c>
      <c r="J1936">
        <f>IF(AND(D1936&lt;&gt;"dram",D1936&lt;&gt;"control"),H1936,0)</f>
        <v>0</v>
      </c>
      <c r="K1936">
        <f>IF(D1936="dram",H1936,0)</f>
        <v>132</v>
      </c>
      <c r="L1936">
        <v>0</v>
      </c>
      <c r="M1936">
        <v>2048</v>
      </c>
    </row>
    <row r="1937" spans="1:13">
      <c r="A1937">
        <v>1935</v>
      </c>
      <c r="B1937" t="s">
        <v>335</v>
      </c>
      <c r="C1937" t="s">
        <v>82</v>
      </c>
      <c r="D1937" t="s">
        <v>83</v>
      </c>
      <c r="E1937" t="s">
        <v>138</v>
      </c>
      <c r="F1937">
        <v>524288</v>
      </c>
      <c r="G1937">
        <f>MAX(I1935,I1936)</f>
        <v>2133422</v>
      </c>
      <c r="H1937">
        <f>CEILING((dram_access_latency+F1937/dram_bandwidth)*frequency,1)</f>
        <v>8292</v>
      </c>
      <c r="I1937">
        <f>G1937+H1937</f>
        <v>2141714</v>
      </c>
      <c r="J1937">
        <f>IF(AND(D1937&lt;&gt;"dram",D1937&lt;&gt;"control"),H1937,0)</f>
        <v>0</v>
      </c>
      <c r="K1937">
        <f>IF(D1937="dram",H1937,0)</f>
        <v>8292</v>
      </c>
      <c r="L1937">
        <v>524288</v>
      </c>
      <c r="M1937">
        <v>0</v>
      </c>
    </row>
    <row r="1938" spans="1:13">
      <c r="A1938">
        <v>1936</v>
      </c>
      <c r="B1938" t="s">
        <v>337</v>
      </c>
      <c r="C1938" t="s">
        <v>82</v>
      </c>
      <c r="D1938" t="s">
        <v>83</v>
      </c>
      <c r="E1938" t="s">
        <v>138</v>
      </c>
      <c r="F1938">
        <v>16384</v>
      </c>
      <c r="G1938">
        <f>MAX(I1935,I1937)</f>
        <v>2141714</v>
      </c>
      <c r="H1938">
        <f>CEILING((dram_access_latency+F1938/dram_bandwidth)*frequency,1)</f>
        <v>356</v>
      </c>
      <c r="I1938">
        <f>G1938+H1938</f>
        <v>2142070</v>
      </c>
      <c r="J1938">
        <f>IF(AND(D1938&lt;&gt;"dram",D1938&lt;&gt;"control"),H1938,0)</f>
        <v>0</v>
      </c>
      <c r="K1938">
        <f>IF(D1938="dram",H1938,0)</f>
        <v>356</v>
      </c>
      <c r="L1938">
        <v>16384</v>
      </c>
      <c r="M1938">
        <v>0</v>
      </c>
    </row>
    <row r="1939" spans="1:13">
      <c r="A1939">
        <v>1937</v>
      </c>
      <c r="B1939" t="s">
        <v>55</v>
      </c>
      <c r="C1939" t="s">
        <v>90</v>
      </c>
      <c r="D1939" t="s">
        <v>108</v>
      </c>
      <c r="E1939" t="s">
        <v>138</v>
      </c>
      <c r="F1939">
        <v>0</v>
      </c>
      <c r="G1939">
        <f>MAX(I1934,I1934,I1792,I1937,I1794,I1938,I1936)</f>
        <v>2150191</v>
      </c>
      <c r="H1939">
        <f>'Operations'!I23</f>
        <v>16901</v>
      </c>
      <c r="I1939">
        <f>G1939+H1939</f>
        <v>2167092</v>
      </c>
      <c r="J1939">
        <f>IF(AND(D1939&lt;&gt;"dram",D1939&lt;&gt;"control"),H1939,0)</f>
        <v>16901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338</v>
      </c>
      <c r="C1940" t="s">
        <v>88</v>
      </c>
      <c r="D1940" t="s">
        <v>89</v>
      </c>
      <c r="E1940" t="s">
        <v>138</v>
      </c>
      <c r="F1940">
        <v>0</v>
      </c>
      <c r="G1940">
        <f>MAX(I1935,I1934)</f>
        <v>2133290</v>
      </c>
      <c r="H1940">
        <f>0</f>
        <v>16901</v>
      </c>
      <c r="I1940">
        <f>G1940+H1940</f>
        <v>2150191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339</v>
      </c>
      <c r="C1941" t="s">
        <v>92</v>
      </c>
      <c r="D1941" t="s">
        <v>83</v>
      </c>
      <c r="E1941" t="s">
        <v>138</v>
      </c>
      <c r="F1941">
        <v>2048</v>
      </c>
      <c r="G1941">
        <f>MAX(I1940,I1938)</f>
        <v>2150191</v>
      </c>
      <c r="H1941">
        <f>CEILING((dram_access_latency+F1941/dram_bandwidth)*frequency,1)</f>
        <v>132</v>
      </c>
      <c r="I1941">
        <f>G1941+H1941</f>
        <v>2150323</v>
      </c>
      <c r="J1941">
        <f>IF(AND(D1941&lt;&gt;"dram",D1941&lt;&gt;"control"),H1941,0)</f>
        <v>0</v>
      </c>
      <c r="K1941">
        <f>IF(D1941="dram",H1941,0)</f>
        <v>132</v>
      </c>
      <c r="L1941">
        <v>0</v>
      </c>
      <c r="M1941">
        <v>2048</v>
      </c>
    </row>
    <row r="1942" spans="1:13">
      <c r="A1942">
        <v>1940</v>
      </c>
      <c r="B1942" t="s">
        <v>335</v>
      </c>
      <c r="C1942" t="s">
        <v>82</v>
      </c>
      <c r="D1942" t="s">
        <v>83</v>
      </c>
      <c r="E1942" t="s">
        <v>139</v>
      </c>
      <c r="F1942">
        <v>524288</v>
      </c>
      <c r="G1942">
        <f>MAX(I1940,I1941)</f>
        <v>2150323</v>
      </c>
      <c r="H1942">
        <f>CEILING((dram_access_latency+F1942/dram_bandwidth)*frequency,1)</f>
        <v>8292</v>
      </c>
      <c r="I1942">
        <f>G1942+H1942</f>
        <v>2158615</v>
      </c>
      <c r="J1942">
        <f>IF(AND(D1942&lt;&gt;"dram",D1942&lt;&gt;"control"),H1942,0)</f>
        <v>0</v>
      </c>
      <c r="K1942">
        <f>IF(D1942="dram",H1942,0)</f>
        <v>8292</v>
      </c>
      <c r="L1942">
        <v>524288</v>
      </c>
      <c r="M1942">
        <v>0</v>
      </c>
    </row>
    <row r="1943" spans="1:13">
      <c r="A1943">
        <v>1941</v>
      </c>
      <c r="B1943" t="s">
        <v>337</v>
      </c>
      <c r="C1943" t="s">
        <v>82</v>
      </c>
      <c r="D1943" t="s">
        <v>83</v>
      </c>
      <c r="E1943" t="s">
        <v>139</v>
      </c>
      <c r="F1943">
        <v>16384</v>
      </c>
      <c r="G1943">
        <f>MAX(I1940,I1942)</f>
        <v>2158615</v>
      </c>
      <c r="H1943">
        <f>CEILING((dram_access_latency+F1943/dram_bandwidth)*frequency,1)</f>
        <v>356</v>
      </c>
      <c r="I1943">
        <f>G1943+H1943</f>
        <v>2158971</v>
      </c>
      <c r="J1943">
        <f>IF(AND(D1943&lt;&gt;"dram",D1943&lt;&gt;"control"),H1943,0)</f>
        <v>0</v>
      </c>
      <c r="K1943">
        <f>IF(D1943="dram",H1943,0)</f>
        <v>356</v>
      </c>
      <c r="L1943">
        <v>16384</v>
      </c>
      <c r="M1943">
        <v>0</v>
      </c>
    </row>
    <row r="1944" spans="1:13">
      <c r="A1944">
        <v>1942</v>
      </c>
      <c r="B1944" t="s">
        <v>55</v>
      </c>
      <c r="C1944" t="s">
        <v>90</v>
      </c>
      <c r="D1944" t="s">
        <v>108</v>
      </c>
      <c r="E1944" t="s">
        <v>139</v>
      </c>
      <c r="F1944">
        <v>0</v>
      </c>
      <c r="G1944">
        <f>MAX(I1939,I1939,I1792,I1942,I1794,I1943,I1941)</f>
        <v>2167092</v>
      </c>
      <c r="H1944">
        <f>'Operations'!I23</f>
        <v>16901</v>
      </c>
      <c r="I1944">
        <f>G1944+H1944</f>
        <v>2183993</v>
      </c>
      <c r="J1944">
        <f>IF(AND(D1944&lt;&gt;"dram",D1944&lt;&gt;"control"),H1944,0)</f>
        <v>16901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338</v>
      </c>
      <c r="C1945" t="s">
        <v>88</v>
      </c>
      <c r="D1945" t="s">
        <v>89</v>
      </c>
      <c r="E1945" t="s">
        <v>139</v>
      </c>
      <c r="F1945">
        <v>0</v>
      </c>
      <c r="G1945">
        <f>MAX(I1940,I1939)</f>
        <v>2150191</v>
      </c>
      <c r="H1945">
        <f>0</f>
        <v>16901</v>
      </c>
      <c r="I1945">
        <f>G1945+H1945</f>
        <v>2167092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339</v>
      </c>
      <c r="C1946" t="s">
        <v>92</v>
      </c>
      <c r="D1946" t="s">
        <v>83</v>
      </c>
      <c r="E1946" t="s">
        <v>139</v>
      </c>
      <c r="F1946">
        <v>2048</v>
      </c>
      <c r="G1946">
        <f>MAX(I1945,I1943)</f>
        <v>2167092</v>
      </c>
      <c r="H1946">
        <f>CEILING((dram_access_latency+F1946/dram_bandwidth)*frequency,1)</f>
        <v>132</v>
      </c>
      <c r="I1946">
        <f>G1946+H1946</f>
        <v>2167224</v>
      </c>
      <c r="J1946">
        <f>IF(AND(D1946&lt;&gt;"dram",D1946&lt;&gt;"control"),H1946,0)</f>
        <v>0</v>
      </c>
      <c r="K1946">
        <f>IF(D1946="dram",H1946,0)</f>
        <v>132</v>
      </c>
      <c r="L1946">
        <v>0</v>
      </c>
      <c r="M1946">
        <v>2048</v>
      </c>
    </row>
    <row r="1947" spans="1:13">
      <c r="A1947">
        <v>1945</v>
      </c>
      <c r="B1947" t="s">
        <v>335</v>
      </c>
      <c r="C1947" t="s">
        <v>82</v>
      </c>
      <c r="D1947" t="s">
        <v>83</v>
      </c>
      <c r="E1947" t="s">
        <v>140</v>
      </c>
      <c r="F1947">
        <v>524288</v>
      </c>
      <c r="G1947">
        <f>MAX(I1945,I1946)</f>
        <v>2167224</v>
      </c>
      <c r="H1947">
        <f>CEILING((dram_access_latency+F1947/dram_bandwidth)*frequency,1)</f>
        <v>8292</v>
      </c>
      <c r="I1947">
        <f>G1947+H1947</f>
        <v>2175516</v>
      </c>
      <c r="J1947">
        <f>IF(AND(D1947&lt;&gt;"dram",D1947&lt;&gt;"control"),H1947,0)</f>
        <v>0</v>
      </c>
      <c r="K1947">
        <f>IF(D1947="dram",H1947,0)</f>
        <v>8292</v>
      </c>
      <c r="L1947">
        <v>524288</v>
      </c>
      <c r="M1947">
        <v>0</v>
      </c>
    </row>
    <row r="1948" spans="1:13">
      <c r="A1948">
        <v>1946</v>
      </c>
      <c r="B1948" t="s">
        <v>337</v>
      </c>
      <c r="C1948" t="s">
        <v>82</v>
      </c>
      <c r="D1948" t="s">
        <v>83</v>
      </c>
      <c r="E1948" t="s">
        <v>140</v>
      </c>
      <c r="F1948">
        <v>16384</v>
      </c>
      <c r="G1948">
        <f>MAX(I1945,I1947)</f>
        <v>2175516</v>
      </c>
      <c r="H1948">
        <f>CEILING((dram_access_latency+F1948/dram_bandwidth)*frequency,1)</f>
        <v>356</v>
      </c>
      <c r="I1948">
        <f>G1948+H1948</f>
        <v>2175872</v>
      </c>
      <c r="J1948">
        <f>IF(AND(D1948&lt;&gt;"dram",D1948&lt;&gt;"control"),H1948,0)</f>
        <v>0</v>
      </c>
      <c r="K1948">
        <f>IF(D1948="dram",H1948,0)</f>
        <v>356</v>
      </c>
      <c r="L1948">
        <v>16384</v>
      </c>
      <c r="M1948">
        <v>0</v>
      </c>
    </row>
    <row r="1949" spans="1:13">
      <c r="A1949">
        <v>1947</v>
      </c>
      <c r="B1949" t="s">
        <v>55</v>
      </c>
      <c r="C1949" t="s">
        <v>90</v>
      </c>
      <c r="D1949" t="s">
        <v>108</v>
      </c>
      <c r="E1949" t="s">
        <v>140</v>
      </c>
      <c r="F1949">
        <v>0</v>
      </c>
      <c r="G1949">
        <f>MAX(I1944,I1944,I1792,I1947,I1794,I1948,I1946)</f>
        <v>2183993</v>
      </c>
      <c r="H1949">
        <f>'Operations'!I23</f>
        <v>16901</v>
      </c>
      <c r="I1949">
        <f>G1949+H1949</f>
        <v>2200894</v>
      </c>
      <c r="J1949">
        <f>IF(AND(D1949&lt;&gt;"dram",D1949&lt;&gt;"control"),H1949,0)</f>
        <v>16901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338</v>
      </c>
      <c r="C1950" t="s">
        <v>88</v>
      </c>
      <c r="D1950" t="s">
        <v>89</v>
      </c>
      <c r="E1950" t="s">
        <v>140</v>
      </c>
      <c r="F1950">
        <v>0</v>
      </c>
      <c r="G1950">
        <f>MAX(I1945,I1944)</f>
        <v>2167092</v>
      </c>
      <c r="H1950">
        <f>0</f>
        <v>16901</v>
      </c>
      <c r="I1950">
        <f>G1950+H1950</f>
        <v>2183993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339</v>
      </c>
      <c r="C1951" t="s">
        <v>92</v>
      </c>
      <c r="D1951" t="s">
        <v>83</v>
      </c>
      <c r="E1951" t="s">
        <v>140</v>
      </c>
      <c r="F1951">
        <v>2048</v>
      </c>
      <c r="G1951">
        <f>MAX(I1950,I1948)</f>
        <v>2183993</v>
      </c>
      <c r="H1951">
        <f>CEILING((dram_access_latency+F1951/dram_bandwidth)*frequency,1)</f>
        <v>132</v>
      </c>
      <c r="I1951">
        <f>G1951+H1951</f>
        <v>2184125</v>
      </c>
      <c r="J1951">
        <f>IF(AND(D1951&lt;&gt;"dram",D1951&lt;&gt;"control"),H1951,0)</f>
        <v>0</v>
      </c>
      <c r="K1951">
        <f>IF(D1951="dram",H1951,0)</f>
        <v>132</v>
      </c>
      <c r="L1951">
        <v>0</v>
      </c>
      <c r="M1951">
        <v>2048</v>
      </c>
    </row>
    <row r="1952" spans="1:13">
      <c r="A1952">
        <v>1950</v>
      </c>
      <c r="B1952" t="s">
        <v>335</v>
      </c>
      <c r="C1952" t="s">
        <v>82</v>
      </c>
      <c r="D1952" t="s">
        <v>83</v>
      </c>
      <c r="E1952" t="s">
        <v>340</v>
      </c>
      <c r="F1952">
        <v>524288</v>
      </c>
      <c r="G1952">
        <f>MAX(I1950,I1951)</f>
        <v>2184125</v>
      </c>
      <c r="H1952">
        <f>CEILING((dram_access_latency+F1952/dram_bandwidth)*frequency,1)</f>
        <v>8292</v>
      </c>
      <c r="I1952">
        <f>G1952+H1952</f>
        <v>2192417</v>
      </c>
      <c r="J1952">
        <f>IF(AND(D1952&lt;&gt;"dram",D1952&lt;&gt;"control"),H1952,0)</f>
        <v>0</v>
      </c>
      <c r="K1952">
        <f>IF(D1952="dram",H1952,0)</f>
        <v>8292</v>
      </c>
      <c r="L1952">
        <v>524288</v>
      </c>
      <c r="M1952">
        <v>0</v>
      </c>
    </row>
    <row r="1953" spans="1:13">
      <c r="A1953">
        <v>1951</v>
      </c>
      <c r="B1953" t="s">
        <v>337</v>
      </c>
      <c r="C1953" t="s">
        <v>82</v>
      </c>
      <c r="D1953" t="s">
        <v>83</v>
      </c>
      <c r="E1953" t="s">
        <v>340</v>
      </c>
      <c r="F1953">
        <v>16384</v>
      </c>
      <c r="G1953">
        <f>MAX(I1950,I1952)</f>
        <v>2192417</v>
      </c>
      <c r="H1953">
        <f>CEILING((dram_access_latency+F1953/dram_bandwidth)*frequency,1)</f>
        <v>356</v>
      </c>
      <c r="I1953">
        <f>G1953+H1953</f>
        <v>2192773</v>
      </c>
      <c r="J1953">
        <f>IF(AND(D1953&lt;&gt;"dram",D1953&lt;&gt;"control"),H1953,0)</f>
        <v>0</v>
      </c>
      <c r="K1953">
        <f>IF(D1953="dram",H1953,0)</f>
        <v>356</v>
      </c>
      <c r="L1953">
        <v>16384</v>
      </c>
      <c r="M1953">
        <v>0</v>
      </c>
    </row>
    <row r="1954" spans="1:13">
      <c r="A1954">
        <v>1952</v>
      </c>
      <c r="B1954" t="s">
        <v>55</v>
      </c>
      <c r="C1954" t="s">
        <v>90</v>
      </c>
      <c r="D1954" t="s">
        <v>108</v>
      </c>
      <c r="E1954" t="s">
        <v>340</v>
      </c>
      <c r="F1954">
        <v>0</v>
      </c>
      <c r="G1954">
        <f>MAX(I1949,I1949,I1792,I1952,I1794,I1953,I1951)</f>
        <v>2200894</v>
      </c>
      <c r="H1954">
        <f>'Operations'!I23</f>
        <v>16901</v>
      </c>
      <c r="I1954">
        <f>G1954+H1954</f>
        <v>2217795</v>
      </c>
      <c r="J1954">
        <f>IF(AND(D1954&lt;&gt;"dram",D1954&lt;&gt;"control"),H1954,0)</f>
        <v>16901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338</v>
      </c>
      <c r="C1955" t="s">
        <v>88</v>
      </c>
      <c r="D1955" t="s">
        <v>89</v>
      </c>
      <c r="E1955" t="s">
        <v>340</v>
      </c>
      <c r="F1955">
        <v>0</v>
      </c>
      <c r="G1955">
        <f>MAX(I1950,I1949)</f>
        <v>2183993</v>
      </c>
      <c r="H1955">
        <f>0</f>
        <v>16901</v>
      </c>
      <c r="I1955">
        <f>G1955+H1955</f>
        <v>2200894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339</v>
      </c>
      <c r="C1956" t="s">
        <v>92</v>
      </c>
      <c r="D1956" t="s">
        <v>83</v>
      </c>
      <c r="E1956" t="s">
        <v>340</v>
      </c>
      <c r="F1956">
        <v>2048</v>
      </c>
      <c r="G1956">
        <f>MAX(I1955,I1953)</f>
        <v>2200894</v>
      </c>
      <c r="H1956">
        <f>CEILING((dram_access_latency+F1956/dram_bandwidth)*frequency,1)</f>
        <v>132</v>
      </c>
      <c r="I1956">
        <f>G1956+H1956</f>
        <v>2201026</v>
      </c>
      <c r="J1956">
        <f>IF(AND(D1956&lt;&gt;"dram",D1956&lt;&gt;"control"),H1956,0)</f>
        <v>0</v>
      </c>
      <c r="K1956">
        <f>IF(D1956="dram",H1956,0)</f>
        <v>132</v>
      </c>
      <c r="L1956">
        <v>0</v>
      </c>
      <c r="M1956">
        <v>2048</v>
      </c>
    </row>
    <row r="1957" spans="1:13">
      <c r="A1957">
        <v>1955</v>
      </c>
      <c r="B1957" t="s">
        <v>335</v>
      </c>
      <c r="C1957" t="s">
        <v>82</v>
      </c>
      <c r="D1957" t="s">
        <v>83</v>
      </c>
      <c r="E1957" t="s">
        <v>341</v>
      </c>
      <c r="F1957">
        <v>524288</v>
      </c>
      <c r="G1957">
        <f>MAX(I1955,I1956)</f>
        <v>2201026</v>
      </c>
      <c r="H1957">
        <f>CEILING((dram_access_latency+F1957/dram_bandwidth)*frequency,1)</f>
        <v>8292</v>
      </c>
      <c r="I1957">
        <f>G1957+H1957</f>
        <v>2209318</v>
      </c>
      <c r="J1957">
        <f>IF(AND(D1957&lt;&gt;"dram",D1957&lt;&gt;"control"),H1957,0)</f>
        <v>0</v>
      </c>
      <c r="K1957">
        <f>IF(D1957="dram",H1957,0)</f>
        <v>8292</v>
      </c>
      <c r="L1957">
        <v>524288</v>
      </c>
      <c r="M1957">
        <v>0</v>
      </c>
    </row>
    <row r="1958" spans="1:13">
      <c r="A1958">
        <v>1956</v>
      </c>
      <c r="B1958" t="s">
        <v>337</v>
      </c>
      <c r="C1958" t="s">
        <v>82</v>
      </c>
      <c r="D1958" t="s">
        <v>83</v>
      </c>
      <c r="E1958" t="s">
        <v>341</v>
      </c>
      <c r="F1958">
        <v>16384</v>
      </c>
      <c r="G1958">
        <f>MAX(I1955,I1957)</f>
        <v>2209318</v>
      </c>
      <c r="H1958">
        <f>CEILING((dram_access_latency+F1958/dram_bandwidth)*frequency,1)</f>
        <v>356</v>
      </c>
      <c r="I1958">
        <f>G1958+H1958</f>
        <v>2209674</v>
      </c>
      <c r="J1958">
        <f>IF(AND(D1958&lt;&gt;"dram",D1958&lt;&gt;"control"),H1958,0)</f>
        <v>0</v>
      </c>
      <c r="K1958">
        <f>IF(D1958="dram",H1958,0)</f>
        <v>356</v>
      </c>
      <c r="L1958">
        <v>16384</v>
      </c>
      <c r="M1958">
        <v>0</v>
      </c>
    </row>
    <row r="1959" spans="1:13">
      <c r="A1959">
        <v>1957</v>
      </c>
      <c r="B1959" t="s">
        <v>55</v>
      </c>
      <c r="C1959" t="s">
        <v>90</v>
      </c>
      <c r="D1959" t="s">
        <v>108</v>
      </c>
      <c r="E1959" t="s">
        <v>341</v>
      </c>
      <c r="F1959">
        <v>0</v>
      </c>
      <c r="G1959">
        <f>MAX(I1954,I1954,I1792,I1957,I1794,I1958,I1956)</f>
        <v>2217795</v>
      </c>
      <c r="H1959">
        <f>'Operations'!I23</f>
        <v>16901</v>
      </c>
      <c r="I1959">
        <f>G1959+H1959</f>
        <v>2234696</v>
      </c>
      <c r="J1959">
        <f>IF(AND(D1959&lt;&gt;"dram",D1959&lt;&gt;"control"),H1959,0)</f>
        <v>16901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338</v>
      </c>
      <c r="C1960" t="s">
        <v>88</v>
      </c>
      <c r="D1960" t="s">
        <v>89</v>
      </c>
      <c r="E1960" t="s">
        <v>341</v>
      </c>
      <c r="F1960">
        <v>0</v>
      </c>
      <c r="G1960">
        <f>MAX(I1955,I1954)</f>
        <v>2200894</v>
      </c>
      <c r="H1960">
        <f>0</f>
        <v>16901</v>
      </c>
      <c r="I1960">
        <f>G1960+H1960</f>
        <v>2217795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339</v>
      </c>
      <c r="C1961" t="s">
        <v>92</v>
      </c>
      <c r="D1961" t="s">
        <v>83</v>
      </c>
      <c r="E1961" t="s">
        <v>341</v>
      </c>
      <c r="F1961">
        <v>2048</v>
      </c>
      <c r="G1961">
        <f>MAX(I1960,I1958)</f>
        <v>2217795</v>
      </c>
      <c r="H1961">
        <f>CEILING((dram_access_latency+F1961/dram_bandwidth)*frequency,1)</f>
        <v>132</v>
      </c>
      <c r="I1961">
        <f>G1961+H1961</f>
        <v>2217927</v>
      </c>
      <c r="J1961">
        <f>IF(AND(D1961&lt;&gt;"dram",D1961&lt;&gt;"control"),H1961,0)</f>
        <v>0</v>
      </c>
      <c r="K1961">
        <f>IF(D1961="dram",H1961,0)</f>
        <v>132</v>
      </c>
      <c r="L1961">
        <v>0</v>
      </c>
      <c r="M1961">
        <v>2048</v>
      </c>
    </row>
    <row r="1962" spans="1:13">
      <c r="A1962">
        <v>1960</v>
      </c>
      <c r="B1962" t="s">
        <v>335</v>
      </c>
      <c r="C1962" t="s">
        <v>82</v>
      </c>
      <c r="D1962" t="s">
        <v>83</v>
      </c>
      <c r="E1962" t="s">
        <v>342</v>
      </c>
      <c r="F1962">
        <v>524288</v>
      </c>
      <c r="G1962">
        <f>MAX(I1960,I1961)</f>
        <v>2217927</v>
      </c>
      <c r="H1962">
        <f>CEILING((dram_access_latency+F1962/dram_bandwidth)*frequency,1)</f>
        <v>8292</v>
      </c>
      <c r="I1962">
        <f>G1962+H1962</f>
        <v>2226219</v>
      </c>
      <c r="J1962">
        <f>IF(AND(D1962&lt;&gt;"dram",D1962&lt;&gt;"control"),H1962,0)</f>
        <v>0</v>
      </c>
      <c r="K1962">
        <f>IF(D1962="dram",H1962,0)</f>
        <v>8292</v>
      </c>
      <c r="L1962">
        <v>524288</v>
      </c>
      <c r="M1962">
        <v>0</v>
      </c>
    </row>
    <row r="1963" spans="1:13">
      <c r="A1963">
        <v>1961</v>
      </c>
      <c r="B1963" t="s">
        <v>337</v>
      </c>
      <c r="C1963" t="s">
        <v>82</v>
      </c>
      <c r="D1963" t="s">
        <v>83</v>
      </c>
      <c r="E1963" t="s">
        <v>342</v>
      </c>
      <c r="F1963">
        <v>16384</v>
      </c>
      <c r="G1963">
        <f>MAX(I1960,I1962)</f>
        <v>2226219</v>
      </c>
      <c r="H1963">
        <f>CEILING((dram_access_latency+F1963/dram_bandwidth)*frequency,1)</f>
        <v>356</v>
      </c>
      <c r="I1963">
        <f>G1963+H1963</f>
        <v>2226575</v>
      </c>
      <c r="J1963">
        <f>IF(AND(D1963&lt;&gt;"dram",D1963&lt;&gt;"control"),H1963,0)</f>
        <v>0</v>
      </c>
      <c r="K1963">
        <f>IF(D1963="dram",H1963,0)</f>
        <v>356</v>
      </c>
      <c r="L1963">
        <v>16384</v>
      </c>
      <c r="M1963">
        <v>0</v>
      </c>
    </row>
    <row r="1964" spans="1:13">
      <c r="A1964">
        <v>1962</v>
      </c>
      <c r="B1964" t="s">
        <v>55</v>
      </c>
      <c r="C1964" t="s">
        <v>90</v>
      </c>
      <c r="D1964" t="s">
        <v>108</v>
      </c>
      <c r="E1964" t="s">
        <v>342</v>
      </c>
      <c r="F1964">
        <v>0</v>
      </c>
      <c r="G1964">
        <f>MAX(I1959,I1959,I1792,I1962,I1794,I1963,I1961)</f>
        <v>2234696</v>
      </c>
      <c r="H1964">
        <f>'Operations'!I23</f>
        <v>16901</v>
      </c>
      <c r="I1964">
        <f>G1964+H1964</f>
        <v>2251597</v>
      </c>
      <c r="J1964">
        <f>IF(AND(D1964&lt;&gt;"dram",D1964&lt;&gt;"control"),H1964,0)</f>
        <v>16901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338</v>
      </c>
      <c r="C1965" t="s">
        <v>88</v>
      </c>
      <c r="D1965" t="s">
        <v>89</v>
      </c>
      <c r="E1965" t="s">
        <v>342</v>
      </c>
      <c r="F1965">
        <v>0</v>
      </c>
      <c r="G1965">
        <f>MAX(I1960,I1959)</f>
        <v>2217795</v>
      </c>
      <c r="H1965">
        <f>0</f>
        <v>16901</v>
      </c>
      <c r="I1965">
        <f>G1965+H1965</f>
        <v>2234696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339</v>
      </c>
      <c r="C1966" t="s">
        <v>92</v>
      </c>
      <c r="D1966" t="s">
        <v>83</v>
      </c>
      <c r="E1966" t="s">
        <v>342</v>
      </c>
      <c r="F1966">
        <v>2048</v>
      </c>
      <c r="G1966">
        <f>MAX(I1965,I1963)</f>
        <v>2234696</v>
      </c>
      <c r="H1966">
        <f>CEILING((dram_access_latency+F1966/dram_bandwidth)*frequency,1)</f>
        <v>132</v>
      </c>
      <c r="I1966">
        <f>G1966+H1966</f>
        <v>2234828</v>
      </c>
      <c r="J1966">
        <f>IF(AND(D1966&lt;&gt;"dram",D1966&lt;&gt;"control"),H1966,0)</f>
        <v>0</v>
      </c>
      <c r="K1966">
        <f>IF(D1966="dram",H1966,0)</f>
        <v>132</v>
      </c>
      <c r="L1966">
        <v>0</v>
      </c>
      <c r="M1966">
        <v>2048</v>
      </c>
    </row>
    <row r="1967" spans="1:13">
      <c r="A1967">
        <v>1965</v>
      </c>
      <c r="B1967" t="s">
        <v>335</v>
      </c>
      <c r="C1967" t="s">
        <v>82</v>
      </c>
      <c r="D1967" t="s">
        <v>83</v>
      </c>
      <c r="E1967" t="s">
        <v>343</v>
      </c>
      <c r="F1967">
        <v>524288</v>
      </c>
      <c r="G1967">
        <f>MAX(I1965,I1966)</f>
        <v>2234828</v>
      </c>
      <c r="H1967">
        <f>CEILING((dram_access_latency+F1967/dram_bandwidth)*frequency,1)</f>
        <v>8292</v>
      </c>
      <c r="I1967">
        <f>G1967+H1967</f>
        <v>2243120</v>
      </c>
      <c r="J1967">
        <f>IF(AND(D1967&lt;&gt;"dram",D1967&lt;&gt;"control"),H1967,0)</f>
        <v>0</v>
      </c>
      <c r="K1967">
        <f>IF(D1967="dram",H1967,0)</f>
        <v>8292</v>
      </c>
      <c r="L1967">
        <v>524288</v>
      </c>
      <c r="M1967">
        <v>0</v>
      </c>
    </row>
    <row r="1968" spans="1:13">
      <c r="A1968">
        <v>1966</v>
      </c>
      <c r="B1968" t="s">
        <v>337</v>
      </c>
      <c r="C1968" t="s">
        <v>82</v>
      </c>
      <c r="D1968" t="s">
        <v>83</v>
      </c>
      <c r="E1968" t="s">
        <v>343</v>
      </c>
      <c r="F1968">
        <v>16384</v>
      </c>
      <c r="G1968">
        <f>MAX(I1965,I1967)</f>
        <v>2243120</v>
      </c>
      <c r="H1968">
        <f>CEILING((dram_access_latency+F1968/dram_bandwidth)*frequency,1)</f>
        <v>356</v>
      </c>
      <c r="I1968">
        <f>G1968+H1968</f>
        <v>2243476</v>
      </c>
      <c r="J1968">
        <f>IF(AND(D1968&lt;&gt;"dram",D1968&lt;&gt;"control"),H1968,0)</f>
        <v>0</v>
      </c>
      <c r="K1968">
        <f>IF(D1968="dram",H1968,0)</f>
        <v>356</v>
      </c>
      <c r="L1968">
        <v>16384</v>
      </c>
      <c r="M1968">
        <v>0</v>
      </c>
    </row>
    <row r="1969" spans="1:13">
      <c r="A1969">
        <v>1967</v>
      </c>
      <c r="B1969" t="s">
        <v>55</v>
      </c>
      <c r="C1969" t="s">
        <v>90</v>
      </c>
      <c r="D1969" t="s">
        <v>108</v>
      </c>
      <c r="E1969" t="s">
        <v>343</v>
      </c>
      <c r="F1969">
        <v>0</v>
      </c>
      <c r="G1969">
        <f>MAX(I1964,I1964,I1792,I1967,I1794,I1968,I1966)</f>
        <v>2251597</v>
      </c>
      <c r="H1969">
        <f>'Operations'!I23</f>
        <v>16901</v>
      </c>
      <c r="I1969">
        <f>G1969+H1969</f>
        <v>2268498</v>
      </c>
      <c r="J1969">
        <f>IF(AND(D1969&lt;&gt;"dram",D1969&lt;&gt;"control"),H1969,0)</f>
        <v>16901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338</v>
      </c>
      <c r="C1970" t="s">
        <v>88</v>
      </c>
      <c r="D1970" t="s">
        <v>89</v>
      </c>
      <c r="E1970" t="s">
        <v>343</v>
      </c>
      <c r="F1970">
        <v>0</v>
      </c>
      <c r="G1970">
        <f>MAX(I1965,I1964)</f>
        <v>2234696</v>
      </c>
      <c r="H1970">
        <f>0</f>
        <v>16901</v>
      </c>
      <c r="I1970">
        <f>G1970+H1970</f>
        <v>2251597</v>
      </c>
      <c r="J1970">
        <f>IF(AND(D1970&lt;&gt;"dram",D1970&lt;&gt;"control"),H1970,0)</f>
        <v>0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339</v>
      </c>
      <c r="C1971" t="s">
        <v>92</v>
      </c>
      <c r="D1971" t="s">
        <v>83</v>
      </c>
      <c r="E1971" t="s">
        <v>343</v>
      </c>
      <c r="F1971">
        <v>2048</v>
      </c>
      <c r="G1971">
        <f>MAX(I1970,I1968)</f>
        <v>2251597</v>
      </c>
      <c r="H1971">
        <f>CEILING((dram_access_latency+F1971/dram_bandwidth)*frequency,1)</f>
        <v>132</v>
      </c>
      <c r="I1971">
        <f>G1971+H1971</f>
        <v>2251729</v>
      </c>
      <c r="J1971">
        <f>IF(AND(D1971&lt;&gt;"dram",D1971&lt;&gt;"control"),H1971,0)</f>
        <v>0</v>
      </c>
      <c r="K1971">
        <f>IF(D1971="dram",H1971,0)</f>
        <v>132</v>
      </c>
      <c r="L1971">
        <v>0</v>
      </c>
      <c r="M1971">
        <v>2048</v>
      </c>
    </row>
    <row r="1972" spans="1:13">
      <c r="A1972">
        <v>1970</v>
      </c>
      <c r="B1972" t="s">
        <v>335</v>
      </c>
      <c r="C1972" t="s">
        <v>82</v>
      </c>
      <c r="D1972" t="s">
        <v>83</v>
      </c>
      <c r="E1972" t="s">
        <v>344</v>
      </c>
      <c r="F1972">
        <v>524288</v>
      </c>
      <c r="G1972">
        <f>MAX(I1970,I1971)</f>
        <v>2251729</v>
      </c>
      <c r="H1972">
        <f>CEILING((dram_access_latency+F1972/dram_bandwidth)*frequency,1)</f>
        <v>8292</v>
      </c>
      <c r="I1972">
        <f>G1972+H1972</f>
        <v>2260021</v>
      </c>
      <c r="J1972">
        <f>IF(AND(D1972&lt;&gt;"dram",D1972&lt;&gt;"control"),H1972,0)</f>
        <v>0</v>
      </c>
      <c r="K1972">
        <f>IF(D1972="dram",H1972,0)</f>
        <v>8292</v>
      </c>
      <c r="L1972">
        <v>524288</v>
      </c>
      <c r="M1972">
        <v>0</v>
      </c>
    </row>
    <row r="1973" spans="1:13">
      <c r="A1973">
        <v>1971</v>
      </c>
      <c r="B1973" t="s">
        <v>337</v>
      </c>
      <c r="C1973" t="s">
        <v>82</v>
      </c>
      <c r="D1973" t="s">
        <v>83</v>
      </c>
      <c r="E1973" t="s">
        <v>344</v>
      </c>
      <c r="F1973">
        <v>16384</v>
      </c>
      <c r="G1973">
        <f>MAX(I1970,I1972)</f>
        <v>2260021</v>
      </c>
      <c r="H1973">
        <f>CEILING((dram_access_latency+F1973/dram_bandwidth)*frequency,1)</f>
        <v>356</v>
      </c>
      <c r="I1973">
        <f>G1973+H1973</f>
        <v>2260377</v>
      </c>
      <c r="J1973">
        <f>IF(AND(D1973&lt;&gt;"dram",D1973&lt;&gt;"control"),H1973,0)</f>
        <v>0</v>
      </c>
      <c r="K1973">
        <f>IF(D1973="dram",H1973,0)</f>
        <v>356</v>
      </c>
      <c r="L1973">
        <v>16384</v>
      </c>
      <c r="M1973">
        <v>0</v>
      </c>
    </row>
    <row r="1974" spans="1:13">
      <c r="A1974">
        <v>1972</v>
      </c>
      <c r="B1974" t="s">
        <v>55</v>
      </c>
      <c r="C1974" t="s">
        <v>90</v>
      </c>
      <c r="D1974" t="s">
        <v>108</v>
      </c>
      <c r="E1974" t="s">
        <v>344</v>
      </c>
      <c r="F1974">
        <v>0</v>
      </c>
      <c r="G1974">
        <f>MAX(I1969,I1969,I1792,I1972,I1794,I1973,I1971)</f>
        <v>2268498</v>
      </c>
      <c r="H1974">
        <f>'Operations'!I23</f>
        <v>16901</v>
      </c>
      <c r="I1974">
        <f>G1974+H1974</f>
        <v>2285399</v>
      </c>
      <c r="J1974">
        <f>IF(AND(D1974&lt;&gt;"dram",D1974&lt;&gt;"control"),H1974,0)</f>
        <v>16901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338</v>
      </c>
      <c r="C1975" t="s">
        <v>88</v>
      </c>
      <c r="D1975" t="s">
        <v>89</v>
      </c>
      <c r="E1975" t="s">
        <v>344</v>
      </c>
      <c r="F1975">
        <v>0</v>
      </c>
      <c r="G1975">
        <f>MAX(I1970,I1969)</f>
        <v>2251597</v>
      </c>
      <c r="H1975">
        <f>0</f>
        <v>16901</v>
      </c>
      <c r="I1975">
        <f>G1975+H1975</f>
        <v>2268498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339</v>
      </c>
      <c r="C1976" t="s">
        <v>92</v>
      </c>
      <c r="D1976" t="s">
        <v>83</v>
      </c>
      <c r="E1976" t="s">
        <v>344</v>
      </c>
      <c r="F1976">
        <v>2048</v>
      </c>
      <c r="G1976">
        <f>MAX(I1975,I1973)</f>
        <v>2268498</v>
      </c>
      <c r="H1976">
        <f>CEILING((dram_access_latency+F1976/dram_bandwidth)*frequency,1)</f>
        <v>132</v>
      </c>
      <c r="I1976">
        <f>G1976+H1976</f>
        <v>2268630</v>
      </c>
      <c r="J1976">
        <f>IF(AND(D1976&lt;&gt;"dram",D1976&lt;&gt;"control"),H1976,0)</f>
        <v>0</v>
      </c>
      <c r="K1976">
        <f>IF(D1976="dram",H1976,0)</f>
        <v>132</v>
      </c>
      <c r="L1976">
        <v>0</v>
      </c>
      <c r="M1976">
        <v>2048</v>
      </c>
    </row>
    <row r="1977" spans="1:13">
      <c r="A1977">
        <v>1975</v>
      </c>
      <c r="B1977" t="s">
        <v>335</v>
      </c>
      <c r="C1977" t="s">
        <v>82</v>
      </c>
      <c r="D1977" t="s">
        <v>83</v>
      </c>
      <c r="E1977" t="s">
        <v>345</v>
      </c>
      <c r="F1977">
        <v>524288</v>
      </c>
      <c r="G1977">
        <f>MAX(I1975,I1976)</f>
        <v>2268630</v>
      </c>
      <c r="H1977">
        <f>CEILING((dram_access_latency+F1977/dram_bandwidth)*frequency,1)</f>
        <v>8292</v>
      </c>
      <c r="I1977">
        <f>G1977+H1977</f>
        <v>2276922</v>
      </c>
      <c r="J1977">
        <f>IF(AND(D1977&lt;&gt;"dram",D1977&lt;&gt;"control"),H1977,0)</f>
        <v>0</v>
      </c>
      <c r="K1977">
        <f>IF(D1977="dram",H1977,0)</f>
        <v>8292</v>
      </c>
      <c r="L1977">
        <v>524288</v>
      </c>
      <c r="M1977">
        <v>0</v>
      </c>
    </row>
    <row r="1978" spans="1:13">
      <c r="A1978">
        <v>1976</v>
      </c>
      <c r="B1978" t="s">
        <v>337</v>
      </c>
      <c r="C1978" t="s">
        <v>82</v>
      </c>
      <c r="D1978" t="s">
        <v>83</v>
      </c>
      <c r="E1978" t="s">
        <v>345</v>
      </c>
      <c r="F1978">
        <v>16384</v>
      </c>
      <c r="G1978">
        <f>MAX(I1975,I1977)</f>
        <v>2276922</v>
      </c>
      <c r="H1978">
        <f>CEILING((dram_access_latency+F1978/dram_bandwidth)*frequency,1)</f>
        <v>356</v>
      </c>
      <c r="I1978">
        <f>G1978+H1978</f>
        <v>2277278</v>
      </c>
      <c r="J1978">
        <f>IF(AND(D1978&lt;&gt;"dram",D1978&lt;&gt;"control"),H1978,0)</f>
        <v>0</v>
      </c>
      <c r="K1978">
        <f>IF(D1978="dram",H1978,0)</f>
        <v>356</v>
      </c>
      <c r="L1978">
        <v>16384</v>
      </c>
      <c r="M1978">
        <v>0</v>
      </c>
    </row>
    <row r="1979" spans="1:13">
      <c r="A1979">
        <v>1977</v>
      </c>
      <c r="B1979" t="s">
        <v>55</v>
      </c>
      <c r="C1979" t="s">
        <v>90</v>
      </c>
      <c r="D1979" t="s">
        <v>108</v>
      </c>
      <c r="E1979" t="s">
        <v>345</v>
      </c>
      <c r="F1979">
        <v>0</v>
      </c>
      <c r="G1979">
        <f>MAX(I1974,I1974,I1792,I1977,I1794,I1978,I1976)</f>
        <v>2285399</v>
      </c>
      <c r="H1979">
        <f>'Operations'!I23</f>
        <v>16901</v>
      </c>
      <c r="I1979">
        <f>G1979+H1979</f>
        <v>2302300</v>
      </c>
      <c r="J1979">
        <f>IF(AND(D1979&lt;&gt;"dram",D1979&lt;&gt;"control"),H1979,0)</f>
        <v>16901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338</v>
      </c>
      <c r="C1980" t="s">
        <v>88</v>
      </c>
      <c r="D1980" t="s">
        <v>89</v>
      </c>
      <c r="E1980" t="s">
        <v>345</v>
      </c>
      <c r="F1980">
        <v>0</v>
      </c>
      <c r="G1980">
        <f>MAX(I1975,I1974)</f>
        <v>2268498</v>
      </c>
      <c r="H1980">
        <f>0</f>
        <v>16901</v>
      </c>
      <c r="I1980">
        <f>G1980+H1980</f>
        <v>2285399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339</v>
      </c>
      <c r="C1981" t="s">
        <v>92</v>
      </c>
      <c r="D1981" t="s">
        <v>83</v>
      </c>
      <c r="E1981" t="s">
        <v>345</v>
      </c>
      <c r="F1981">
        <v>2048</v>
      </c>
      <c r="G1981">
        <f>MAX(I1980,I1978)</f>
        <v>2285399</v>
      </c>
      <c r="H1981">
        <f>CEILING((dram_access_latency+F1981/dram_bandwidth)*frequency,1)</f>
        <v>132</v>
      </c>
      <c r="I1981">
        <f>G1981+H1981</f>
        <v>2285531</v>
      </c>
      <c r="J1981">
        <f>IF(AND(D1981&lt;&gt;"dram",D1981&lt;&gt;"control"),H1981,0)</f>
        <v>0</v>
      </c>
      <c r="K1981">
        <f>IF(D1981="dram",H1981,0)</f>
        <v>132</v>
      </c>
      <c r="L1981">
        <v>0</v>
      </c>
      <c r="M1981">
        <v>2048</v>
      </c>
    </row>
    <row r="1982" spans="1:13">
      <c r="A1982">
        <v>1980</v>
      </c>
      <c r="B1982" t="s">
        <v>335</v>
      </c>
      <c r="C1982" t="s">
        <v>82</v>
      </c>
      <c r="D1982" t="s">
        <v>83</v>
      </c>
      <c r="E1982" t="s">
        <v>346</v>
      </c>
      <c r="F1982">
        <v>524288</v>
      </c>
      <c r="G1982">
        <f>MAX(I1980,I1981)</f>
        <v>2285531</v>
      </c>
      <c r="H1982">
        <f>CEILING((dram_access_latency+F1982/dram_bandwidth)*frequency,1)</f>
        <v>8292</v>
      </c>
      <c r="I1982">
        <f>G1982+H1982</f>
        <v>2293823</v>
      </c>
      <c r="J1982">
        <f>IF(AND(D1982&lt;&gt;"dram",D1982&lt;&gt;"control"),H1982,0)</f>
        <v>0</v>
      </c>
      <c r="K1982">
        <f>IF(D1982="dram",H1982,0)</f>
        <v>8292</v>
      </c>
      <c r="L1982">
        <v>524288</v>
      </c>
      <c r="M1982">
        <v>0</v>
      </c>
    </row>
    <row r="1983" spans="1:13">
      <c r="A1983">
        <v>1981</v>
      </c>
      <c r="B1983" t="s">
        <v>337</v>
      </c>
      <c r="C1983" t="s">
        <v>82</v>
      </c>
      <c r="D1983" t="s">
        <v>83</v>
      </c>
      <c r="E1983" t="s">
        <v>346</v>
      </c>
      <c r="F1983">
        <v>16384</v>
      </c>
      <c r="G1983">
        <f>MAX(I1980,I1982)</f>
        <v>2293823</v>
      </c>
      <c r="H1983">
        <f>CEILING((dram_access_latency+F1983/dram_bandwidth)*frequency,1)</f>
        <v>356</v>
      </c>
      <c r="I1983">
        <f>G1983+H1983</f>
        <v>2294179</v>
      </c>
      <c r="J1983">
        <f>IF(AND(D1983&lt;&gt;"dram",D1983&lt;&gt;"control"),H1983,0)</f>
        <v>0</v>
      </c>
      <c r="K1983">
        <f>IF(D1983="dram",H1983,0)</f>
        <v>356</v>
      </c>
      <c r="L1983">
        <v>16384</v>
      </c>
      <c r="M1983">
        <v>0</v>
      </c>
    </row>
    <row r="1984" spans="1:13">
      <c r="A1984">
        <v>1982</v>
      </c>
      <c r="B1984" t="s">
        <v>55</v>
      </c>
      <c r="C1984" t="s">
        <v>90</v>
      </c>
      <c r="D1984" t="s">
        <v>108</v>
      </c>
      <c r="E1984" t="s">
        <v>346</v>
      </c>
      <c r="F1984">
        <v>0</v>
      </c>
      <c r="G1984">
        <f>MAX(I1979,I1979,I1792,I1982,I1794,I1983,I1981)</f>
        <v>2302300</v>
      </c>
      <c r="H1984">
        <f>'Operations'!I23</f>
        <v>16901</v>
      </c>
      <c r="I1984">
        <f>G1984+H1984</f>
        <v>2319201</v>
      </c>
      <c r="J1984">
        <f>IF(AND(D1984&lt;&gt;"dram",D1984&lt;&gt;"control"),H1984,0)</f>
        <v>16901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338</v>
      </c>
      <c r="C1985" t="s">
        <v>88</v>
      </c>
      <c r="D1985" t="s">
        <v>89</v>
      </c>
      <c r="E1985" t="s">
        <v>346</v>
      </c>
      <c r="F1985">
        <v>0</v>
      </c>
      <c r="G1985">
        <f>MAX(I1980,I1979)</f>
        <v>2285399</v>
      </c>
      <c r="H1985">
        <f>0</f>
        <v>16901</v>
      </c>
      <c r="I1985">
        <f>G1985+H1985</f>
        <v>2302300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339</v>
      </c>
      <c r="C1986" t="s">
        <v>92</v>
      </c>
      <c r="D1986" t="s">
        <v>83</v>
      </c>
      <c r="E1986" t="s">
        <v>346</v>
      </c>
      <c r="F1986">
        <v>2048</v>
      </c>
      <c r="G1986">
        <f>MAX(I1985,I1983)</f>
        <v>2302300</v>
      </c>
      <c r="H1986">
        <f>CEILING((dram_access_latency+F1986/dram_bandwidth)*frequency,1)</f>
        <v>132</v>
      </c>
      <c r="I1986">
        <f>G1986+H1986</f>
        <v>2302432</v>
      </c>
      <c r="J1986">
        <f>IF(AND(D1986&lt;&gt;"dram",D1986&lt;&gt;"control"),H1986,0)</f>
        <v>0</v>
      </c>
      <c r="K1986">
        <f>IF(D1986="dram",H1986,0)</f>
        <v>132</v>
      </c>
      <c r="L1986">
        <v>0</v>
      </c>
      <c r="M1986">
        <v>2048</v>
      </c>
    </row>
    <row r="1987" spans="1:13">
      <c r="A1987">
        <v>1985</v>
      </c>
      <c r="B1987" t="s">
        <v>335</v>
      </c>
      <c r="C1987" t="s">
        <v>82</v>
      </c>
      <c r="D1987" t="s">
        <v>83</v>
      </c>
      <c r="E1987" t="s">
        <v>347</v>
      </c>
      <c r="F1987">
        <v>524288</v>
      </c>
      <c r="G1987">
        <f>MAX(I1985,I1986)</f>
        <v>2302432</v>
      </c>
      <c r="H1987">
        <f>CEILING((dram_access_latency+F1987/dram_bandwidth)*frequency,1)</f>
        <v>8292</v>
      </c>
      <c r="I1987">
        <f>G1987+H1987</f>
        <v>2310724</v>
      </c>
      <c r="J1987">
        <f>IF(AND(D1987&lt;&gt;"dram",D1987&lt;&gt;"control"),H1987,0)</f>
        <v>0</v>
      </c>
      <c r="K1987">
        <f>IF(D1987="dram",H1987,0)</f>
        <v>8292</v>
      </c>
      <c r="L1987">
        <v>524288</v>
      </c>
      <c r="M1987">
        <v>0</v>
      </c>
    </row>
    <row r="1988" spans="1:13">
      <c r="A1988">
        <v>1986</v>
      </c>
      <c r="B1988" t="s">
        <v>337</v>
      </c>
      <c r="C1988" t="s">
        <v>82</v>
      </c>
      <c r="D1988" t="s">
        <v>83</v>
      </c>
      <c r="E1988" t="s">
        <v>347</v>
      </c>
      <c r="F1988">
        <v>16384</v>
      </c>
      <c r="G1988">
        <f>MAX(I1985,I1987)</f>
        <v>2310724</v>
      </c>
      <c r="H1988">
        <f>CEILING((dram_access_latency+F1988/dram_bandwidth)*frequency,1)</f>
        <v>356</v>
      </c>
      <c r="I1988">
        <f>G1988+H1988</f>
        <v>2311080</v>
      </c>
      <c r="J1988">
        <f>IF(AND(D1988&lt;&gt;"dram",D1988&lt;&gt;"control"),H1988,0)</f>
        <v>0</v>
      </c>
      <c r="K1988">
        <f>IF(D1988="dram",H1988,0)</f>
        <v>356</v>
      </c>
      <c r="L1988">
        <v>16384</v>
      </c>
      <c r="M1988">
        <v>0</v>
      </c>
    </row>
    <row r="1989" spans="1:13">
      <c r="A1989">
        <v>1987</v>
      </c>
      <c r="B1989" t="s">
        <v>55</v>
      </c>
      <c r="C1989" t="s">
        <v>90</v>
      </c>
      <c r="D1989" t="s">
        <v>108</v>
      </c>
      <c r="E1989" t="s">
        <v>347</v>
      </c>
      <c r="F1989">
        <v>0</v>
      </c>
      <c r="G1989">
        <f>MAX(I1984,I1984,I1792,I1987,I1794,I1988,I1986)</f>
        <v>2319201</v>
      </c>
      <c r="H1989">
        <f>'Operations'!I23</f>
        <v>16901</v>
      </c>
      <c r="I1989">
        <f>G1989+H1989</f>
        <v>2336102</v>
      </c>
      <c r="J1989">
        <f>IF(AND(D1989&lt;&gt;"dram",D1989&lt;&gt;"control"),H1989,0)</f>
        <v>16901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338</v>
      </c>
      <c r="C1990" t="s">
        <v>88</v>
      </c>
      <c r="D1990" t="s">
        <v>89</v>
      </c>
      <c r="E1990" t="s">
        <v>347</v>
      </c>
      <c r="F1990">
        <v>0</v>
      </c>
      <c r="G1990">
        <f>MAX(I1985,I1984)</f>
        <v>2302300</v>
      </c>
      <c r="H1990">
        <f>0</f>
        <v>16901</v>
      </c>
      <c r="I1990">
        <f>G1990+H1990</f>
        <v>2319201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339</v>
      </c>
      <c r="C1991" t="s">
        <v>92</v>
      </c>
      <c r="D1991" t="s">
        <v>83</v>
      </c>
      <c r="E1991" t="s">
        <v>347</v>
      </c>
      <c r="F1991">
        <v>2048</v>
      </c>
      <c r="G1991">
        <f>MAX(I1990,I1988)</f>
        <v>2319201</v>
      </c>
      <c r="H1991">
        <f>CEILING((dram_access_latency+F1991/dram_bandwidth)*frequency,1)</f>
        <v>132</v>
      </c>
      <c r="I1991">
        <f>G1991+H1991</f>
        <v>2319333</v>
      </c>
      <c r="J1991">
        <f>IF(AND(D1991&lt;&gt;"dram",D1991&lt;&gt;"control"),H1991,0)</f>
        <v>0</v>
      </c>
      <c r="K1991">
        <f>IF(D1991="dram",H1991,0)</f>
        <v>132</v>
      </c>
      <c r="L1991">
        <v>0</v>
      </c>
      <c r="M1991">
        <v>2048</v>
      </c>
    </row>
    <row r="1992" spans="1:13">
      <c r="A1992">
        <v>1990</v>
      </c>
      <c r="B1992" t="s">
        <v>335</v>
      </c>
      <c r="C1992" t="s">
        <v>82</v>
      </c>
      <c r="D1992" t="s">
        <v>83</v>
      </c>
      <c r="E1992" t="s">
        <v>348</v>
      </c>
      <c r="F1992">
        <v>524288</v>
      </c>
      <c r="G1992">
        <f>MAX(I1990,I1991)</f>
        <v>2319333</v>
      </c>
      <c r="H1992">
        <f>CEILING((dram_access_latency+F1992/dram_bandwidth)*frequency,1)</f>
        <v>8292</v>
      </c>
      <c r="I1992">
        <f>G1992+H1992</f>
        <v>2327625</v>
      </c>
      <c r="J1992">
        <f>IF(AND(D1992&lt;&gt;"dram",D1992&lt;&gt;"control"),H1992,0)</f>
        <v>0</v>
      </c>
      <c r="K1992">
        <f>IF(D1992="dram",H1992,0)</f>
        <v>8292</v>
      </c>
      <c r="L1992">
        <v>524288</v>
      </c>
      <c r="M1992">
        <v>0</v>
      </c>
    </row>
    <row r="1993" spans="1:13">
      <c r="A1993">
        <v>1991</v>
      </c>
      <c r="B1993" t="s">
        <v>337</v>
      </c>
      <c r="C1993" t="s">
        <v>82</v>
      </c>
      <c r="D1993" t="s">
        <v>83</v>
      </c>
      <c r="E1993" t="s">
        <v>348</v>
      </c>
      <c r="F1993">
        <v>16384</v>
      </c>
      <c r="G1993">
        <f>MAX(I1990,I1992)</f>
        <v>2327625</v>
      </c>
      <c r="H1993">
        <f>CEILING((dram_access_latency+F1993/dram_bandwidth)*frequency,1)</f>
        <v>356</v>
      </c>
      <c r="I1993">
        <f>G1993+H1993</f>
        <v>2327981</v>
      </c>
      <c r="J1993">
        <f>IF(AND(D1993&lt;&gt;"dram",D1993&lt;&gt;"control"),H1993,0)</f>
        <v>0</v>
      </c>
      <c r="K1993">
        <f>IF(D1993="dram",H1993,0)</f>
        <v>356</v>
      </c>
      <c r="L1993">
        <v>16384</v>
      </c>
      <c r="M1993">
        <v>0</v>
      </c>
    </row>
    <row r="1994" spans="1:13">
      <c r="A1994">
        <v>1992</v>
      </c>
      <c r="B1994" t="s">
        <v>55</v>
      </c>
      <c r="C1994" t="s">
        <v>90</v>
      </c>
      <c r="D1994" t="s">
        <v>108</v>
      </c>
      <c r="E1994" t="s">
        <v>348</v>
      </c>
      <c r="F1994">
        <v>0</v>
      </c>
      <c r="G1994">
        <f>MAX(I1989,I1989,I1792,I1992,I1794,I1993,I1991)</f>
        <v>2336102</v>
      </c>
      <c r="H1994">
        <f>'Operations'!I23</f>
        <v>16901</v>
      </c>
      <c r="I1994">
        <f>G1994+H1994</f>
        <v>2353003</v>
      </c>
      <c r="J1994">
        <f>IF(AND(D1994&lt;&gt;"dram",D1994&lt;&gt;"control"),H1994,0)</f>
        <v>16901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338</v>
      </c>
      <c r="C1995" t="s">
        <v>88</v>
      </c>
      <c r="D1995" t="s">
        <v>89</v>
      </c>
      <c r="E1995" t="s">
        <v>348</v>
      </c>
      <c r="F1995">
        <v>0</v>
      </c>
      <c r="G1995">
        <f>MAX(I1990,I1989)</f>
        <v>2319201</v>
      </c>
      <c r="H1995">
        <f>0</f>
        <v>16901</v>
      </c>
      <c r="I1995">
        <f>G1995+H1995</f>
        <v>2336102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339</v>
      </c>
      <c r="C1996" t="s">
        <v>92</v>
      </c>
      <c r="D1996" t="s">
        <v>83</v>
      </c>
      <c r="E1996" t="s">
        <v>348</v>
      </c>
      <c r="F1996">
        <v>2048</v>
      </c>
      <c r="G1996">
        <f>MAX(I1995,I1993)</f>
        <v>2336102</v>
      </c>
      <c r="H1996">
        <f>CEILING((dram_access_latency+F1996/dram_bandwidth)*frequency,1)</f>
        <v>132</v>
      </c>
      <c r="I1996">
        <f>G1996+H1996</f>
        <v>2336234</v>
      </c>
      <c r="J1996">
        <f>IF(AND(D1996&lt;&gt;"dram",D1996&lt;&gt;"control"),H1996,0)</f>
        <v>0</v>
      </c>
      <c r="K1996">
        <f>IF(D1996="dram",H1996,0)</f>
        <v>132</v>
      </c>
      <c r="L1996">
        <v>0</v>
      </c>
      <c r="M1996">
        <v>2048</v>
      </c>
    </row>
    <row r="1997" spans="1:13">
      <c r="A1997">
        <v>1995</v>
      </c>
      <c r="B1997" t="s">
        <v>335</v>
      </c>
      <c r="C1997" t="s">
        <v>82</v>
      </c>
      <c r="D1997" t="s">
        <v>83</v>
      </c>
      <c r="E1997" t="s">
        <v>349</v>
      </c>
      <c r="F1997">
        <v>524288</v>
      </c>
      <c r="G1997">
        <f>MAX(I1995,I1996)</f>
        <v>2336234</v>
      </c>
      <c r="H1997">
        <f>CEILING((dram_access_latency+F1997/dram_bandwidth)*frequency,1)</f>
        <v>8292</v>
      </c>
      <c r="I1997">
        <f>G1997+H1997</f>
        <v>2344526</v>
      </c>
      <c r="J1997">
        <f>IF(AND(D1997&lt;&gt;"dram",D1997&lt;&gt;"control"),H1997,0)</f>
        <v>0</v>
      </c>
      <c r="K1997">
        <f>IF(D1997="dram",H1997,0)</f>
        <v>8292</v>
      </c>
      <c r="L1997">
        <v>524288</v>
      </c>
      <c r="M1997">
        <v>0</v>
      </c>
    </row>
    <row r="1998" spans="1:13">
      <c r="A1998">
        <v>1996</v>
      </c>
      <c r="B1998" t="s">
        <v>337</v>
      </c>
      <c r="C1998" t="s">
        <v>82</v>
      </c>
      <c r="D1998" t="s">
        <v>83</v>
      </c>
      <c r="E1998" t="s">
        <v>349</v>
      </c>
      <c r="F1998">
        <v>16384</v>
      </c>
      <c r="G1998">
        <f>MAX(I1995,I1997)</f>
        <v>2344526</v>
      </c>
      <c r="H1998">
        <f>CEILING((dram_access_latency+F1998/dram_bandwidth)*frequency,1)</f>
        <v>356</v>
      </c>
      <c r="I1998">
        <f>G1998+H1998</f>
        <v>2344882</v>
      </c>
      <c r="J1998">
        <f>IF(AND(D1998&lt;&gt;"dram",D1998&lt;&gt;"control"),H1998,0)</f>
        <v>0</v>
      </c>
      <c r="K1998">
        <f>IF(D1998="dram",H1998,0)</f>
        <v>356</v>
      </c>
      <c r="L1998">
        <v>16384</v>
      </c>
      <c r="M1998">
        <v>0</v>
      </c>
    </row>
    <row r="1999" spans="1:13">
      <c r="A1999">
        <v>1997</v>
      </c>
      <c r="B1999" t="s">
        <v>55</v>
      </c>
      <c r="C1999" t="s">
        <v>90</v>
      </c>
      <c r="D1999" t="s">
        <v>108</v>
      </c>
      <c r="E1999" t="s">
        <v>349</v>
      </c>
      <c r="F1999">
        <v>0</v>
      </c>
      <c r="G1999">
        <f>MAX(I1994,I1994,I1792,I1997,I1794,I1998,I1996)</f>
        <v>2353003</v>
      </c>
      <c r="H1999">
        <f>'Operations'!I23</f>
        <v>16901</v>
      </c>
      <c r="I1999">
        <f>G1999+H1999</f>
        <v>2369904</v>
      </c>
      <c r="J1999">
        <f>IF(AND(D1999&lt;&gt;"dram",D1999&lt;&gt;"control"),H1999,0)</f>
        <v>16901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338</v>
      </c>
      <c r="C2000" t="s">
        <v>88</v>
      </c>
      <c r="D2000" t="s">
        <v>89</v>
      </c>
      <c r="E2000" t="s">
        <v>349</v>
      </c>
      <c r="F2000">
        <v>0</v>
      </c>
      <c r="G2000">
        <f>MAX(I1995,I1994)</f>
        <v>2336102</v>
      </c>
      <c r="H2000">
        <f>0</f>
        <v>16901</v>
      </c>
      <c r="I2000">
        <f>G2000+H2000</f>
        <v>2353003</v>
      </c>
      <c r="J2000">
        <f>IF(AND(D2000&lt;&gt;"dram",D2000&lt;&gt;"control"),H2000,0)</f>
        <v>0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339</v>
      </c>
      <c r="C2001" t="s">
        <v>92</v>
      </c>
      <c r="D2001" t="s">
        <v>83</v>
      </c>
      <c r="E2001" t="s">
        <v>349</v>
      </c>
      <c r="F2001">
        <v>2048</v>
      </c>
      <c r="G2001">
        <f>MAX(I2000,I1998)</f>
        <v>2353003</v>
      </c>
      <c r="H2001">
        <f>CEILING((dram_access_latency+F2001/dram_bandwidth)*frequency,1)</f>
        <v>132</v>
      </c>
      <c r="I2001">
        <f>G2001+H2001</f>
        <v>2353135</v>
      </c>
      <c r="J2001">
        <f>IF(AND(D2001&lt;&gt;"dram",D2001&lt;&gt;"control"),H2001,0)</f>
        <v>0</v>
      </c>
      <c r="K2001">
        <f>IF(D2001="dram",H2001,0)</f>
        <v>132</v>
      </c>
      <c r="L2001">
        <v>0</v>
      </c>
      <c r="M2001">
        <v>2048</v>
      </c>
    </row>
    <row r="2002" spans="1:13">
      <c r="A2002">
        <v>2000</v>
      </c>
      <c r="B2002" t="s">
        <v>335</v>
      </c>
      <c r="C2002" t="s">
        <v>82</v>
      </c>
      <c r="D2002" t="s">
        <v>83</v>
      </c>
      <c r="E2002" t="s">
        <v>350</v>
      </c>
      <c r="F2002">
        <v>524288</v>
      </c>
      <c r="G2002">
        <f>MAX(I2000,I2001)</f>
        <v>2353135</v>
      </c>
      <c r="H2002">
        <f>CEILING((dram_access_latency+F2002/dram_bandwidth)*frequency,1)</f>
        <v>8292</v>
      </c>
      <c r="I2002">
        <f>G2002+H2002</f>
        <v>2361427</v>
      </c>
      <c r="J2002">
        <f>IF(AND(D2002&lt;&gt;"dram",D2002&lt;&gt;"control"),H2002,0)</f>
        <v>0</v>
      </c>
      <c r="K2002">
        <f>IF(D2002="dram",H2002,0)</f>
        <v>8292</v>
      </c>
      <c r="L2002">
        <v>524288</v>
      </c>
      <c r="M2002">
        <v>0</v>
      </c>
    </row>
    <row r="2003" spans="1:13">
      <c r="A2003">
        <v>2001</v>
      </c>
      <c r="B2003" t="s">
        <v>337</v>
      </c>
      <c r="C2003" t="s">
        <v>82</v>
      </c>
      <c r="D2003" t="s">
        <v>83</v>
      </c>
      <c r="E2003" t="s">
        <v>350</v>
      </c>
      <c r="F2003">
        <v>16384</v>
      </c>
      <c r="G2003">
        <f>MAX(I2000,I2002)</f>
        <v>2361427</v>
      </c>
      <c r="H2003">
        <f>CEILING((dram_access_latency+F2003/dram_bandwidth)*frequency,1)</f>
        <v>356</v>
      </c>
      <c r="I2003">
        <f>G2003+H2003</f>
        <v>2361783</v>
      </c>
      <c r="J2003">
        <f>IF(AND(D2003&lt;&gt;"dram",D2003&lt;&gt;"control"),H2003,0)</f>
        <v>0</v>
      </c>
      <c r="K2003">
        <f>IF(D2003="dram",H2003,0)</f>
        <v>356</v>
      </c>
      <c r="L2003">
        <v>16384</v>
      </c>
      <c r="M2003">
        <v>0</v>
      </c>
    </row>
    <row r="2004" spans="1:13">
      <c r="A2004">
        <v>2002</v>
      </c>
      <c r="B2004" t="s">
        <v>55</v>
      </c>
      <c r="C2004" t="s">
        <v>90</v>
      </c>
      <c r="D2004" t="s">
        <v>108</v>
      </c>
      <c r="E2004" t="s">
        <v>350</v>
      </c>
      <c r="F2004">
        <v>0</v>
      </c>
      <c r="G2004">
        <f>MAX(I1999,I1999,I1792,I2002,I1794,I2003,I2001)</f>
        <v>2369904</v>
      </c>
      <c r="H2004">
        <f>'Operations'!I23</f>
        <v>16901</v>
      </c>
      <c r="I2004">
        <f>G2004+H2004</f>
        <v>2386805</v>
      </c>
      <c r="J2004">
        <f>IF(AND(D2004&lt;&gt;"dram",D2004&lt;&gt;"control"),H2004,0)</f>
        <v>16901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338</v>
      </c>
      <c r="C2005" t="s">
        <v>88</v>
      </c>
      <c r="D2005" t="s">
        <v>89</v>
      </c>
      <c r="E2005" t="s">
        <v>350</v>
      </c>
      <c r="F2005">
        <v>0</v>
      </c>
      <c r="G2005">
        <f>MAX(I2000,I1999)</f>
        <v>2353003</v>
      </c>
      <c r="H2005">
        <f>0</f>
        <v>16901</v>
      </c>
      <c r="I2005">
        <f>G2005+H2005</f>
        <v>2369904</v>
      </c>
      <c r="J2005">
        <f>IF(AND(D2005&lt;&gt;"dram",D2005&lt;&gt;"control"),H2005,0)</f>
        <v>0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339</v>
      </c>
      <c r="C2006" t="s">
        <v>92</v>
      </c>
      <c r="D2006" t="s">
        <v>83</v>
      </c>
      <c r="E2006" t="s">
        <v>350</v>
      </c>
      <c r="F2006">
        <v>2048</v>
      </c>
      <c r="G2006">
        <f>MAX(I2005,I2003)</f>
        <v>2369904</v>
      </c>
      <c r="H2006">
        <f>CEILING((dram_access_latency+F2006/dram_bandwidth)*frequency,1)</f>
        <v>132</v>
      </c>
      <c r="I2006">
        <f>G2006+H2006</f>
        <v>2370036</v>
      </c>
      <c r="J2006">
        <f>IF(AND(D2006&lt;&gt;"dram",D2006&lt;&gt;"control"),H2006,0)</f>
        <v>0</v>
      </c>
      <c r="K2006">
        <f>IF(D2006="dram",H2006,0)</f>
        <v>132</v>
      </c>
      <c r="L2006">
        <v>0</v>
      </c>
      <c r="M2006">
        <v>2048</v>
      </c>
    </row>
    <row r="2007" spans="1:13">
      <c r="A2007">
        <v>2005</v>
      </c>
      <c r="B2007" t="s">
        <v>351</v>
      </c>
      <c r="C2007" t="s">
        <v>88</v>
      </c>
      <c r="D2007" t="s">
        <v>89</v>
      </c>
      <c r="E2007" t="s">
        <v>84</v>
      </c>
      <c r="F2007">
        <v>0</v>
      </c>
      <c r="G2007">
        <f>MAX(I2005,I2004)</f>
        <v>2369904</v>
      </c>
      <c r="H2007">
        <f>0</f>
        <v>16901</v>
      </c>
      <c r="I2007">
        <f>G2007+H2007</f>
        <v>2386805</v>
      </c>
      <c r="J2007">
        <f>IF(AND(D2007&lt;&gt;"dram",D2007&lt;&gt;"control"),H2007,0)</f>
        <v>0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352</v>
      </c>
      <c r="C2008" t="s">
        <v>92</v>
      </c>
      <c r="D2008" t="s">
        <v>83</v>
      </c>
      <c r="E2008" t="s">
        <v>84</v>
      </c>
      <c r="F2008">
        <v>2048</v>
      </c>
      <c r="G2008">
        <f>MAX(I2007,I2006)</f>
        <v>2386805</v>
      </c>
      <c r="H2008">
        <f>CEILING((dram_access_latency+F2008/dram_bandwidth)*frequency,1)</f>
        <v>132</v>
      </c>
      <c r="I2008">
        <f>G2008+H2008</f>
        <v>2386937</v>
      </c>
      <c r="J2008">
        <f>IF(AND(D2008&lt;&gt;"dram",D2008&lt;&gt;"control"),H2008,0)</f>
        <v>0</v>
      </c>
      <c r="K2008">
        <f>IF(D2008="dram",H2008,0)</f>
        <v>132</v>
      </c>
      <c r="L2008">
        <v>0</v>
      </c>
      <c r="M2008">
        <v>2048</v>
      </c>
    </row>
    <row r="2009" spans="1:13">
      <c r="A2009">
        <v>2007</v>
      </c>
      <c r="B2009" t="s">
        <v>353</v>
      </c>
      <c r="C2009" t="s">
        <v>88</v>
      </c>
      <c r="D2009" t="s">
        <v>89</v>
      </c>
      <c r="E2009" t="s">
        <v>84</v>
      </c>
      <c r="F2009">
        <v>0</v>
      </c>
      <c r="G2009">
        <f>MAX(I2007,I2008)</f>
        <v>2386805</v>
      </c>
      <c r="H2009">
        <f>0</f>
        <v>132</v>
      </c>
      <c r="I2009">
        <f>G2009+H2009</f>
        <v>2386937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354</v>
      </c>
      <c r="C2010" t="s">
        <v>88</v>
      </c>
      <c r="D2010" t="s">
        <v>89</v>
      </c>
      <c r="E2010" t="s">
        <v>84</v>
      </c>
      <c r="F2010">
        <v>0</v>
      </c>
      <c r="G2010">
        <f>MAX(I2009,I2006)</f>
        <v>2386937</v>
      </c>
      <c r="H2010">
        <f>0</f>
        <v>0</v>
      </c>
      <c r="I2010">
        <f>G2010+H2010</f>
        <v>2386937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355</v>
      </c>
      <c r="C2011" t="s">
        <v>82</v>
      </c>
      <c r="D2011" t="s">
        <v>83</v>
      </c>
      <c r="E2011" t="s">
        <v>86</v>
      </c>
      <c r="F2011">
        <v>8192</v>
      </c>
      <c r="G2011">
        <f>MAX(I2010,I2008)</f>
        <v>2386937</v>
      </c>
      <c r="H2011">
        <f>CEILING((dram_access_latency+F2011/dram_bandwidth)*frequency,1)</f>
        <v>228</v>
      </c>
      <c r="I2011">
        <f>G2011+H2011</f>
        <v>2387165</v>
      </c>
      <c r="J2011">
        <f>IF(AND(D2011&lt;&gt;"dram",D2011&lt;&gt;"control"),H2011,0)</f>
        <v>0</v>
      </c>
      <c r="K2011">
        <f>IF(D2011="dram",H2011,0)</f>
        <v>228</v>
      </c>
      <c r="L2011">
        <v>8192</v>
      </c>
      <c r="M2011">
        <v>0</v>
      </c>
    </row>
    <row r="2012" spans="1:13">
      <c r="A2012">
        <v>2010</v>
      </c>
      <c r="B2012" t="s">
        <v>356</v>
      </c>
      <c r="C2012" t="s">
        <v>82</v>
      </c>
      <c r="D2012" t="s">
        <v>83</v>
      </c>
      <c r="E2012" t="s">
        <v>86</v>
      </c>
      <c r="F2012">
        <v>524288</v>
      </c>
      <c r="G2012">
        <f>MAX(I2010,I2011)</f>
        <v>2387165</v>
      </c>
      <c r="H2012">
        <f>CEILING((dram_access_latency+F2012/dram_bandwidth)*frequency,1)</f>
        <v>8292</v>
      </c>
      <c r="I2012">
        <f>G2012+H2012</f>
        <v>2395457</v>
      </c>
      <c r="J2012">
        <f>IF(AND(D2012&lt;&gt;"dram",D2012&lt;&gt;"control"),H2012,0)</f>
        <v>0</v>
      </c>
      <c r="K2012">
        <f>IF(D2012="dram",H2012,0)</f>
        <v>8292</v>
      </c>
      <c r="L2012">
        <v>524288</v>
      </c>
      <c r="M2012">
        <v>0</v>
      </c>
    </row>
    <row r="2013" spans="1:13">
      <c r="A2013">
        <v>2011</v>
      </c>
      <c r="B2013" t="s">
        <v>357</v>
      </c>
      <c r="C2013" t="s">
        <v>82</v>
      </c>
      <c r="D2013" t="s">
        <v>83</v>
      </c>
      <c r="E2013" t="s">
        <v>86</v>
      </c>
      <c r="F2013">
        <v>256</v>
      </c>
      <c r="G2013">
        <f>MAX(I2010,I2012)</f>
        <v>2395457</v>
      </c>
      <c r="H2013">
        <f>CEILING((dram_access_latency+F2013/dram_bandwidth)*frequency,1)</f>
        <v>104</v>
      </c>
      <c r="I2013">
        <f>G2013+H2013</f>
        <v>2395561</v>
      </c>
      <c r="J2013">
        <f>IF(AND(D2013&lt;&gt;"dram",D2013&lt;&gt;"control"),H2013,0)</f>
        <v>0</v>
      </c>
      <c r="K2013">
        <f>IF(D2013="dram",H2013,0)</f>
        <v>104</v>
      </c>
      <c r="L2013">
        <v>256</v>
      </c>
      <c r="M2013">
        <v>0</v>
      </c>
    </row>
    <row r="2014" spans="1:13">
      <c r="A2014">
        <v>2012</v>
      </c>
      <c r="B2014" t="s">
        <v>358</v>
      </c>
      <c r="C2014" t="s">
        <v>82</v>
      </c>
      <c r="D2014" t="s">
        <v>83</v>
      </c>
      <c r="E2014" t="s">
        <v>86</v>
      </c>
      <c r="F2014">
        <v>16384</v>
      </c>
      <c r="G2014">
        <f>MAX(I2010,I2013)</f>
        <v>2395561</v>
      </c>
      <c r="H2014">
        <f>CEILING((dram_access_latency+F2014/dram_bandwidth)*frequency,1)</f>
        <v>356</v>
      </c>
      <c r="I2014">
        <f>G2014+H2014</f>
        <v>2395917</v>
      </c>
      <c r="J2014">
        <f>IF(AND(D2014&lt;&gt;"dram",D2014&lt;&gt;"control"),H2014,0)</f>
        <v>0</v>
      </c>
      <c r="K2014">
        <f>IF(D2014="dram",H2014,0)</f>
        <v>356</v>
      </c>
      <c r="L2014">
        <v>16384</v>
      </c>
      <c r="M2014">
        <v>0</v>
      </c>
    </row>
    <row r="2015" spans="1:13">
      <c r="A2015">
        <v>2013</v>
      </c>
      <c r="B2015" t="s">
        <v>359</v>
      </c>
      <c r="C2015" t="s">
        <v>82</v>
      </c>
      <c r="D2015" t="s">
        <v>83</v>
      </c>
      <c r="E2015" t="s">
        <v>86</v>
      </c>
      <c r="F2015">
        <v>2048</v>
      </c>
      <c r="G2015">
        <f>MAX(I2010,I2014)</f>
        <v>2395917</v>
      </c>
      <c r="H2015">
        <f>CEILING((dram_access_latency+F2015/dram_bandwidth)*frequency,1)</f>
        <v>132</v>
      </c>
      <c r="I2015">
        <f>G2015+H2015</f>
        <v>2396049</v>
      </c>
      <c r="J2015">
        <f>IF(AND(D2015&lt;&gt;"dram",D2015&lt;&gt;"control"),H2015,0)</f>
        <v>0</v>
      </c>
      <c r="K2015">
        <f>IF(D2015="dram",H2015,0)</f>
        <v>132</v>
      </c>
      <c r="L2015">
        <v>2048</v>
      </c>
      <c r="M2015">
        <v>0</v>
      </c>
    </row>
    <row r="2016" spans="1:13">
      <c r="A2016">
        <v>2014</v>
      </c>
      <c r="B2016" t="s">
        <v>58</v>
      </c>
      <c r="C2016" t="s">
        <v>90</v>
      </c>
      <c r="D2016" t="s">
        <v>108</v>
      </c>
      <c r="E2016" t="s">
        <v>86</v>
      </c>
      <c r="F2016">
        <v>0</v>
      </c>
      <c r="G2016">
        <f>MAX(I2004,I2004,I2011,I2012,I2013,I2014,I2015)</f>
        <v>2396049</v>
      </c>
      <c r="H2016">
        <f>'Operations'!I24</f>
        <v>16901</v>
      </c>
      <c r="I2016">
        <f>G2016+H2016</f>
        <v>2412950</v>
      </c>
      <c r="J2016">
        <f>IF(AND(D2016&lt;&gt;"dram",D2016&lt;&gt;"control"),H2016,0)</f>
        <v>16901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356</v>
      </c>
      <c r="C2017" t="s">
        <v>82</v>
      </c>
      <c r="D2017" t="s">
        <v>83</v>
      </c>
      <c r="E2017" t="s">
        <v>93</v>
      </c>
      <c r="F2017">
        <v>524288</v>
      </c>
      <c r="G2017">
        <f>MAX(I2010,I2015)</f>
        <v>2396049</v>
      </c>
      <c r="H2017">
        <f>CEILING((dram_access_latency+F2017/dram_bandwidth)*frequency,1)</f>
        <v>8292</v>
      </c>
      <c r="I2017">
        <f>G2017+H2017</f>
        <v>2404341</v>
      </c>
      <c r="J2017">
        <f>IF(AND(D2017&lt;&gt;"dram",D2017&lt;&gt;"control"),H2017,0)</f>
        <v>0</v>
      </c>
      <c r="K2017">
        <f>IF(D2017="dram",H2017,0)</f>
        <v>8292</v>
      </c>
      <c r="L2017">
        <v>524288</v>
      </c>
      <c r="M2017">
        <v>0</v>
      </c>
    </row>
    <row r="2018" spans="1:13">
      <c r="A2018">
        <v>2016</v>
      </c>
      <c r="B2018" t="s">
        <v>358</v>
      </c>
      <c r="C2018" t="s">
        <v>82</v>
      </c>
      <c r="D2018" t="s">
        <v>83</v>
      </c>
      <c r="E2018" t="s">
        <v>93</v>
      </c>
      <c r="F2018">
        <v>16384</v>
      </c>
      <c r="G2018">
        <f>MAX(I2010,I2017)</f>
        <v>2404341</v>
      </c>
      <c r="H2018">
        <f>CEILING((dram_access_latency+F2018/dram_bandwidth)*frequency,1)</f>
        <v>356</v>
      </c>
      <c r="I2018">
        <f>G2018+H2018</f>
        <v>2404697</v>
      </c>
      <c r="J2018">
        <f>IF(AND(D2018&lt;&gt;"dram",D2018&lt;&gt;"control"),H2018,0)</f>
        <v>0</v>
      </c>
      <c r="K2018">
        <f>IF(D2018="dram",H2018,0)</f>
        <v>356</v>
      </c>
      <c r="L2018">
        <v>16384</v>
      </c>
      <c r="M2018">
        <v>0</v>
      </c>
    </row>
    <row r="2019" spans="1:13">
      <c r="A2019">
        <v>2017</v>
      </c>
      <c r="B2019" t="s">
        <v>359</v>
      </c>
      <c r="C2019" t="s">
        <v>82</v>
      </c>
      <c r="D2019" t="s">
        <v>83</v>
      </c>
      <c r="E2019" t="s">
        <v>93</v>
      </c>
      <c r="F2019">
        <v>2048</v>
      </c>
      <c r="G2019">
        <f>MAX(I2010,I2018)</f>
        <v>2404697</v>
      </c>
      <c r="H2019">
        <f>CEILING((dram_access_latency+F2019/dram_bandwidth)*frequency,1)</f>
        <v>132</v>
      </c>
      <c r="I2019">
        <f>G2019+H2019</f>
        <v>2404829</v>
      </c>
      <c r="J2019">
        <f>IF(AND(D2019&lt;&gt;"dram",D2019&lt;&gt;"control"),H2019,0)</f>
        <v>0</v>
      </c>
      <c r="K2019">
        <f>IF(D2019="dram",H2019,0)</f>
        <v>132</v>
      </c>
      <c r="L2019">
        <v>2048</v>
      </c>
      <c r="M2019">
        <v>0</v>
      </c>
    </row>
    <row r="2020" spans="1:13">
      <c r="A2020">
        <v>2018</v>
      </c>
      <c r="B2020" t="s">
        <v>58</v>
      </c>
      <c r="C2020" t="s">
        <v>90</v>
      </c>
      <c r="D2020" t="s">
        <v>108</v>
      </c>
      <c r="E2020" t="s">
        <v>93</v>
      </c>
      <c r="F2020">
        <v>0</v>
      </c>
      <c r="G2020">
        <f>MAX(I2016,I2016,I2011,I2017,I2013,I2018,I2019)</f>
        <v>2412950</v>
      </c>
      <c r="H2020">
        <f>'Operations'!I24</f>
        <v>16901</v>
      </c>
      <c r="I2020">
        <f>G2020+H2020</f>
        <v>2429851</v>
      </c>
      <c r="J2020">
        <f>IF(AND(D2020&lt;&gt;"dram",D2020&lt;&gt;"control"),H2020,0)</f>
        <v>16901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360</v>
      </c>
      <c r="C2021" t="s">
        <v>88</v>
      </c>
      <c r="D2021" t="s">
        <v>89</v>
      </c>
      <c r="E2021" t="s">
        <v>93</v>
      </c>
      <c r="F2021">
        <v>0</v>
      </c>
      <c r="G2021">
        <f>MAX(I2010,I2016)</f>
        <v>2386937</v>
      </c>
      <c r="H2021">
        <f>0</f>
        <v>26013</v>
      </c>
      <c r="I2021">
        <f>G2021+H2021</f>
        <v>2412950</v>
      </c>
      <c r="J2021">
        <f>IF(AND(D2021&lt;&gt;"dram",D2021&lt;&gt;"control"),H2021,0)</f>
        <v>0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361</v>
      </c>
      <c r="C2022" t="s">
        <v>92</v>
      </c>
      <c r="D2022" t="s">
        <v>83</v>
      </c>
      <c r="E2022" t="s">
        <v>93</v>
      </c>
      <c r="F2022">
        <v>16</v>
      </c>
      <c r="G2022">
        <f>MAX(I2021,I2019)</f>
        <v>2412950</v>
      </c>
      <c r="H2022">
        <f>CEILING((dram_access_latency+F2022/dram_bandwidth)*frequency,1)</f>
        <v>101</v>
      </c>
      <c r="I2022">
        <f>G2022+H2022</f>
        <v>2413051</v>
      </c>
      <c r="J2022">
        <f>IF(AND(D2022&lt;&gt;"dram",D2022&lt;&gt;"control"),H2022,0)</f>
        <v>0</v>
      </c>
      <c r="K2022">
        <f>IF(D2022="dram",H2022,0)</f>
        <v>101</v>
      </c>
      <c r="L2022">
        <v>0</v>
      </c>
      <c r="M2022">
        <v>16</v>
      </c>
    </row>
    <row r="2023" spans="1:13">
      <c r="A2023">
        <v>2021</v>
      </c>
      <c r="B2023" t="s">
        <v>362</v>
      </c>
      <c r="C2023" t="s">
        <v>92</v>
      </c>
      <c r="D2023" t="s">
        <v>83</v>
      </c>
      <c r="E2023" t="s">
        <v>93</v>
      </c>
      <c r="F2023">
        <v>512</v>
      </c>
      <c r="G2023">
        <f>MAX(I2021,I2022)</f>
        <v>2413051</v>
      </c>
      <c r="H2023">
        <f>CEILING((dram_access_latency+F2023/dram_bandwidth)*frequency,1)</f>
        <v>108</v>
      </c>
      <c r="I2023">
        <f>G2023+H2023</f>
        <v>2413159</v>
      </c>
      <c r="J2023">
        <f>IF(AND(D2023&lt;&gt;"dram",D2023&lt;&gt;"control"),H2023,0)</f>
        <v>0</v>
      </c>
      <c r="K2023">
        <f>IF(D2023="dram",H2023,0)</f>
        <v>108</v>
      </c>
      <c r="L2023">
        <v>0</v>
      </c>
      <c r="M2023">
        <v>512</v>
      </c>
    </row>
    <row r="2024" spans="1:13">
      <c r="A2024">
        <v>2022</v>
      </c>
      <c r="B2024" t="s">
        <v>356</v>
      </c>
      <c r="C2024" t="s">
        <v>82</v>
      </c>
      <c r="D2024" t="s">
        <v>83</v>
      </c>
      <c r="E2024" t="s">
        <v>111</v>
      </c>
      <c r="F2024">
        <v>524288</v>
      </c>
      <c r="G2024">
        <f>MAX(I2021,I2023)</f>
        <v>2413159</v>
      </c>
      <c r="H2024">
        <f>CEILING((dram_access_latency+F2024/dram_bandwidth)*frequency,1)</f>
        <v>8292</v>
      </c>
      <c r="I2024">
        <f>G2024+H2024</f>
        <v>2421451</v>
      </c>
      <c r="J2024">
        <f>IF(AND(D2024&lt;&gt;"dram",D2024&lt;&gt;"control"),H2024,0)</f>
        <v>0</v>
      </c>
      <c r="K2024">
        <f>IF(D2024="dram",H2024,0)</f>
        <v>8292</v>
      </c>
      <c r="L2024">
        <v>524288</v>
      </c>
      <c r="M2024">
        <v>0</v>
      </c>
    </row>
    <row r="2025" spans="1:13">
      <c r="A2025">
        <v>2023</v>
      </c>
      <c r="B2025" t="s">
        <v>358</v>
      </c>
      <c r="C2025" t="s">
        <v>82</v>
      </c>
      <c r="D2025" t="s">
        <v>83</v>
      </c>
      <c r="E2025" t="s">
        <v>111</v>
      </c>
      <c r="F2025">
        <v>16384</v>
      </c>
      <c r="G2025">
        <f>MAX(I2021,I2024)</f>
        <v>2421451</v>
      </c>
      <c r="H2025">
        <f>CEILING((dram_access_latency+F2025/dram_bandwidth)*frequency,1)</f>
        <v>356</v>
      </c>
      <c r="I2025">
        <f>G2025+H2025</f>
        <v>2421807</v>
      </c>
      <c r="J2025">
        <f>IF(AND(D2025&lt;&gt;"dram",D2025&lt;&gt;"control"),H2025,0)</f>
        <v>0</v>
      </c>
      <c r="K2025">
        <f>IF(D2025="dram",H2025,0)</f>
        <v>356</v>
      </c>
      <c r="L2025">
        <v>16384</v>
      </c>
      <c r="M2025">
        <v>0</v>
      </c>
    </row>
    <row r="2026" spans="1:13">
      <c r="A2026">
        <v>2024</v>
      </c>
      <c r="B2026" t="s">
        <v>359</v>
      </c>
      <c r="C2026" t="s">
        <v>82</v>
      </c>
      <c r="D2026" t="s">
        <v>83</v>
      </c>
      <c r="E2026" t="s">
        <v>111</v>
      </c>
      <c r="F2026">
        <v>2048</v>
      </c>
      <c r="G2026">
        <f>MAX(I2021,I2025)</f>
        <v>2421807</v>
      </c>
      <c r="H2026">
        <f>CEILING((dram_access_latency+F2026/dram_bandwidth)*frequency,1)</f>
        <v>132</v>
      </c>
      <c r="I2026">
        <f>G2026+H2026</f>
        <v>2421939</v>
      </c>
      <c r="J2026">
        <f>IF(AND(D2026&lt;&gt;"dram",D2026&lt;&gt;"control"),H2026,0)</f>
        <v>0</v>
      </c>
      <c r="K2026">
        <f>IF(D2026="dram",H2026,0)</f>
        <v>132</v>
      </c>
      <c r="L2026">
        <v>2048</v>
      </c>
      <c r="M2026">
        <v>0</v>
      </c>
    </row>
    <row r="2027" spans="1:13">
      <c r="A2027">
        <v>2025</v>
      </c>
      <c r="B2027" t="s">
        <v>58</v>
      </c>
      <c r="C2027" t="s">
        <v>90</v>
      </c>
      <c r="D2027" t="s">
        <v>108</v>
      </c>
      <c r="E2027" t="s">
        <v>111</v>
      </c>
      <c r="F2027">
        <v>0</v>
      </c>
      <c r="G2027">
        <f>MAX(I2020,I2020,I2011,I2024,I2013,I2025,I2026,I2022,I2023)</f>
        <v>2429851</v>
      </c>
      <c r="H2027">
        <f>'Operations'!I24</f>
        <v>16901</v>
      </c>
      <c r="I2027">
        <f>G2027+H2027</f>
        <v>2446752</v>
      </c>
      <c r="J2027">
        <f>IF(AND(D2027&lt;&gt;"dram",D2027&lt;&gt;"control"),H2027,0)</f>
        <v>16901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360</v>
      </c>
      <c r="C2028" t="s">
        <v>88</v>
      </c>
      <c r="D2028" t="s">
        <v>89</v>
      </c>
      <c r="E2028" t="s">
        <v>111</v>
      </c>
      <c r="F2028">
        <v>0</v>
      </c>
      <c r="G2028">
        <f>MAX(I2021,I2020)</f>
        <v>2412950</v>
      </c>
      <c r="H2028">
        <f>0</f>
        <v>16901</v>
      </c>
      <c r="I2028">
        <f>G2028+H2028</f>
        <v>2429851</v>
      </c>
      <c r="J2028">
        <f>IF(AND(D2028&lt;&gt;"dram",D2028&lt;&gt;"control"),H2028,0)</f>
        <v>0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361</v>
      </c>
      <c r="C2029" t="s">
        <v>92</v>
      </c>
      <c r="D2029" t="s">
        <v>83</v>
      </c>
      <c r="E2029" t="s">
        <v>111</v>
      </c>
      <c r="F2029">
        <v>16</v>
      </c>
      <c r="G2029">
        <f>MAX(I2028,I2026)</f>
        <v>2429851</v>
      </c>
      <c r="H2029">
        <f>CEILING((dram_access_latency+F2029/dram_bandwidth)*frequency,1)</f>
        <v>101</v>
      </c>
      <c r="I2029">
        <f>G2029+H2029</f>
        <v>2429952</v>
      </c>
      <c r="J2029">
        <f>IF(AND(D2029&lt;&gt;"dram",D2029&lt;&gt;"control"),H2029,0)</f>
        <v>0</v>
      </c>
      <c r="K2029">
        <f>IF(D2029="dram",H2029,0)</f>
        <v>101</v>
      </c>
      <c r="L2029">
        <v>0</v>
      </c>
      <c r="M2029">
        <v>16</v>
      </c>
    </row>
    <row r="2030" spans="1:13">
      <c r="A2030">
        <v>2028</v>
      </c>
      <c r="B2030" t="s">
        <v>362</v>
      </c>
      <c r="C2030" t="s">
        <v>92</v>
      </c>
      <c r="D2030" t="s">
        <v>83</v>
      </c>
      <c r="E2030" t="s">
        <v>111</v>
      </c>
      <c r="F2030">
        <v>512</v>
      </c>
      <c r="G2030">
        <f>MAX(I2028,I2029)</f>
        <v>2429952</v>
      </c>
      <c r="H2030">
        <f>CEILING((dram_access_latency+F2030/dram_bandwidth)*frequency,1)</f>
        <v>108</v>
      </c>
      <c r="I2030">
        <f>G2030+H2030</f>
        <v>2430060</v>
      </c>
      <c r="J2030">
        <f>IF(AND(D2030&lt;&gt;"dram",D2030&lt;&gt;"control"),H2030,0)</f>
        <v>0</v>
      </c>
      <c r="K2030">
        <f>IF(D2030="dram",H2030,0)</f>
        <v>108</v>
      </c>
      <c r="L2030">
        <v>0</v>
      </c>
      <c r="M2030">
        <v>512</v>
      </c>
    </row>
    <row r="2031" spans="1:13">
      <c r="A2031">
        <v>2029</v>
      </c>
      <c r="B2031" t="s">
        <v>356</v>
      </c>
      <c r="C2031" t="s">
        <v>82</v>
      </c>
      <c r="D2031" t="s">
        <v>83</v>
      </c>
      <c r="E2031" t="s">
        <v>112</v>
      </c>
      <c r="F2031">
        <v>524288</v>
      </c>
      <c r="G2031">
        <f>MAX(I2028,I2030)</f>
        <v>2430060</v>
      </c>
      <c r="H2031">
        <f>CEILING((dram_access_latency+F2031/dram_bandwidth)*frequency,1)</f>
        <v>8292</v>
      </c>
      <c r="I2031">
        <f>G2031+H2031</f>
        <v>2438352</v>
      </c>
      <c r="J2031">
        <f>IF(AND(D2031&lt;&gt;"dram",D2031&lt;&gt;"control"),H2031,0)</f>
        <v>0</v>
      </c>
      <c r="K2031">
        <f>IF(D2031="dram",H2031,0)</f>
        <v>8292</v>
      </c>
      <c r="L2031">
        <v>524288</v>
      </c>
      <c r="M2031">
        <v>0</v>
      </c>
    </row>
    <row r="2032" spans="1:13">
      <c r="A2032">
        <v>2030</v>
      </c>
      <c r="B2032" t="s">
        <v>358</v>
      </c>
      <c r="C2032" t="s">
        <v>82</v>
      </c>
      <c r="D2032" t="s">
        <v>83</v>
      </c>
      <c r="E2032" t="s">
        <v>112</v>
      </c>
      <c r="F2032">
        <v>16384</v>
      </c>
      <c r="G2032">
        <f>MAX(I2028,I2031)</f>
        <v>2438352</v>
      </c>
      <c r="H2032">
        <f>CEILING((dram_access_latency+F2032/dram_bandwidth)*frequency,1)</f>
        <v>356</v>
      </c>
      <c r="I2032">
        <f>G2032+H2032</f>
        <v>2438708</v>
      </c>
      <c r="J2032">
        <f>IF(AND(D2032&lt;&gt;"dram",D2032&lt;&gt;"control"),H2032,0)</f>
        <v>0</v>
      </c>
      <c r="K2032">
        <f>IF(D2032="dram",H2032,0)</f>
        <v>356</v>
      </c>
      <c r="L2032">
        <v>16384</v>
      </c>
      <c r="M2032">
        <v>0</v>
      </c>
    </row>
    <row r="2033" spans="1:13">
      <c r="A2033">
        <v>2031</v>
      </c>
      <c r="B2033" t="s">
        <v>359</v>
      </c>
      <c r="C2033" t="s">
        <v>82</v>
      </c>
      <c r="D2033" t="s">
        <v>83</v>
      </c>
      <c r="E2033" t="s">
        <v>112</v>
      </c>
      <c r="F2033">
        <v>2048</v>
      </c>
      <c r="G2033">
        <f>MAX(I2028,I2032)</f>
        <v>2438708</v>
      </c>
      <c r="H2033">
        <f>CEILING((dram_access_latency+F2033/dram_bandwidth)*frequency,1)</f>
        <v>132</v>
      </c>
      <c r="I2033">
        <f>G2033+H2033</f>
        <v>2438840</v>
      </c>
      <c r="J2033">
        <f>IF(AND(D2033&lt;&gt;"dram",D2033&lt;&gt;"control"),H2033,0)</f>
        <v>0</v>
      </c>
      <c r="K2033">
        <f>IF(D2033="dram",H2033,0)</f>
        <v>132</v>
      </c>
      <c r="L2033">
        <v>2048</v>
      </c>
      <c r="M2033">
        <v>0</v>
      </c>
    </row>
    <row r="2034" spans="1:13">
      <c r="A2034">
        <v>2032</v>
      </c>
      <c r="B2034" t="s">
        <v>58</v>
      </c>
      <c r="C2034" t="s">
        <v>90</v>
      </c>
      <c r="D2034" t="s">
        <v>108</v>
      </c>
      <c r="E2034" t="s">
        <v>112</v>
      </c>
      <c r="F2034">
        <v>0</v>
      </c>
      <c r="G2034">
        <f>MAX(I2027,I2027,I2011,I2031,I2013,I2032,I2033,I2029,I2030)</f>
        <v>2446752</v>
      </c>
      <c r="H2034">
        <f>'Operations'!I24</f>
        <v>16901</v>
      </c>
      <c r="I2034">
        <f>G2034+H2034</f>
        <v>2463653</v>
      </c>
      <c r="J2034">
        <f>IF(AND(D2034&lt;&gt;"dram",D2034&lt;&gt;"control"),H2034,0)</f>
        <v>16901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360</v>
      </c>
      <c r="C2035" t="s">
        <v>88</v>
      </c>
      <c r="D2035" t="s">
        <v>89</v>
      </c>
      <c r="E2035" t="s">
        <v>112</v>
      </c>
      <c r="F2035">
        <v>0</v>
      </c>
      <c r="G2035">
        <f>MAX(I2028,I2027)</f>
        <v>2429851</v>
      </c>
      <c r="H2035">
        <f>0</f>
        <v>16901</v>
      </c>
      <c r="I2035">
        <f>G2035+H2035</f>
        <v>2446752</v>
      </c>
      <c r="J2035">
        <f>IF(AND(D2035&lt;&gt;"dram",D2035&lt;&gt;"control"),H2035,0)</f>
        <v>0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361</v>
      </c>
      <c r="C2036" t="s">
        <v>92</v>
      </c>
      <c r="D2036" t="s">
        <v>83</v>
      </c>
      <c r="E2036" t="s">
        <v>112</v>
      </c>
      <c r="F2036">
        <v>16</v>
      </c>
      <c r="G2036">
        <f>MAX(I2035,I2033)</f>
        <v>2446752</v>
      </c>
      <c r="H2036">
        <f>CEILING((dram_access_latency+F2036/dram_bandwidth)*frequency,1)</f>
        <v>101</v>
      </c>
      <c r="I2036">
        <f>G2036+H2036</f>
        <v>2446853</v>
      </c>
      <c r="J2036">
        <f>IF(AND(D2036&lt;&gt;"dram",D2036&lt;&gt;"control"),H2036,0)</f>
        <v>0</v>
      </c>
      <c r="K2036">
        <f>IF(D2036="dram",H2036,0)</f>
        <v>101</v>
      </c>
      <c r="L2036">
        <v>0</v>
      </c>
      <c r="M2036">
        <v>16</v>
      </c>
    </row>
    <row r="2037" spans="1:13">
      <c r="A2037">
        <v>2035</v>
      </c>
      <c r="B2037" t="s">
        <v>362</v>
      </c>
      <c r="C2037" t="s">
        <v>92</v>
      </c>
      <c r="D2037" t="s">
        <v>83</v>
      </c>
      <c r="E2037" t="s">
        <v>112</v>
      </c>
      <c r="F2037">
        <v>512</v>
      </c>
      <c r="G2037">
        <f>MAX(I2035,I2036)</f>
        <v>2446853</v>
      </c>
      <c r="H2037">
        <f>CEILING((dram_access_latency+F2037/dram_bandwidth)*frequency,1)</f>
        <v>108</v>
      </c>
      <c r="I2037">
        <f>G2037+H2037</f>
        <v>2446961</v>
      </c>
      <c r="J2037">
        <f>IF(AND(D2037&lt;&gt;"dram",D2037&lt;&gt;"control"),H2037,0)</f>
        <v>0</v>
      </c>
      <c r="K2037">
        <f>IF(D2037="dram",H2037,0)</f>
        <v>108</v>
      </c>
      <c r="L2037">
        <v>0</v>
      </c>
      <c r="M2037">
        <v>512</v>
      </c>
    </row>
    <row r="2038" spans="1:13">
      <c r="A2038">
        <v>2036</v>
      </c>
      <c r="B2038" t="s">
        <v>356</v>
      </c>
      <c r="C2038" t="s">
        <v>82</v>
      </c>
      <c r="D2038" t="s">
        <v>83</v>
      </c>
      <c r="E2038" t="s">
        <v>113</v>
      </c>
      <c r="F2038">
        <v>524288</v>
      </c>
      <c r="G2038">
        <f>MAX(I2035,I2037)</f>
        <v>2446961</v>
      </c>
      <c r="H2038">
        <f>CEILING((dram_access_latency+F2038/dram_bandwidth)*frequency,1)</f>
        <v>8292</v>
      </c>
      <c r="I2038">
        <f>G2038+H2038</f>
        <v>2455253</v>
      </c>
      <c r="J2038">
        <f>IF(AND(D2038&lt;&gt;"dram",D2038&lt;&gt;"control"),H2038,0)</f>
        <v>0</v>
      </c>
      <c r="K2038">
        <f>IF(D2038="dram",H2038,0)</f>
        <v>8292</v>
      </c>
      <c r="L2038">
        <v>524288</v>
      </c>
      <c r="M2038">
        <v>0</v>
      </c>
    </row>
    <row r="2039" spans="1:13">
      <c r="A2039">
        <v>2037</v>
      </c>
      <c r="B2039" t="s">
        <v>358</v>
      </c>
      <c r="C2039" t="s">
        <v>82</v>
      </c>
      <c r="D2039" t="s">
        <v>83</v>
      </c>
      <c r="E2039" t="s">
        <v>113</v>
      </c>
      <c r="F2039">
        <v>16384</v>
      </c>
      <c r="G2039">
        <f>MAX(I2035,I2038)</f>
        <v>2455253</v>
      </c>
      <c r="H2039">
        <f>CEILING((dram_access_latency+F2039/dram_bandwidth)*frequency,1)</f>
        <v>356</v>
      </c>
      <c r="I2039">
        <f>G2039+H2039</f>
        <v>2455609</v>
      </c>
      <c r="J2039">
        <f>IF(AND(D2039&lt;&gt;"dram",D2039&lt;&gt;"control"),H2039,0)</f>
        <v>0</v>
      </c>
      <c r="K2039">
        <f>IF(D2039="dram",H2039,0)</f>
        <v>356</v>
      </c>
      <c r="L2039">
        <v>16384</v>
      </c>
      <c r="M2039">
        <v>0</v>
      </c>
    </row>
    <row r="2040" spans="1:13">
      <c r="A2040">
        <v>2038</v>
      </c>
      <c r="B2040" t="s">
        <v>359</v>
      </c>
      <c r="C2040" t="s">
        <v>82</v>
      </c>
      <c r="D2040" t="s">
        <v>83</v>
      </c>
      <c r="E2040" t="s">
        <v>113</v>
      </c>
      <c r="F2040">
        <v>2048</v>
      </c>
      <c r="G2040">
        <f>MAX(I2035,I2039)</f>
        <v>2455609</v>
      </c>
      <c r="H2040">
        <f>CEILING((dram_access_latency+F2040/dram_bandwidth)*frequency,1)</f>
        <v>132</v>
      </c>
      <c r="I2040">
        <f>G2040+H2040</f>
        <v>2455741</v>
      </c>
      <c r="J2040">
        <f>IF(AND(D2040&lt;&gt;"dram",D2040&lt;&gt;"control"),H2040,0)</f>
        <v>0</v>
      </c>
      <c r="K2040">
        <f>IF(D2040="dram",H2040,0)</f>
        <v>132</v>
      </c>
      <c r="L2040">
        <v>2048</v>
      </c>
      <c r="M2040">
        <v>0</v>
      </c>
    </row>
    <row r="2041" spans="1:13">
      <c r="A2041">
        <v>2039</v>
      </c>
      <c r="B2041" t="s">
        <v>58</v>
      </c>
      <c r="C2041" t="s">
        <v>90</v>
      </c>
      <c r="D2041" t="s">
        <v>108</v>
      </c>
      <c r="E2041" t="s">
        <v>113</v>
      </c>
      <c r="F2041">
        <v>0</v>
      </c>
      <c r="G2041">
        <f>MAX(I2034,I2034,I2011,I2038,I2013,I2039,I2040,I2036,I2037)</f>
        <v>2463653</v>
      </c>
      <c r="H2041">
        <f>'Operations'!I24</f>
        <v>16901</v>
      </c>
      <c r="I2041">
        <f>G2041+H2041</f>
        <v>2480554</v>
      </c>
      <c r="J2041">
        <f>IF(AND(D2041&lt;&gt;"dram",D2041&lt;&gt;"control"),H2041,0)</f>
        <v>16901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360</v>
      </c>
      <c r="C2042" t="s">
        <v>88</v>
      </c>
      <c r="D2042" t="s">
        <v>89</v>
      </c>
      <c r="E2042" t="s">
        <v>113</v>
      </c>
      <c r="F2042">
        <v>0</v>
      </c>
      <c r="G2042">
        <f>MAX(I2035,I2034)</f>
        <v>2446752</v>
      </c>
      <c r="H2042">
        <f>0</f>
        <v>16901</v>
      </c>
      <c r="I2042">
        <f>G2042+H2042</f>
        <v>2463653</v>
      </c>
      <c r="J2042">
        <f>IF(AND(D2042&lt;&gt;"dram",D2042&lt;&gt;"control"),H2042,0)</f>
        <v>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361</v>
      </c>
      <c r="C2043" t="s">
        <v>92</v>
      </c>
      <c r="D2043" t="s">
        <v>83</v>
      </c>
      <c r="E2043" t="s">
        <v>113</v>
      </c>
      <c r="F2043">
        <v>16</v>
      </c>
      <c r="G2043">
        <f>MAX(I2042,I2040)</f>
        <v>2463653</v>
      </c>
      <c r="H2043">
        <f>CEILING((dram_access_latency+F2043/dram_bandwidth)*frequency,1)</f>
        <v>101</v>
      </c>
      <c r="I2043">
        <f>G2043+H2043</f>
        <v>2463754</v>
      </c>
      <c r="J2043">
        <f>IF(AND(D2043&lt;&gt;"dram",D2043&lt;&gt;"control"),H2043,0)</f>
        <v>0</v>
      </c>
      <c r="K2043">
        <f>IF(D2043="dram",H2043,0)</f>
        <v>101</v>
      </c>
      <c r="L2043">
        <v>0</v>
      </c>
      <c r="M2043">
        <v>16</v>
      </c>
    </row>
    <row r="2044" spans="1:13">
      <c r="A2044">
        <v>2042</v>
      </c>
      <c r="B2044" t="s">
        <v>362</v>
      </c>
      <c r="C2044" t="s">
        <v>92</v>
      </c>
      <c r="D2044" t="s">
        <v>83</v>
      </c>
      <c r="E2044" t="s">
        <v>113</v>
      </c>
      <c r="F2044">
        <v>512</v>
      </c>
      <c r="G2044">
        <f>MAX(I2042,I2043)</f>
        <v>2463754</v>
      </c>
      <c r="H2044">
        <f>CEILING((dram_access_latency+F2044/dram_bandwidth)*frequency,1)</f>
        <v>108</v>
      </c>
      <c r="I2044">
        <f>G2044+H2044</f>
        <v>2463862</v>
      </c>
      <c r="J2044">
        <f>IF(AND(D2044&lt;&gt;"dram",D2044&lt;&gt;"control"),H2044,0)</f>
        <v>0</v>
      </c>
      <c r="K2044">
        <f>IF(D2044="dram",H2044,0)</f>
        <v>108</v>
      </c>
      <c r="L2044">
        <v>0</v>
      </c>
      <c r="M2044">
        <v>512</v>
      </c>
    </row>
    <row r="2045" spans="1:13">
      <c r="A2045">
        <v>2043</v>
      </c>
      <c r="B2045" t="s">
        <v>356</v>
      </c>
      <c r="C2045" t="s">
        <v>82</v>
      </c>
      <c r="D2045" t="s">
        <v>83</v>
      </c>
      <c r="E2045" t="s">
        <v>114</v>
      </c>
      <c r="F2045">
        <v>524288</v>
      </c>
      <c r="G2045">
        <f>MAX(I2042,I2044)</f>
        <v>2463862</v>
      </c>
      <c r="H2045">
        <f>CEILING((dram_access_latency+F2045/dram_bandwidth)*frequency,1)</f>
        <v>8292</v>
      </c>
      <c r="I2045">
        <f>G2045+H2045</f>
        <v>2472154</v>
      </c>
      <c r="J2045">
        <f>IF(AND(D2045&lt;&gt;"dram",D2045&lt;&gt;"control"),H2045,0)</f>
        <v>0</v>
      </c>
      <c r="K2045">
        <f>IF(D2045="dram",H2045,0)</f>
        <v>8292</v>
      </c>
      <c r="L2045">
        <v>524288</v>
      </c>
      <c r="M2045">
        <v>0</v>
      </c>
    </row>
    <row r="2046" spans="1:13">
      <c r="A2046">
        <v>2044</v>
      </c>
      <c r="B2046" t="s">
        <v>358</v>
      </c>
      <c r="C2046" t="s">
        <v>82</v>
      </c>
      <c r="D2046" t="s">
        <v>83</v>
      </c>
      <c r="E2046" t="s">
        <v>114</v>
      </c>
      <c r="F2046">
        <v>16384</v>
      </c>
      <c r="G2046">
        <f>MAX(I2042,I2045)</f>
        <v>2472154</v>
      </c>
      <c r="H2046">
        <f>CEILING((dram_access_latency+F2046/dram_bandwidth)*frequency,1)</f>
        <v>356</v>
      </c>
      <c r="I2046">
        <f>G2046+H2046</f>
        <v>2472510</v>
      </c>
      <c r="J2046">
        <f>IF(AND(D2046&lt;&gt;"dram",D2046&lt;&gt;"control"),H2046,0)</f>
        <v>0</v>
      </c>
      <c r="K2046">
        <f>IF(D2046="dram",H2046,0)</f>
        <v>356</v>
      </c>
      <c r="L2046">
        <v>16384</v>
      </c>
      <c r="M2046">
        <v>0</v>
      </c>
    </row>
    <row r="2047" spans="1:13">
      <c r="A2047">
        <v>2045</v>
      </c>
      <c r="B2047" t="s">
        <v>359</v>
      </c>
      <c r="C2047" t="s">
        <v>82</v>
      </c>
      <c r="D2047" t="s">
        <v>83</v>
      </c>
      <c r="E2047" t="s">
        <v>114</v>
      </c>
      <c r="F2047">
        <v>2048</v>
      </c>
      <c r="G2047">
        <f>MAX(I2042,I2046)</f>
        <v>2472510</v>
      </c>
      <c r="H2047">
        <f>CEILING((dram_access_latency+F2047/dram_bandwidth)*frequency,1)</f>
        <v>132</v>
      </c>
      <c r="I2047">
        <f>G2047+H2047</f>
        <v>2472642</v>
      </c>
      <c r="J2047">
        <f>IF(AND(D2047&lt;&gt;"dram",D2047&lt;&gt;"control"),H2047,0)</f>
        <v>0</v>
      </c>
      <c r="K2047">
        <f>IF(D2047="dram",H2047,0)</f>
        <v>132</v>
      </c>
      <c r="L2047">
        <v>2048</v>
      </c>
      <c r="M2047">
        <v>0</v>
      </c>
    </row>
    <row r="2048" spans="1:13">
      <c r="A2048">
        <v>2046</v>
      </c>
      <c r="B2048" t="s">
        <v>58</v>
      </c>
      <c r="C2048" t="s">
        <v>90</v>
      </c>
      <c r="D2048" t="s">
        <v>108</v>
      </c>
      <c r="E2048" t="s">
        <v>114</v>
      </c>
      <c r="F2048">
        <v>0</v>
      </c>
      <c r="G2048">
        <f>MAX(I2041,I2041,I2011,I2045,I2013,I2046,I2047,I2043,I2044)</f>
        <v>2480554</v>
      </c>
      <c r="H2048">
        <f>'Operations'!I24</f>
        <v>16901</v>
      </c>
      <c r="I2048">
        <f>G2048+H2048</f>
        <v>2497455</v>
      </c>
      <c r="J2048">
        <f>IF(AND(D2048&lt;&gt;"dram",D2048&lt;&gt;"control"),H2048,0)</f>
        <v>16901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360</v>
      </c>
      <c r="C2049" t="s">
        <v>88</v>
      </c>
      <c r="D2049" t="s">
        <v>89</v>
      </c>
      <c r="E2049" t="s">
        <v>114</v>
      </c>
      <c r="F2049">
        <v>0</v>
      </c>
      <c r="G2049">
        <f>MAX(I2042,I2041)</f>
        <v>2463653</v>
      </c>
      <c r="H2049">
        <f>0</f>
        <v>16901</v>
      </c>
      <c r="I2049">
        <f>G2049+H2049</f>
        <v>2480554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361</v>
      </c>
      <c r="C2050" t="s">
        <v>92</v>
      </c>
      <c r="D2050" t="s">
        <v>83</v>
      </c>
      <c r="E2050" t="s">
        <v>114</v>
      </c>
      <c r="F2050">
        <v>16</v>
      </c>
      <c r="G2050">
        <f>MAX(I2049,I2047)</f>
        <v>2480554</v>
      </c>
      <c r="H2050">
        <f>CEILING((dram_access_latency+F2050/dram_bandwidth)*frequency,1)</f>
        <v>101</v>
      </c>
      <c r="I2050">
        <f>G2050+H2050</f>
        <v>2480655</v>
      </c>
      <c r="J2050">
        <f>IF(AND(D2050&lt;&gt;"dram",D2050&lt;&gt;"control"),H2050,0)</f>
        <v>0</v>
      </c>
      <c r="K2050">
        <f>IF(D2050="dram",H2050,0)</f>
        <v>101</v>
      </c>
      <c r="L2050">
        <v>0</v>
      </c>
      <c r="M2050">
        <v>16</v>
      </c>
    </row>
    <row r="2051" spans="1:13">
      <c r="A2051">
        <v>2049</v>
      </c>
      <c r="B2051" t="s">
        <v>362</v>
      </c>
      <c r="C2051" t="s">
        <v>92</v>
      </c>
      <c r="D2051" t="s">
        <v>83</v>
      </c>
      <c r="E2051" t="s">
        <v>114</v>
      </c>
      <c r="F2051">
        <v>512</v>
      </c>
      <c r="G2051">
        <f>MAX(I2049,I2050)</f>
        <v>2480655</v>
      </c>
      <c r="H2051">
        <f>CEILING((dram_access_latency+F2051/dram_bandwidth)*frequency,1)</f>
        <v>108</v>
      </c>
      <c r="I2051">
        <f>G2051+H2051</f>
        <v>2480763</v>
      </c>
      <c r="J2051">
        <f>IF(AND(D2051&lt;&gt;"dram",D2051&lt;&gt;"control"),H2051,0)</f>
        <v>0</v>
      </c>
      <c r="K2051">
        <f>IF(D2051="dram",H2051,0)</f>
        <v>108</v>
      </c>
      <c r="L2051">
        <v>0</v>
      </c>
      <c r="M2051">
        <v>512</v>
      </c>
    </row>
    <row r="2052" spans="1:13">
      <c r="A2052">
        <v>2050</v>
      </c>
      <c r="B2052" t="s">
        <v>356</v>
      </c>
      <c r="C2052" t="s">
        <v>82</v>
      </c>
      <c r="D2052" t="s">
        <v>83</v>
      </c>
      <c r="E2052" t="s">
        <v>115</v>
      </c>
      <c r="F2052">
        <v>524288</v>
      </c>
      <c r="G2052">
        <f>MAX(I2049,I2051)</f>
        <v>2480763</v>
      </c>
      <c r="H2052">
        <f>CEILING((dram_access_latency+F2052/dram_bandwidth)*frequency,1)</f>
        <v>8292</v>
      </c>
      <c r="I2052">
        <f>G2052+H2052</f>
        <v>2489055</v>
      </c>
      <c r="J2052">
        <f>IF(AND(D2052&lt;&gt;"dram",D2052&lt;&gt;"control"),H2052,0)</f>
        <v>0</v>
      </c>
      <c r="K2052">
        <f>IF(D2052="dram",H2052,0)</f>
        <v>8292</v>
      </c>
      <c r="L2052">
        <v>524288</v>
      </c>
      <c r="M2052">
        <v>0</v>
      </c>
    </row>
    <row r="2053" spans="1:13">
      <c r="A2053">
        <v>2051</v>
      </c>
      <c r="B2053" t="s">
        <v>358</v>
      </c>
      <c r="C2053" t="s">
        <v>82</v>
      </c>
      <c r="D2053" t="s">
        <v>83</v>
      </c>
      <c r="E2053" t="s">
        <v>115</v>
      </c>
      <c r="F2053">
        <v>16384</v>
      </c>
      <c r="G2053">
        <f>MAX(I2049,I2052)</f>
        <v>2489055</v>
      </c>
      <c r="H2053">
        <f>CEILING((dram_access_latency+F2053/dram_bandwidth)*frequency,1)</f>
        <v>356</v>
      </c>
      <c r="I2053">
        <f>G2053+H2053</f>
        <v>2489411</v>
      </c>
      <c r="J2053">
        <f>IF(AND(D2053&lt;&gt;"dram",D2053&lt;&gt;"control"),H2053,0)</f>
        <v>0</v>
      </c>
      <c r="K2053">
        <f>IF(D2053="dram",H2053,0)</f>
        <v>356</v>
      </c>
      <c r="L2053">
        <v>16384</v>
      </c>
      <c r="M2053">
        <v>0</v>
      </c>
    </row>
    <row r="2054" spans="1:13">
      <c r="A2054">
        <v>2052</v>
      </c>
      <c r="B2054" t="s">
        <v>359</v>
      </c>
      <c r="C2054" t="s">
        <v>82</v>
      </c>
      <c r="D2054" t="s">
        <v>83</v>
      </c>
      <c r="E2054" t="s">
        <v>115</v>
      </c>
      <c r="F2054">
        <v>2048</v>
      </c>
      <c r="G2054">
        <f>MAX(I2049,I2053)</f>
        <v>2489411</v>
      </c>
      <c r="H2054">
        <f>CEILING((dram_access_latency+F2054/dram_bandwidth)*frequency,1)</f>
        <v>132</v>
      </c>
      <c r="I2054">
        <f>G2054+H2054</f>
        <v>2489543</v>
      </c>
      <c r="J2054">
        <f>IF(AND(D2054&lt;&gt;"dram",D2054&lt;&gt;"control"),H2054,0)</f>
        <v>0</v>
      </c>
      <c r="K2054">
        <f>IF(D2054="dram",H2054,0)</f>
        <v>132</v>
      </c>
      <c r="L2054">
        <v>2048</v>
      </c>
      <c r="M2054">
        <v>0</v>
      </c>
    </row>
    <row r="2055" spans="1:13">
      <c r="A2055">
        <v>2053</v>
      </c>
      <c r="B2055" t="s">
        <v>58</v>
      </c>
      <c r="C2055" t="s">
        <v>90</v>
      </c>
      <c r="D2055" t="s">
        <v>108</v>
      </c>
      <c r="E2055" t="s">
        <v>115</v>
      </c>
      <c r="F2055">
        <v>0</v>
      </c>
      <c r="G2055">
        <f>MAX(I2048,I2048,I2011,I2052,I2013,I2053,I2054,I2050,I2051)</f>
        <v>2497455</v>
      </c>
      <c r="H2055">
        <f>'Operations'!I24</f>
        <v>16901</v>
      </c>
      <c r="I2055">
        <f>G2055+H2055</f>
        <v>2514356</v>
      </c>
      <c r="J2055">
        <f>IF(AND(D2055&lt;&gt;"dram",D2055&lt;&gt;"control"),H2055,0)</f>
        <v>16901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360</v>
      </c>
      <c r="C2056" t="s">
        <v>88</v>
      </c>
      <c r="D2056" t="s">
        <v>89</v>
      </c>
      <c r="E2056" t="s">
        <v>115</v>
      </c>
      <c r="F2056">
        <v>0</v>
      </c>
      <c r="G2056">
        <f>MAX(I2049,I2048)</f>
        <v>2480554</v>
      </c>
      <c r="H2056">
        <f>0</f>
        <v>16901</v>
      </c>
      <c r="I2056">
        <f>G2056+H2056</f>
        <v>2497455</v>
      </c>
      <c r="J2056">
        <f>IF(AND(D2056&lt;&gt;"dram",D2056&lt;&gt;"control"),H2056,0)</f>
        <v>0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361</v>
      </c>
      <c r="C2057" t="s">
        <v>92</v>
      </c>
      <c r="D2057" t="s">
        <v>83</v>
      </c>
      <c r="E2057" t="s">
        <v>115</v>
      </c>
      <c r="F2057">
        <v>16</v>
      </c>
      <c r="G2057">
        <f>MAX(I2056,I2054)</f>
        <v>2497455</v>
      </c>
      <c r="H2057">
        <f>CEILING((dram_access_latency+F2057/dram_bandwidth)*frequency,1)</f>
        <v>101</v>
      </c>
      <c r="I2057">
        <f>G2057+H2057</f>
        <v>2497556</v>
      </c>
      <c r="J2057">
        <f>IF(AND(D2057&lt;&gt;"dram",D2057&lt;&gt;"control"),H2057,0)</f>
        <v>0</v>
      </c>
      <c r="K2057">
        <f>IF(D2057="dram",H2057,0)</f>
        <v>101</v>
      </c>
      <c r="L2057">
        <v>0</v>
      </c>
      <c r="M2057">
        <v>16</v>
      </c>
    </row>
    <row r="2058" spans="1:13">
      <c r="A2058">
        <v>2056</v>
      </c>
      <c r="B2058" t="s">
        <v>362</v>
      </c>
      <c r="C2058" t="s">
        <v>92</v>
      </c>
      <c r="D2058" t="s">
        <v>83</v>
      </c>
      <c r="E2058" t="s">
        <v>115</v>
      </c>
      <c r="F2058">
        <v>512</v>
      </c>
      <c r="G2058">
        <f>MAX(I2056,I2057)</f>
        <v>2497556</v>
      </c>
      <c r="H2058">
        <f>CEILING((dram_access_latency+F2058/dram_bandwidth)*frequency,1)</f>
        <v>108</v>
      </c>
      <c r="I2058">
        <f>G2058+H2058</f>
        <v>2497664</v>
      </c>
      <c r="J2058">
        <f>IF(AND(D2058&lt;&gt;"dram",D2058&lt;&gt;"control"),H2058,0)</f>
        <v>0</v>
      </c>
      <c r="K2058">
        <f>IF(D2058="dram",H2058,0)</f>
        <v>108</v>
      </c>
      <c r="L2058">
        <v>0</v>
      </c>
      <c r="M2058">
        <v>512</v>
      </c>
    </row>
    <row r="2059" spans="1:13">
      <c r="A2059">
        <v>2057</v>
      </c>
      <c r="B2059" t="s">
        <v>356</v>
      </c>
      <c r="C2059" t="s">
        <v>82</v>
      </c>
      <c r="D2059" t="s">
        <v>83</v>
      </c>
      <c r="E2059" t="s">
        <v>116</v>
      </c>
      <c r="F2059">
        <v>524288</v>
      </c>
      <c r="G2059">
        <f>MAX(I2056,I2058)</f>
        <v>2497664</v>
      </c>
      <c r="H2059">
        <f>CEILING((dram_access_latency+F2059/dram_bandwidth)*frequency,1)</f>
        <v>8292</v>
      </c>
      <c r="I2059">
        <f>G2059+H2059</f>
        <v>2505956</v>
      </c>
      <c r="J2059">
        <f>IF(AND(D2059&lt;&gt;"dram",D2059&lt;&gt;"control"),H2059,0)</f>
        <v>0</v>
      </c>
      <c r="K2059">
        <f>IF(D2059="dram",H2059,0)</f>
        <v>8292</v>
      </c>
      <c r="L2059">
        <v>524288</v>
      </c>
      <c r="M2059">
        <v>0</v>
      </c>
    </row>
    <row r="2060" spans="1:13">
      <c r="A2060">
        <v>2058</v>
      </c>
      <c r="B2060" t="s">
        <v>358</v>
      </c>
      <c r="C2060" t="s">
        <v>82</v>
      </c>
      <c r="D2060" t="s">
        <v>83</v>
      </c>
      <c r="E2060" t="s">
        <v>116</v>
      </c>
      <c r="F2060">
        <v>16384</v>
      </c>
      <c r="G2060">
        <f>MAX(I2056,I2059)</f>
        <v>2505956</v>
      </c>
      <c r="H2060">
        <f>CEILING((dram_access_latency+F2060/dram_bandwidth)*frequency,1)</f>
        <v>356</v>
      </c>
      <c r="I2060">
        <f>G2060+H2060</f>
        <v>2506312</v>
      </c>
      <c r="J2060">
        <f>IF(AND(D2060&lt;&gt;"dram",D2060&lt;&gt;"control"),H2060,0)</f>
        <v>0</v>
      </c>
      <c r="K2060">
        <f>IF(D2060="dram",H2060,0)</f>
        <v>356</v>
      </c>
      <c r="L2060">
        <v>16384</v>
      </c>
      <c r="M2060">
        <v>0</v>
      </c>
    </row>
    <row r="2061" spans="1:13">
      <c r="A2061">
        <v>2059</v>
      </c>
      <c r="B2061" t="s">
        <v>359</v>
      </c>
      <c r="C2061" t="s">
        <v>82</v>
      </c>
      <c r="D2061" t="s">
        <v>83</v>
      </c>
      <c r="E2061" t="s">
        <v>116</v>
      </c>
      <c r="F2061">
        <v>2048</v>
      </c>
      <c r="G2061">
        <f>MAX(I2056,I2060)</f>
        <v>2506312</v>
      </c>
      <c r="H2061">
        <f>CEILING((dram_access_latency+F2061/dram_bandwidth)*frequency,1)</f>
        <v>132</v>
      </c>
      <c r="I2061">
        <f>G2061+H2061</f>
        <v>2506444</v>
      </c>
      <c r="J2061">
        <f>IF(AND(D2061&lt;&gt;"dram",D2061&lt;&gt;"control"),H2061,0)</f>
        <v>0</v>
      </c>
      <c r="K2061">
        <f>IF(D2061="dram",H2061,0)</f>
        <v>132</v>
      </c>
      <c r="L2061">
        <v>2048</v>
      </c>
      <c r="M2061">
        <v>0</v>
      </c>
    </row>
    <row r="2062" spans="1:13">
      <c r="A2062">
        <v>2060</v>
      </c>
      <c r="B2062" t="s">
        <v>58</v>
      </c>
      <c r="C2062" t="s">
        <v>90</v>
      </c>
      <c r="D2062" t="s">
        <v>108</v>
      </c>
      <c r="E2062" t="s">
        <v>116</v>
      </c>
      <c r="F2062">
        <v>0</v>
      </c>
      <c r="G2062">
        <f>MAX(I2055,I2055,I2011,I2059,I2013,I2060,I2061,I2057,I2058)</f>
        <v>2514356</v>
      </c>
      <c r="H2062">
        <f>'Operations'!I24</f>
        <v>16901</v>
      </c>
      <c r="I2062">
        <f>G2062+H2062</f>
        <v>2531257</v>
      </c>
      <c r="J2062">
        <f>IF(AND(D2062&lt;&gt;"dram",D2062&lt;&gt;"control"),H2062,0)</f>
        <v>16901</v>
      </c>
      <c r="K2062">
        <f>IF(D2062="dram",H2062,0)</f>
        <v>0</v>
      </c>
      <c r="L2062">
        <v>0</v>
      </c>
      <c r="M2062">
        <v>0</v>
      </c>
    </row>
    <row r="2063" spans="1:13">
      <c r="A2063">
        <v>2061</v>
      </c>
      <c r="B2063" t="s">
        <v>360</v>
      </c>
      <c r="C2063" t="s">
        <v>88</v>
      </c>
      <c r="D2063" t="s">
        <v>89</v>
      </c>
      <c r="E2063" t="s">
        <v>116</v>
      </c>
      <c r="F2063">
        <v>0</v>
      </c>
      <c r="G2063">
        <f>MAX(I2056,I2055)</f>
        <v>2497455</v>
      </c>
      <c r="H2063">
        <f>0</f>
        <v>16901</v>
      </c>
      <c r="I2063">
        <f>G2063+H2063</f>
        <v>2514356</v>
      </c>
      <c r="J2063">
        <f>IF(AND(D2063&lt;&gt;"dram",D2063&lt;&gt;"control"),H2063,0)</f>
        <v>0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361</v>
      </c>
      <c r="C2064" t="s">
        <v>92</v>
      </c>
      <c r="D2064" t="s">
        <v>83</v>
      </c>
      <c r="E2064" t="s">
        <v>116</v>
      </c>
      <c r="F2064">
        <v>16</v>
      </c>
      <c r="G2064">
        <f>MAX(I2063,I2061)</f>
        <v>2514356</v>
      </c>
      <c r="H2064">
        <f>CEILING((dram_access_latency+F2064/dram_bandwidth)*frequency,1)</f>
        <v>101</v>
      </c>
      <c r="I2064">
        <f>G2064+H2064</f>
        <v>2514457</v>
      </c>
      <c r="J2064">
        <f>IF(AND(D2064&lt;&gt;"dram",D2064&lt;&gt;"control"),H2064,0)</f>
        <v>0</v>
      </c>
      <c r="K2064">
        <f>IF(D2064="dram",H2064,0)</f>
        <v>101</v>
      </c>
      <c r="L2064">
        <v>0</v>
      </c>
      <c r="M2064">
        <v>16</v>
      </c>
    </row>
    <row r="2065" spans="1:13">
      <c r="A2065">
        <v>2063</v>
      </c>
      <c r="B2065" t="s">
        <v>362</v>
      </c>
      <c r="C2065" t="s">
        <v>92</v>
      </c>
      <c r="D2065" t="s">
        <v>83</v>
      </c>
      <c r="E2065" t="s">
        <v>116</v>
      </c>
      <c r="F2065">
        <v>512</v>
      </c>
      <c r="G2065">
        <f>MAX(I2063,I2064)</f>
        <v>2514457</v>
      </c>
      <c r="H2065">
        <f>CEILING((dram_access_latency+F2065/dram_bandwidth)*frequency,1)</f>
        <v>108</v>
      </c>
      <c r="I2065">
        <f>G2065+H2065</f>
        <v>2514565</v>
      </c>
      <c r="J2065">
        <f>IF(AND(D2065&lt;&gt;"dram",D2065&lt;&gt;"control"),H2065,0)</f>
        <v>0</v>
      </c>
      <c r="K2065">
        <f>IF(D2065="dram",H2065,0)</f>
        <v>108</v>
      </c>
      <c r="L2065">
        <v>0</v>
      </c>
      <c r="M2065">
        <v>512</v>
      </c>
    </row>
    <row r="2066" spans="1:13">
      <c r="A2066">
        <v>2064</v>
      </c>
      <c r="B2066" t="s">
        <v>356</v>
      </c>
      <c r="C2066" t="s">
        <v>82</v>
      </c>
      <c r="D2066" t="s">
        <v>83</v>
      </c>
      <c r="E2066" t="s">
        <v>117</v>
      </c>
      <c r="F2066">
        <v>524288</v>
      </c>
      <c r="G2066">
        <f>MAX(I2063,I2065)</f>
        <v>2514565</v>
      </c>
      <c r="H2066">
        <f>CEILING((dram_access_latency+F2066/dram_bandwidth)*frequency,1)</f>
        <v>8292</v>
      </c>
      <c r="I2066">
        <f>G2066+H2066</f>
        <v>2522857</v>
      </c>
      <c r="J2066">
        <f>IF(AND(D2066&lt;&gt;"dram",D2066&lt;&gt;"control"),H2066,0)</f>
        <v>0</v>
      </c>
      <c r="K2066">
        <f>IF(D2066="dram",H2066,0)</f>
        <v>8292</v>
      </c>
      <c r="L2066">
        <v>524288</v>
      </c>
      <c r="M2066">
        <v>0</v>
      </c>
    </row>
    <row r="2067" spans="1:13">
      <c r="A2067">
        <v>2065</v>
      </c>
      <c r="B2067" t="s">
        <v>358</v>
      </c>
      <c r="C2067" t="s">
        <v>82</v>
      </c>
      <c r="D2067" t="s">
        <v>83</v>
      </c>
      <c r="E2067" t="s">
        <v>117</v>
      </c>
      <c r="F2067">
        <v>16384</v>
      </c>
      <c r="G2067">
        <f>MAX(I2063,I2066)</f>
        <v>2522857</v>
      </c>
      <c r="H2067">
        <f>CEILING((dram_access_latency+F2067/dram_bandwidth)*frequency,1)</f>
        <v>356</v>
      </c>
      <c r="I2067">
        <f>G2067+H2067</f>
        <v>2523213</v>
      </c>
      <c r="J2067">
        <f>IF(AND(D2067&lt;&gt;"dram",D2067&lt;&gt;"control"),H2067,0)</f>
        <v>0</v>
      </c>
      <c r="K2067">
        <f>IF(D2067="dram",H2067,0)</f>
        <v>356</v>
      </c>
      <c r="L2067">
        <v>16384</v>
      </c>
      <c r="M2067">
        <v>0</v>
      </c>
    </row>
    <row r="2068" spans="1:13">
      <c r="A2068">
        <v>2066</v>
      </c>
      <c r="B2068" t="s">
        <v>359</v>
      </c>
      <c r="C2068" t="s">
        <v>82</v>
      </c>
      <c r="D2068" t="s">
        <v>83</v>
      </c>
      <c r="E2068" t="s">
        <v>117</v>
      </c>
      <c r="F2068">
        <v>2048</v>
      </c>
      <c r="G2068">
        <f>MAX(I2063,I2067)</f>
        <v>2523213</v>
      </c>
      <c r="H2068">
        <f>CEILING((dram_access_latency+F2068/dram_bandwidth)*frequency,1)</f>
        <v>132</v>
      </c>
      <c r="I2068">
        <f>G2068+H2068</f>
        <v>2523345</v>
      </c>
      <c r="J2068">
        <f>IF(AND(D2068&lt;&gt;"dram",D2068&lt;&gt;"control"),H2068,0)</f>
        <v>0</v>
      </c>
      <c r="K2068">
        <f>IF(D2068="dram",H2068,0)</f>
        <v>132</v>
      </c>
      <c r="L2068">
        <v>2048</v>
      </c>
      <c r="M2068">
        <v>0</v>
      </c>
    </row>
    <row r="2069" spans="1:13">
      <c r="A2069">
        <v>2067</v>
      </c>
      <c r="B2069" t="s">
        <v>58</v>
      </c>
      <c r="C2069" t="s">
        <v>90</v>
      </c>
      <c r="D2069" t="s">
        <v>108</v>
      </c>
      <c r="E2069" t="s">
        <v>117</v>
      </c>
      <c r="F2069">
        <v>0</v>
      </c>
      <c r="G2069">
        <f>MAX(I2062,I2062,I2011,I2066,I2013,I2067,I2068,I2064,I2065)</f>
        <v>2531257</v>
      </c>
      <c r="H2069">
        <f>'Operations'!I24</f>
        <v>16901</v>
      </c>
      <c r="I2069">
        <f>G2069+H2069</f>
        <v>2548158</v>
      </c>
      <c r="J2069">
        <f>IF(AND(D2069&lt;&gt;"dram",D2069&lt;&gt;"control"),H2069,0)</f>
        <v>16901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360</v>
      </c>
      <c r="C2070" t="s">
        <v>88</v>
      </c>
      <c r="D2070" t="s">
        <v>89</v>
      </c>
      <c r="E2070" t="s">
        <v>117</v>
      </c>
      <c r="F2070">
        <v>0</v>
      </c>
      <c r="G2070">
        <f>MAX(I2063,I2062)</f>
        <v>2514356</v>
      </c>
      <c r="H2070">
        <f>0</f>
        <v>16901</v>
      </c>
      <c r="I2070">
        <f>G2070+H2070</f>
        <v>2531257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361</v>
      </c>
      <c r="C2071" t="s">
        <v>92</v>
      </c>
      <c r="D2071" t="s">
        <v>83</v>
      </c>
      <c r="E2071" t="s">
        <v>117</v>
      </c>
      <c r="F2071">
        <v>16</v>
      </c>
      <c r="G2071">
        <f>MAX(I2070,I2068)</f>
        <v>2531257</v>
      </c>
      <c r="H2071">
        <f>CEILING((dram_access_latency+F2071/dram_bandwidth)*frequency,1)</f>
        <v>101</v>
      </c>
      <c r="I2071">
        <f>G2071+H2071</f>
        <v>2531358</v>
      </c>
      <c r="J2071">
        <f>IF(AND(D2071&lt;&gt;"dram",D2071&lt;&gt;"control"),H2071,0)</f>
        <v>0</v>
      </c>
      <c r="K2071">
        <f>IF(D2071="dram",H2071,0)</f>
        <v>101</v>
      </c>
      <c r="L2071">
        <v>0</v>
      </c>
      <c r="M2071">
        <v>16</v>
      </c>
    </row>
    <row r="2072" spans="1:13">
      <c r="A2072">
        <v>2070</v>
      </c>
      <c r="B2072" t="s">
        <v>362</v>
      </c>
      <c r="C2072" t="s">
        <v>92</v>
      </c>
      <c r="D2072" t="s">
        <v>83</v>
      </c>
      <c r="E2072" t="s">
        <v>117</v>
      </c>
      <c r="F2072">
        <v>512</v>
      </c>
      <c r="G2072">
        <f>MAX(I2070,I2071)</f>
        <v>2531358</v>
      </c>
      <c r="H2072">
        <f>CEILING((dram_access_latency+F2072/dram_bandwidth)*frequency,1)</f>
        <v>108</v>
      </c>
      <c r="I2072">
        <f>G2072+H2072</f>
        <v>2531466</v>
      </c>
      <c r="J2072">
        <f>IF(AND(D2072&lt;&gt;"dram",D2072&lt;&gt;"control"),H2072,0)</f>
        <v>0</v>
      </c>
      <c r="K2072">
        <f>IF(D2072="dram",H2072,0)</f>
        <v>108</v>
      </c>
      <c r="L2072">
        <v>0</v>
      </c>
      <c r="M2072">
        <v>512</v>
      </c>
    </row>
    <row r="2073" spans="1:13">
      <c r="A2073">
        <v>2071</v>
      </c>
      <c r="B2073" t="s">
        <v>356</v>
      </c>
      <c r="C2073" t="s">
        <v>82</v>
      </c>
      <c r="D2073" t="s">
        <v>83</v>
      </c>
      <c r="E2073" t="s">
        <v>118</v>
      </c>
      <c r="F2073">
        <v>524288</v>
      </c>
      <c r="G2073">
        <f>MAX(I2070,I2072)</f>
        <v>2531466</v>
      </c>
      <c r="H2073">
        <f>CEILING((dram_access_latency+F2073/dram_bandwidth)*frequency,1)</f>
        <v>8292</v>
      </c>
      <c r="I2073">
        <f>G2073+H2073</f>
        <v>2539758</v>
      </c>
      <c r="J2073">
        <f>IF(AND(D2073&lt;&gt;"dram",D2073&lt;&gt;"control"),H2073,0)</f>
        <v>0</v>
      </c>
      <c r="K2073">
        <f>IF(D2073="dram",H2073,0)</f>
        <v>8292</v>
      </c>
      <c r="L2073">
        <v>524288</v>
      </c>
      <c r="M2073">
        <v>0</v>
      </c>
    </row>
    <row r="2074" spans="1:13">
      <c r="A2074">
        <v>2072</v>
      </c>
      <c r="B2074" t="s">
        <v>358</v>
      </c>
      <c r="C2074" t="s">
        <v>82</v>
      </c>
      <c r="D2074" t="s">
        <v>83</v>
      </c>
      <c r="E2074" t="s">
        <v>118</v>
      </c>
      <c r="F2074">
        <v>16384</v>
      </c>
      <c r="G2074">
        <f>MAX(I2070,I2073)</f>
        <v>2539758</v>
      </c>
      <c r="H2074">
        <f>CEILING((dram_access_latency+F2074/dram_bandwidth)*frequency,1)</f>
        <v>356</v>
      </c>
      <c r="I2074">
        <f>G2074+H2074</f>
        <v>2540114</v>
      </c>
      <c r="J2074">
        <f>IF(AND(D2074&lt;&gt;"dram",D2074&lt;&gt;"control"),H2074,0)</f>
        <v>0</v>
      </c>
      <c r="K2074">
        <f>IF(D2074="dram",H2074,0)</f>
        <v>356</v>
      </c>
      <c r="L2074">
        <v>16384</v>
      </c>
      <c r="M2074">
        <v>0</v>
      </c>
    </row>
    <row r="2075" spans="1:13">
      <c r="A2075">
        <v>2073</v>
      </c>
      <c r="B2075" t="s">
        <v>359</v>
      </c>
      <c r="C2075" t="s">
        <v>82</v>
      </c>
      <c r="D2075" t="s">
        <v>83</v>
      </c>
      <c r="E2075" t="s">
        <v>118</v>
      </c>
      <c r="F2075">
        <v>2048</v>
      </c>
      <c r="G2075">
        <f>MAX(I2070,I2074)</f>
        <v>2540114</v>
      </c>
      <c r="H2075">
        <f>CEILING((dram_access_latency+F2075/dram_bandwidth)*frequency,1)</f>
        <v>132</v>
      </c>
      <c r="I2075">
        <f>G2075+H2075</f>
        <v>2540246</v>
      </c>
      <c r="J2075">
        <f>IF(AND(D2075&lt;&gt;"dram",D2075&lt;&gt;"control"),H2075,0)</f>
        <v>0</v>
      </c>
      <c r="K2075">
        <f>IF(D2075="dram",H2075,0)</f>
        <v>132</v>
      </c>
      <c r="L2075">
        <v>2048</v>
      </c>
      <c r="M2075">
        <v>0</v>
      </c>
    </row>
    <row r="2076" spans="1:13">
      <c r="A2076">
        <v>2074</v>
      </c>
      <c r="B2076" t="s">
        <v>58</v>
      </c>
      <c r="C2076" t="s">
        <v>90</v>
      </c>
      <c r="D2076" t="s">
        <v>108</v>
      </c>
      <c r="E2076" t="s">
        <v>118</v>
      </c>
      <c r="F2076">
        <v>0</v>
      </c>
      <c r="G2076">
        <f>MAX(I2069,I2069,I2011,I2073,I2013,I2074,I2075,I2071,I2072)</f>
        <v>2548158</v>
      </c>
      <c r="H2076">
        <f>'Operations'!I24</f>
        <v>16901</v>
      </c>
      <c r="I2076">
        <f>G2076+H2076</f>
        <v>2565059</v>
      </c>
      <c r="J2076">
        <f>IF(AND(D2076&lt;&gt;"dram",D2076&lt;&gt;"control"),H2076,0)</f>
        <v>16901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360</v>
      </c>
      <c r="C2077" t="s">
        <v>88</v>
      </c>
      <c r="D2077" t="s">
        <v>89</v>
      </c>
      <c r="E2077" t="s">
        <v>118</v>
      </c>
      <c r="F2077">
        <v>0</v>
      </c>
      <c r="G2077">
        <f>MAX(I2070,I2069)</f>
        <v>2531257</v>
      </c>
      <c r="H2077">
        <f>0</f>
        <v>16901</v>
      </c>
      <c r="I2077">
        <f>G2077+H2077</f>
        <v>2548158</v>
      </c>
      <c r="J2077">
        <f>IF(AND(D2077&lt;&gt;"dram",D2077&lt;&gt;"control"),H2077,0)</f>
        <v>0</v>
      </c>
      <c r="K2077">
        <f>IF(D2077="dram",H2077,0)</f>
        <v>0</v>
      </c>
      <c r="L2077">
        <v>0</v>
      </c>
      <c r="M2077">
        <v>0</v>
      </c>
    </row>
    <row r="2078" spans="1:13">
      <c r="A2078">
        <v>2076</v>
      </c>
      <c r="B2078" t="s">
        <v>361</v>
      </c>
      <c r="C2078" t="s">
        <v>92</v>
      </c>
      <c r="D2078" t="s">
        <v>83</v>
      </c>
      <c r="E2078" t="s">
        <v>118</v>
      </c>
      <c r="F2078">
        <v>16</v>
      </c>
      <c r="G2078">
        <f>MAX(I2077,I2075)</f>
        <v>2548158</v>
      </c>
      <c r="H2078">
        <f>CEILING((dram_access_latency+F2078/dram_bandwidth)*frequency,1)</f>
        <v>101</v>
      </c>
      <c r="I2078">
        <f>G2078+H2078</f>
        <v>2548259</v>
      </c>
      <c r="J2078">
        <f>IF(AND(D2078&lt;&gt;"dram",D2078&lt;&gt;"control"),H2078,0)</f>
        <v>0</v>
      </c>
      <c r="K2078">
        <f>IF(D2078="dram",H2078,0)</f>
        <v>101</v>
      </c>
      <c r="L2078">
        <v>0</v>
      </c>
      <c r="M2078">
        <v>16</v>
      </c>
    </row>
    <row r="2079" spans="1:13">
      <c r="A2079">
        <v>2077</v>
      </c>
      <c r="B2079" t="s">
        <v>362</v>
      </c>
      <c r="C2079" t="s">
        <v>92</v>
      </c>
      <c r="D2079" t="s">
        <v>83</v>
      </c>
      <c r="E2079" t="s">
        <v>118</v>
      </c>
      <c r="F2079">
        <v>512</v>
      </c>
      <c r="G2079">
        <f>MAX(I2077,I2078)</f>
        <v>2548259</v>
      </c>
      <c r="H2079">
        <f>CEILING((dram_access_latency+F2079/dram_bandwidth)*frequency,1)</f>
        <v>108</v>
      </c>
      <c r="I2079">
        <f>G2079+H2079</f>
        <v>2548367</v>
      </c>
      <c r="J2079">
        <f>IF(AND(D2079&lt;&gt;"dram",D2079&lt;&gt;"control"),H2079,0)</f>
        <v>0</v>
      </c>
      <c r="K2079">
        <f>IF(D2079="dram",H2079,0)</f>
        <v>108</v>
      </c>
      <c r="L2079">
        <v>0</v>
      </c>
      <c r="M2079">
        <v>512</v>
      </c>
    </row>
    <row r="2080" spans="1:13">
      <c r="A2080">
        <v>2078</v>
      </c>
      <c r="B2080" t="s">
        <v>356</v>
      </c>
      <c r="C2080" t="s">
        <v>82</v>
      </c>
      <c r="D2080" t="s">
        <v>83</v>
      </c>
      <c r="E2080" t="s">
        <v>119</v>
      </c>
      <c r="F2080">
        <v>524288</v>
      </c>
      <c r="G2080">
        <f>MAX(I2077,I2079)</f>
        <v>2548367</v>
      </c>
      <c r="H2080">
        <f>CEILING((dram_access_latency+F2080/dram_bandwidth)*frequency,1)</f>
        <v>8292</v>
      </c>
      <c r="I2080">
        <f>G2080+H2080</f>
        <v>2556659</v>
      </c>
      <c r="J2080">
        <f>IF(AND(D2080&lt;&gt;"dram",D2080&lt;&gt;"control"),H2080,0)</f>
        <v>0</v>
      </c>
      <c r="K2080">
        <f>IF(D2080="dram",H2080,0)</f>
        <v>8292</v>
      </c>
      <c r="L2080">
        <v>524288</v>
      </c>
      <c r="M2080">
        <v>0</v>
      </c>
    </row>
    <row r="2081" spans="1:13">
      <c r="A2081">
        <v>2079</v>
      </c>
      <c r="B2081" t="s">
        <v>358</v>
      </c>
      <c r="C2081" t="s">
        <v>82</v>
      </c>
      <c r="D2081" t="s">
        <v>83</v>
      </c>
      <c r="E2081" t="s">
        <v>119</v>
      </c>
      <c r="F2081">
        <v>16384</v>
      </c>
      <c r="G2081">
        <f>MAX(I2077,I2080)</f>
        <v>2556659</v>
      </c>
      <c r="H2081">
        <f>CEILING((dram_access_latency+F2081/dram_bandwidth)*frequency,1)</f>
        <v>356</v>
      </c>
      <c r="I2081">
        <f>G2081+H2081</f>
        <v>2557015</v>
      </c>
      <c r="J2081">
        <f>IF(AND(D2081&lt;&gt;"dram",D2081&lt;&gt;"control"),H2081,0)</f>
        <v>0</v>
      </c>
      <c r="K2081">
        <f>IF(D2081="dram",H2081,0)</f>
        <v>356</v>
      </c>
      <c r="L2081">
        <v>16384</v>
      </c>
      <c r="M2081">
        <v>0</v>
      </c>
    </row>
    <row r="2082" spans="1:13">
      <c r="A2082">
        <v>2080</v>
      </c>
      <c r="B2082" t="s">
        <v>359</v>
      </c>
      <c r="C2082" t="s">
        <v>82</v>
      </c>
      <c r="D2082" t="s">
        <v>83</v>
      </c>
      <c r="E2082" t="s">
        <v>119</v>
      </c>
      <c r="F2082">
        <v>2048</v>
      </c>
      <c r="G2082">
        <f>MAX(I2077,I2081)</f>
        <v>2557015</v>
      </c>
      <c r="H2082">
        <f>CEILING((dram_access_latency+F2082/dram_bandwidth)*frequency,1)</f>
        <v>132</v>
      </c>
      <c r="I2082">
        <f>G2082+H2082</f>
        <v>2557147</v>
      </c>
      <c r="J2082">
        <f>IF(AND(D2082&lt;&gt;"dram",D2082&lt;&gt;"control"),H2082,0)</f>
        <v>0</v>
      </c>
      <c r="K2082">
        <f>IF(D2082="dram",H2082,0)</f>
        <v>132</v>
      </c>
      <c r="L2082">
        <v>2048</v>
      </c>
      <c r="M2082">
        <v>0</v>
      </c>
    </row>
    <row r="2083" spans="1:13">
      <c r="A2083">
        <v>2081</v>
      </c>
      <c r="B2083" t="s">
        <v>58</v>
      </c>
      <c r="C2083" t="s">
        <v>90</v>
      </c>
      <c r="D2083" t="s">
        <v>108</v>
      </c>
      <c r="E2083" t="s">
        <v>119</v>
      </c>
      <c r="F2083">
        <v>0</v>
      </c>
      <c r="G2083">
        <f>MAX(I2076,I2076,I2011,I2080,I2013,I2081,I2082,I2078,I2079)</f>
        <v>2565059</v>
      </c>
      <c r="H2083">
        <f>'Operations'!I24</f>
        <v>16901</v>
      </c>
      <c r="I2083">
        <f>G2083+H2083</f>
        <v>2581960</v>
      </c>
      <c r="J2083">
        <f>IF(AND(D2083&lt;&gt;"dram",D2083&lt;&gt;"control"),H2083,0)</f>
        <v>16901</v>
      </c>
      <c r="K2083">
        <f>IF(D2083="dram",H2083,0)</f>
        <v>0</v>
      </c>
      <c r="L2083">
        <v>0</v>
      </c>
      <c r="M2083">
        <v>0</v>
      </c>
    </row>
    <row r="2084" spans="1:13">
      <c r="A2084">
        <v>2082</v>
      </c>
      <c r="B2084" t="s">
        <v>360</v>
      </c>
      <c r="C2084" t="s">
        <v>88</v>
      </c>
      <c r="D2084" t="s">
        <v>89</v>
      </c>
      <c r="E2084" t="s">
        <v>119</v>
      </c>
      <c r="F2084">
        <v>0</v>
      </c>
      <c r="G2084">
        <f>MAX(I2077,I2076)</f>
        <v>2548158</v>
      </c>
      <c r="H2084">
        <f>0</f>
        <v>16901</v>
      </c>
      <c r="I2084">
        <f>G2084+H2084</f>
        <v>2565059</v>
      </c>
      <c r="J2084">
        <f>IF(AND(D2084&lt;&gt;"dram",D2084&lt;&gt;"control"),H2084,0)</f>
        <v>0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361</v>
      </c>
      <c r="C2085" t="s">
        <v>92</v>
      </c>
      <c r="D2085" t="s">
        <v>83</v>
      </c>
      <c r="E2085" t="s">
        <v>119</v>
      </c>
      <c r="F2085">
        <v>16</v>
      </c>
      <c r="G2085">
        <f>MAX(I2084,I2082)</f>
        <v>2565059</v>
      </c>
      <c r="H2085">
        <f>CEILING((dram_access_latency+F2085/dram_bandwidth)*frequency,1)</f>
        <v>101</v>
      </c>
      <c r="I2085">
        <f>G2085+H2085</f>
        <v>2565160</v>
      </c>
      <c r="J2085">
        <f>IF(AND(D2085&lt;&gt;"dram",D2085&lt;&gt;"control"),H2085,0)</f>
        <v>0</v>
      </c>
      <c r="K2085">
        <f>IF(D2085="dram",H2085,0)</f>
        <v>101</v>
      </c>
      <c r="L2085">
        <v>0</v>
      </c>
      <c r="M2085">
        <v>16</v>
      </c>
    </row>
    <row r="2086" spans="1:13">
      <c r="A2086">
        <v>2084</v>
      </c>
      <c r="B2086" t="s">
        <v>362</v>
      </c>
      <c r="C2086" t="s">
        <v>92</v>
      </c>
      <c r="D2086" t="s">
        <v>83</v>
      </c>
      <c r="E2086" t="s">
        <v>119</v>
      </c>
      <c r="F2086">
        <v>512</v>
      </c>
      <c r="G2086">
        <f>MAX(I2084,I2085)</f>
        <v>2565160</v>
      </c>
      <c r="H2086">
        <f>CEILING((dram_access_latency+F2086/dram_bandwidth)*frequency,1)</f>
        <v>108</v>
      </c>
      <c r="I2086">
        <f>G2086+H2086</f>
        <v>2565268</v>
      </c>
      <c r="J2086">
        <f>IF(AND(D2086&lt;&gt;"dram",D2086&lt;&gt;"control"),H2086,0)</f>
        <v>0</v>
      </c>
      <c r="K2086">
        <f>IF(D2086="dram",H2086,0)</f>
        <v>108</v>
      </c>
      <c r="L2086">
        <v>0</v>
      </c>
      <c r="M2086">
        <v>512</v>
      </c>
    </row>
    <row r="2087" spans="1:13">
      <c r="A2087">
        <v>2085</v>
      </c>
      <c r="B2087" t="s">
        <v>356</v>
      </c>
      <c r="C2087" t="s">
        <v>82</v>
      </c>
      <c r="D2087" t="s">
        <v>83</v>
      </c>
      <c r="E2087" t="s">
        <v>120</v>
      </c>
      <c r="F2087">
        <v>524288</v>
      </c>
      <c r="G2087">
        <f>MAX(I2084,I2086)</f>
        <v>2565268</v>
      </c>
      <c r="H2087">
        <f>CEILING((dram_access_latency+F2087/dram_bandwidth)*frequency,1)</f>
        <v>8292</v>
      </c>
      <c r="I2087">
        <f>G2087+H2087</f>
        <v>2573560</v>
      </c>
      <c r="J2087">
        <f>IF(AND(D2087&lt;&gt;"dram",D2087&lt;&gt;"control"),H2087,0)</f>
        <v>0</v>
      </c>
      <c r="K2087">
        <f>IF(D2087="dram",H2087,0)</f>
        <v>8292</v>
      </c>
      <c r="L2087">
        <v>524288</v>
      </c>
      <c r="M2087">
        <v>0</v>
      </c>
    </row>
    <row r="2088" spans="1:13">
      <c r="A2088">
        <v>2086</v>
      </c>
      <c r="B2088" t="s">
        <v>358</v>
      </c>
      <c r="C2088" t="s">
        <v>82</v>
      </c>
      <c r="D2088" t="s">
        <v>83</v>
      </c>
      <c r="E2088" t="s">
        <v>120</v>
      </c>
      <c r="F2088">
        <v>16384</v>
      </c>
      <c r="G2088">
        <f>MAX(I2084,I2087)</f>
        <v>2573560</v>
      </c>
      <c r="H2088">
        <f>CEILING((dram_access_latency+F2088/dram_bandwidth)*frequency,1)</f>
        <v>356</v>
      </c>
      <c r="I2088">
        <f>G2088+H2088</f>
        <v>2573916</v>
      </c>
      <c r="J2088">
        <f>IF(AND(D2088&lt;&gt;"dram",D2088&lt;&gt;"control"),H2088,0)</f>
        <v>0</v>
      </c>
      <c r="K2088">
        <f>IF(D2088="dram",H2088,0)</f>
        <v>356</v>
      </c>
      <c r="L2088">
        <v>16384</v>
      </c>
      <c r="M2088">
        <v>0</v>
      </c>
    </row>
    <row r="2089" spans="1:13">
      <c r="A2089">
        <v>2087</v>
      </c>
      <c r="B2089" t="s">
        <v>359</v>
      </c>
      <c r="C2089" t="s">
        <v>82</v>
      </c>
      <c r="D2089" t="s">
        <v>83</v>
      </c>
      <c r="E2089" t="s">
        <v>120</v>
      </c>
      <c r="F2089">
        <v>2048</v>
      </c>
      <c r="G2089">
        <f>MAX(I2084,I2088)</f>
        <v>2573916</v>
      </c>
      <c r="H2089">
        <f>CEILING((dram_access_latency+F2089/dram_bandwidth)*frequency,1)</f>
        <v>132</v>
      </c>
      <c r="I2089">
        <f>G2089+H2089</f>
        <v>2574048</v>
      </c>
      <c r="J2089">
        <f>IF(AND(D2089&lt;&gt;"dram",D2089&lt;&gt;"control"),H2089,0)</f>
        <v>0</v>
      </c>
      <c r="K2089">
        <f>IF(D2089="dram",H2089,0)</f>
        <v>132</v>
      </c>
      <c r="L2089">
        <v>2048</v>
      </c>
      <c r="M2089">
        <v>0</v>
      </c>
    </row>
    <row r="2090" spans="1:13">
      <c r="A2090">
        <v>2088</v>
      </c>
      <c r="B2090" t="s">
        <v>58</v>
      </c>
      <c r="C2090" t="s">
        <v>90</v>
      </c>
      <c r="D2090" t="s">
        <v>108</v>
      </c>
      <c r="E2090" t="s">
        <v>120</v>
      </c>
      <c r="F2090">
        <v>0</v>
      </c>
      <c r="G2090">
        <f>MAX(I2083,I2083,I2011,I2087,I2013,I2088,I2089,I2085,I2086)</f>
        <v>2581960</v>
      </c>
      <c r="H2090">
        <f>'Operations'!I24</f>
        <v>16901</v>
      </c>
      <c r="I2090">
        <f>G2090+H2090</f>
        <v>2598861</v>
      </c>
      <c r="J2090">
        <f>IF(AND(D2090&lt;&gt;"dram",D2090&lt;&gt;"control"),H2090,0)</f>
        <v>16901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360</v>
      </c>
      <c r="C2091" t="s">
        <v>88</v>
      </c>
      <c r="D2091" t="s">
        <v>89</v>
      </c>
      <c r="E2091" t="s">
        <v>120</v>
      </c>
      <c r="F2091">
        <v>0</v>
      </c>
      <c r="G2091">
        <f>MAX(I2084,I2083)</f>
        <v>2565059</v>
      </c>
      <c r="H2091">
        <f>0</f>
        <v>16901</v>
      </c>
      <c r="I2091">
        <f>G2091+H2091</f>
        <v>2581960</v>
      </c>
      <c r="J2091">
        <f>IF(AND(D2091&lt;&gt;"dram",D2091&lt;&gt;"control"),H2091,0)</f>
        <v>0</v>
      </c>
      <c r="K2091">
        <f>IF(D2091="dram",H2091,0)</f>
        <v>0</v>
      </c>
      <c r="L2091">
        <v>0</v>
      </c>
      <c r="M2091">
        <v>0</v>
      </c>
    </row>
    <row r="2092" spans="1:13">
      <c r="A2092">
        <v>2090</v>
      </c>
      <c r="B2092" t="s">
        <v>361</v>
      </c>
      <c r="C2092" t="s">
        <v>92</v>
      </c>
      <c r="D2092" t="s">
        <v>83</v>
      </c>
      <c r="E2092" t="s">
        <v>120</v>
      </c>
      <c r="F2092">
        <v>16</v>
      </c>
      <c r="G2092">
        <f>MAX(I2091,I2089)</f>
        <v>2581960</v>
      </c>
      <c r="H2092">
        <f>CEILING((dram_access_latency+F2092/dram_bandwidth)*frequency,1)</f>
        <v>101</v>
      </c>
      <c r="I2092">
        <f>G2092+H2092</f>
        <v>2582061</v>
      </c>
      <c r="J2092">
        <f>IF(AND(D2092&lt;&gt;"dram",D2092&lt;&gt;"control"),H2092,0)</f>
        <v>0</v>
      </c>
      <c r="K2092">
        <f>IF(D2092="dram",H2092,0)</f>
        <v>101</v>
      </c>
      <c r="L2092">
        <v>0</v>
      </c>
      <c r="M2092">
        <v>16</v>
      </c>
    </row>
    <row r="2093" spans="1:13">
      <c r="A2093">
        <v>2091</v>
      </c>
      <c r="B2093" t="s">
        <v>362</v>
      </c>
      <c r="C2093" t="s">
        <v>92</v>
      </c>
      <c r="D2093" t="s">
        <v>83</v>
      </c>
      <c r="E2093" t="s">
        <v>120</v>
      </c>
      <c r="F2093">
        <v>512</v>
      </c>
      <c r="G2093">
        <f>MAX(I2091,I2092)</f>
        <v>2582061</v>
      </c>
      <c r="H2093">
        <f>CEILING((dram_access_latency+F2093/dram_bandwidth)*frequency,1)</f>
        <v>108</v>
      </c>
      <c r="I2093">
        <f>G2093+H2093</f>
        <v>2582169</v>
      </c>
      <c r="J2093">
        <f>IF(AND(D2093&lt;&gt;"dram",D2093&lt;&gt;"control"),H2093,0)</f>
        <v>0</v>
      </c>
      <c r="K2093">
        <f>IF(D2093="dram",H2093,0)</f>
        <v>108</v>
      </c>
      <c r="L2093">
        <v>0</v>
      </c>
      <c r="M2093">
        <v>512</v>
      </c>
    </row>
    <row r="2094" spans="1:13">
      <c r="A2094">
        <v>2092</v>
      </c>
      <c r="B2094" t="s">
        <v>356</v>
      </c>
      <c r="C2094" t="s">
        <v>82</v>
      </c>
      <c r="D2094" t="s">
        <v>83</v>
      </c>
      <c r="E2094" t="s">
        <v>121</v>
      </c>
      <c r="F2094">
        <v>524288</v>
      </c>
      <c r="G2094">
        <f>MAX(I2091,I2093)</f>
        <v>2582169</v>
      </c>
      <c r="H2094">
        <f>CEILING((dram_access_latency+F2094/dram_bandwidth)*frequency,1)</f>
        <v>8292</v>
      </c>
      <c r="I2094">
        <f>G2094+H2094</f>
        <v>2590461</v>
      </c>
      <c r="J2094">
        <f>IF(AND(D2094&lt;&gt;"dram",D2094&lt;&gt;"control"),H2094,0)</f>
        <v>0</v>
      </c>
      <c r="K2094">
        <f>IF(D2094="dram",H2094,0)</f>
        <v>8292</v>
      </c>
      <c r="L2094">
        <v>524288</v>
      </c>
      <c r="M2094">
        <v>0</v>
      </c>
    </row>
    <row r="2095" spans="1:13">
      <c r="A2095">
        <v>2093</v>
      </c>
      <c r="B2095" t="s">
        <v>358</v>
      </c>
      <c r="C2095" t="s">
        <v>82</v>
      </c>
      <c r="D2095" t="s">
        <v>83</v>
      </c>
      <c r="E2095" t="s">
        <v>121</v>
      </c>
      <c r="F2095">
        <v>16384</v>
      </c>
      <c r="G2095">
        <f>MAX(I2091,I2094)</f>
        <v>2590461</v>
      </c>
      <c r="H2095">
        <f>CEILING((dram_access_latency+F2095/dram_bandwidth)*frequency,1)</f>
        <v>356</v>
      </c>
      <c r="I2095">
        <f>G2095+H2095</f>
        <v>2590817</v>
      </c>
      <c r="J2095">
        <f>IF(AND(D2095&lt;&gt;"dram",D2095&lt;&gt;"control"),H2095,0)</f>
        <v>0</v>
      </c>
      <c r="K2095">
        <f>IF(D2095="dram",H2095,0)</f>
        <v>356</v>
      </c>
      <c r="L2095">
        <v>16384</v>
      </c>
      <c r="M2095">
        <v>0</v>
      </c>
    </row>
    <row r="2096" spans="1:13">
      <c r="A2096">
        <v>2094</v>
      </c>
      <c r="B2096" t="s">
        <v>359</v>
      </c>
      <c r="C2096" t="s">
        <v>82</v>
      </c>
      <c r="D2096" t="s">
        <v>83</v>
      </c>
      <c r="E2096" t="s">
        <v>121</v>
      </c>
      <c r="F2096">
        <v>2048</v>
      </c>
      <c r="G2096">
        <f>MAX(I2091,I2095)</f>
        <v>2590817</v>
      </c>
      <c r="H2096">
        <f>CEILING((dram_access_latency+F2096/dram_bandwidth)*frequency,1)</f>
        <v>132</v>
      </c>
      <c r="I2096">
        <f>G2096+H2096</f>
        <v>2590949</v>
      </c>
      <c r="J2096">
        <f>IF(AND(D2096&lt;&gt;"dram",D2096&lt;&gt;"control"),H2096,0)</f>
        <v>0</v>
      </c>
      <c r="K2096">
        <f>IF(D2096="dram",H2096,0)</f>
        <v>132</v>
      </c>
      <c r="L2096">
        <v>2048</v>
      </c>
      <c r="M2096">
        <v>0</v>
      </c>
    </row>
    <row r="2097" spans="1:13">
      <c r="A2097">
        <v>2095</v>
      </c>
      <c r="B2097" t="s">
        <v>58</v>
      </c>
      <c r="C2097" t="s">
        <v>90</v>
      </c>
      <c r="D2097" t="s">
        <v>108</v>
      </c>
      <c r="E2097" t="s">
        <v>121</v>
      </c>
      <c r="F2097">
        <v>0</v>
      </c>
      <c r="G2097">
        <f>MAX(I2090,I2090,I2011,I2094,I2013,I2095,I2096,I2092,I2093)</f>
        <v>2598861</v>
      </c>
      <c r="H2097">
        <f>'Operations'!I24</f>
        <v>16901</v>
      </c>
      <c r="I2097">
        <f>G2097+H2097</f>
        <v>2615762</v>
      </c>
      <c r="J2097">
        <f>IF(AND(D2097&lt;&gt;"dram",D2097&lt;&gt;"control"),H2097,0)</f>
        <v>16901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360</v>
      </c>
      <c r="C2098" t="s">
        <v>88</v>
      </c>
      <c r="D2098" t="s">
        <v>89</v>
      </c>
      <c r="E2098" t="s">
        <v>121</v>
      </c>
      <c r="F2098">
        <v>0</v>
      </c>
      <c r="G2098">
        <f>MAX(I2091,I2090)</f>
        <v>2581960</v>
      </c>
      <c r="H2098">
        <f>0</f>
        <v>16901</v>
      </c>
      <c r="I2098">
        <f>G2098+H2098</f>
        <v>2598861</v>
      </c>
      <c r="J2098">
        <f>IF(AND(D2098&lt;&gt;"dram",D2098&lt;&gt;"control"),H2098,0)</f>
        <v>0</v>
      </c>
      <c r="K2098">
        <f>IF(D2098="dram",H2098,0)</f>
        <v>0</v>
      </c>
      <c r="L2098">
        <v>0</v>
      </c>
      <c r="M2098">
        <v>0</v>
      </c>
    </row>
    <row r="2099" spans="1:13">
      <c r="A2099">
        <v>2097</v>
      </c>
      <c r="B2099" t="s">
        <v>361</v>
      </c>
      <c r="C2099" t="s">
        <v>92</v>
      </c>
      <c r="D2099" t="s">
        <v>83</v>
      </c>
      <c r="E2099" t="s">
        <v>121</v>
      </c>
      <c r="F2099">
        <v>16</v>
      </c>
      <c r="G2099">
        <f>MAX(I2098,I2096)</f>
        <v>2598861</v>
      </c>
      <c r="H2099">
        <f>CEILING((dram_access_latency+F2099/dram_bandwidth)*frequency,1)</f>
        <v>101</v>
      </c>
      <c r="I2099">
        <f>G2099+H2099</f>
        <v>2598962</v>
      </c>
      <c r="J2099">
        <f>IF(AND(D2099&lt;&gt;"dram",D2099&lt;&gt;"control"),H2099,0)</f>
        <v>0</v>
      </c>
      <c r="K2099">
        <f>IF(D2099="dram",H2099,0)</f>
        <v>101</v>
      </c>
      <c r="L2099">
        <v>0</v>
      </c>
      <c r="M2099">
        <v>16</v>
      </c>
    </row>
    <row r="2100" spans="1:13">
      <c r="A2100">
        <v>2098</v>
      </c>
      <c r="B2100" t="s">
        <v>362</v>
      </c>
      <c r="C2100" t="s">
        <v>92</v>
      </c>
      <c r="D2100" t="s">
        <v>83</v>
      </c>
      <c r="E2100" t="s">
        <v>121</v>
      </c>
      <c r="F2100">
        <v>512</v>
      </c>
      <c r="G2100">
        <f>MAX(I2098,I2099)</f>
        <v>2598962</v>
      </c>
      <c r="H2100">
        <f>CEILING((dram_access_latency+F2100/dram_bandwidth)*frequency,1)</f>
        <v>108</v>
      </c>
      <c r="I2100">
        <f>G2100+H2100</f>
        <v>2599070</v>
      </c>
      <c r="J2100">
        <f>IF(AND(D2100&lt;&gt;"dram",D2100&lt;&gt;"control"),H2100,0)</f>
        <v>0</v>
      </c>
      <c r="K2100">
        <f>IF(D2100="dram",H2100,0)</f>
        <v>108</v>
      </c>
      <c r="L2100">
        <v>0</v>
      </c>
      <c r="M2100">
        <v>512</v>
      </c>
    </row>
    <row r="2101" spans="1:13">
      <c r="A2101">
        <v>2099</v>
      </c>
      <c r="B2101" t="s">
        <v>356</v>
      </c>
      <c r="C2101" t="s">
        <v>82</v>
      </c>
      <c r="D2101" t="s">
        <v>83</v>
      </c>
      <c r="E2101" t="s">
        <v>122</v>
      </c>
      <c r="F2101">
        <v>524288</v>
      </c>
      <c r="G2101">
        <f>MAX(I2098,I2100)</f>
        <v>2599070</v>
      </c>
      <c r="H2101">
        <f>CEILING((dram_access_latency+F2101/dram_bandwidth)*frequency,1)</f>
        <v>8292</v>
      </c>
      <c r="I2101">
        <f>G2101+H2101</f>
        <v>2607362</v>
      </c>
      <c r="J2101">
        <f>IF(AND(D2101&lt;&gt;"dram",D2101&lt;&gt;"control"),H2101,0)</f>
        <v>0</v>
      </c>
      <c r="K2101">
        <f>IF(D2101="dram",H2101,0)</f>
        <v>8292</v>
      </c>
      <c r="L2101">
        <v>524288</v>
      </c>
      <c r="M2101">
        <v>0</v>
      </c>
    </row>
    <row r="2102" spans="1:13">
      <c r="A2102">
        <v>2100</v>
      </c>
      <c r="B2102" t="s">
        <v>358</v>
      </c>
      <c r="C2102" t="s">
        <v>82</v>
      </c>
      <c r="D2102" t="s">
        <v>83</v>
      </c>
      <c r="E2102" t="s">
        <v>122</v>
      </c>
      <c r="F2102">
        <v>16384</v>
      </c>
      <c r="G2102">
        <f>MAX(I2098,I2101)</f>
        <v>2607362</v>
      </c>
      <c r="H2102">
        <f>CEILING((dram_access_latency+F2102/dram_bandwidth)*frequency,1)</f>
        <v>356</v>
      </c>
      <c r="I2102">
        <f>G2102+H2102</f>
        <v>2607718</v>
      </c>
      <c r="J2102">
        <f>IF(AND(D2102&lt;&gt;"dram",D2102&lt;&gt;"control"),H2102,0)</f>
        <v>0</v>
      </c>
      <c r="K2102">
        <f>IF(D2102="dram",H2102,0)</f>
        <v>356</v>
      </c>
      <c r="L2102">
        <v>16384</v>
      </c>
      <c r="M2102">
        <v>0</v>
      </c>
    </row>
    <row r="2103" spans="1:13">
      <c r="A2103">
        <v>2101</v>
      </c>
      <c r="B2103" t="s">
        <v>359</v>
      </c>
      <c r="C2103" t="s">
        <v>82</v>
      </c>
      <c r="D2103" t="s">
        <v>83</v>
      </c>
      <c r="E2103" t="s">
        <v>122</v>
      </c>
      <c r="F2103">
        <v>2048</v>
      </c>
      <c r="G2103">
        <f>MAX(I2098,I2102)</f>
        <v>2607718</v>
      </c>
      <c r="H2103">
        <f>CEILING((dram_access_latency+F2103/dram_bandwidth)*frequency,1)</f>
        <v>132</v>
      </c>
      <c r="I2103">
        <f>G2103+H2103</f>
        <v>2607850</v>
      </c>
      <c r="J2103">
        <f>IF(AND(D2103&lt;&gt;"dram",D2103&lt;&gt;"control"),H2103,0)</f>
        <v>0</v>
      </c>
      <c r="K2103">
        <f>IF(D2103="dram",H2103,0)</f>
        <v>132</v>
      </c>
      <c r="L2103">
        <v>2048</v>
      </c>
      <c r="M2103">
        <v>0</v>
      </c>
    </row>
    <row r="2104" spans="1:13">
      <c r="A2104">
        <v>2102</v>
      </c>
      <c r="B2104" t="s">
        <v>58</v>
      </c>
      <c r="C2104" t="s">
        <v>90</v>
      </c>
      <c r="D2104" t="s">
        <v>108</v>
      </c>
      <c r="E2104" t="s">
        <v>122</v>
      </c>
      <c r="F2104">
        <v>0</v>
      </c>
      <c r="G2104">
        <f>MAX(I2097,I2097,I2011,I2101,I2013,I2102,I2103,I2099,I2100)</f>
        <v>2615762</v>
      </c>
      <c r="H2104">
        <f>'Operations'!I24</f>
        <v>16901</v>
      </c>
      <c r="I2104">
        <f>G2104+H2104</f>
        <v>2632663</v>
      </c>
      <c r="J2104">
        <f>IF(AND(D2104&lt;&gt;"dram",D2104&lt;&gt;"control"),H2104,0)</f>
        <v>16901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360</v>
      </c>
      <c r="C2105" t="s">
        <v>88</v>
      </c>
      <c r="D2105" t="s">
        <v>89</v>
      </c>
      <c r="E2105" t="s">
        <v>122</v>
      </c>
      <c r="F2105">
        <v>0</v>
      </c>
      <c r="G2105">
        <f>MAX(I2098,I2097)</f>
        <v>2598861</v>
      </c>
      <c r="H2105">
        <f>0</f>
        <v>16901</v>
      </c>
      <c r="I2105">
        <f>G2105+H2105</f>
        <v>2615762</v>
      </c>
      <c r="J2105">
        <f>IF(AND(D2105&lt;&gt;"dram",D2105&lt;&gt;"control"),H2105,0)</f>
        <v>0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361</v>
      </c>
      <c r="C2106" t="s">
        <v>92</v>
      </c>
      <c r="D2106" t="s">
        <v>83</v>
      </c>
      <c r="E2106" t="s">
        <v>122</v>
      </c>
      <c r="F2106">
        <v>16</v>
      </c>
      <c r="G2106">
        <f>MAX(I2105,I2103)</f>
        <v>2615762</v>
      </c>
      <c r="H2106">
        <f>CEILING((dram_access_latency+F2106/dram_bandwidth)*frequency,1)</f>
        <v>101</v>
      </c>
      <c r="I2106">
        <f>G2106+H2106</f>
        <v>2615863</v>
      </c>
      <c r="J2106">
        <f>IF(AND(D2106&lt;&gt;"dram",D2106&lt;&gt;"control"),H2106,0)</f>
        <v>0</v>
      </c>
      <c r="K2106">
        <f>IF(D2106="dram",H2106,0)</f>
        <v>101</v>
      </c>
      <c r="L2106">
        <v>0</v>
      </c>
      <c r="M2106">
        <v>16</v>
      </c>
    </row>
    <row r="2107" spans="1:13">
      <c r="A2107">
        <v>2105</v>
      </c>
      <c r="B2107" t="s">
        <v>362</v>
      </c>
      <c r="C2107" t="s">
        <v>92</v>
      </c>
      <c r="D2107" t="s">
        <v>83</v>
      </c>
      <c r="E2107" t="s">
        <v>122</v>
      </c>
      <c r="F2107">
        <v>512</v>
      </c>
      <c r="G2107">
        <f>MAX(I2105,I2106)</f>
        <v>2615863</v>
      </c>
      <c r="H2107">
        <f>CEILING((dram_access_latency+F2107/dram_bandwidth)*frequency,1)</f>
        <v>108</v>
      </c>
      <c r="I2107">
        <f>G2107+H2107</f>
        <v>2615971</v>
      </c>
      <c r="J2107">
        <f>IF(AND(D2107&lt;&gt;"dram",D2107&lt;&gt;"control"),H2107,0)</f>
        <v>0</v>
      </c>
      <c r="K2107">
        <f>IF(D2107="dram",H2107,0)</f>
        <v>108</v>
      </c>
      <c r="L2107">
        <v>0</v>
      </c>
      <c r="M2107">
        <v>512</v>
      </c>
    </row>
    <row r="2108" spans="1:13">
      <c r="A2108">
        <v>2106</v>
      </c>
      <c r="B2108" t="s">
        <v>356</v>
      </c>
      <c r="C2108" t="s">
        <v>82</v>
      </c>
      <c r="D2108" t="s">
        <v>83</v>
      </c>
      <c r="E2108" t="s">
        <v>123</v>
      </c>
      <c r="F2108">
        <v>524288</v>
      </c>
      <c r="G2108">
        <f>MAX(I2105,I2107)</f>
        <v>2615971</v>
      </c>
      <c r="H2108">
        <f>CEILING((dram_access_latency+F2108/dram_bandwidth)*frequency,1)</f>
        <v>8292</v>
      </c>
      <c r="I2108">
        <f>G2108+H2108</f>
        <v>2624263</v>
      </c>
      <c r="J2108">
        <f>IF(AND(D2108&lt;&gt;"dram",D2108&lt;&gt;"control"),H2108,0)</f>
        <v>0</v>
      </c>
      <c r="K2108">
        <f>IF(D2108="dram",H2108,0)</f>
        <v>8292</v>
      </c>
      <c r="L2108">
        <v>524288</v>
      </c>
      <c r="M2108">
        <v>0</v>
      </c>
    </row>
    <row r="2109" spans="1:13">
      <c r="A2109">
        <v>2107</v>
      </c>
      <c r="B2109" t="s">
        <v>358</v>
      </c>
      <c r="C2109" t="s">
        <v>82</v>
      </c>
      <c r="D2109" t="s">
        <v>83</v>
      </c>
      <c r="E2109" t="s">
        <v>123</v>
      </c>
      <c r="F2109">
        <v>16384</v>
      </c>
      <c r="G2109">
        <f>MAX(I2105,I2108)</f>
        <v>2624263</v>
      </c>
      <c r="H2109">
        <f>CEILING((dram_access_latency+F2109/dram_bandwidth)*frequency,1)</f>
        <v>356</v>
      </c>
      <c r="I2109">
        <f>G2109+H2109</f>
        <v>2624619</v>
      </c>
      <c r="J2109">
        <f>IF(AND(D2109&lt;&gt;"dram",D2109&lt;&gt;"control"),H2109,0)</f>
        <v>0</v>
      </c>
      <c r="K2109">
        <f>IF(D2109="dram",H2109,0)</f>
        <v>356</v>
      </c>
      <c r="L2109">
        <v>16384</v>
      </c>
      <c r="M2109">
        <v>0</v>
      </c>
    </row>
    <row r="2110" spans="1:13">
      <c r="A2110">
        <v>2108</v>
      </c>
      <c r="B2110" t="s">
        <v>359</v>
      </c>
      <c r="C2110" t="s">
        <v>82</v>
      </c>
      <c r="D2110" t="s">
        <v>83</v>
      </c>
      <c r="E2110" t="s">
        <v>123</v>
      </c>
      <c r="F2110">
        <v>2048</v>
      </c>
      <c r="G2110">
        <f>MAX(I2105,I2109)</f>
        <v>2624619</v>
      </c>
      <c r="H2110">
        <f>CEILING((dram_access_latency+F2110/dram_bandwidth)*frequency,1)</f>
        <v>132</v>
      </c>
      <c r="I2110">
        <f>G2110+H2110</f>
        <v>2624751</v>
      </c>
      <c r="J2110">
        <f>IF(AND(D2110&lt;&gt;"dram",D2110&lt;&gt;"control"),H2110,0)</f>
        <v>0</v>
      </c>
      <c r="K2110">
        <f>IF(D2110="dram",H2110,0)</f>
        <v>132</v>
      </c>
      <c r="L2110">
        <v>2048</v>
      </c>
      <c r="M2110">
        <v>0</v>
      </c>
    </row>
    <row r="2111" spans="1:13">
      <c r="A2111">
        <v>2109</v>
      </c>
      <c r="B2111" t="s">
        <v>58</v>
      </c>
      <c r="C2111" t="s">
        <v>90</v>
      </c>
      <c r="D2111" t="s">
        <v>108</v>
      </c>
      <c r="E2111" t="s">
        <v>123</v>
      </c>
      <c r="F2111">
        <v>0</v>
      </c>
      <c r="G2111">
        <f>MAX(I2104,I2104,I2011,I2108,I2013,I2109,I2110,I2106,I2107)</f>
        <v>2632663</v>
      </c>
      <c r="H2111">
        <f>'Operations'!I24</f>
        <v>16901</v>
      </c>
      <c r="I2111">
        <f>G2111+H2111</f>
        <v>2649564</v>
      </c>
      <c r="J2111">
        <f>IF(AND(D2111&lt;&gt;"dram",D2111&lt;&gt;"control"),H2111,0)</f>
        <v>16901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360</v>
      </c>
      <c r="C2112" t="s">
        <v>88</v>
      </c>
      <c r="D2112" t="s">
        <v>89</v>
      </c>
      <c r="E2112" t="s">
        <v>123</v>
      </c>
      <c r="F2112">
        <v>0</v>
      </c>
      <c r="G2112">
        <f>MAX(I2105,I2104)</f>
        <v>2615762</v>
      </c>
      <c r="H2112">
        <f>0</f>
        <v>16901</v>
      </c>
      <c r="I2112">
        <f>G2112+H2112</f>
        <v>2632663</v>
      </c>
      <c r="J2112">
        <f>IF(AND(D2112&lt;&gt;"dram",D2112&lt;&gt;"control"),H2112,0)</f>
        <v>0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361</v>
      </c>
      <c r="C2113" t="s">
        <v>92</v>
      </c>
      <c r="D2113" t="s">
        <v>83</v>
      </c>
      <c r="E2113" t="s">
        <v>123</v>
      </c>
      <c r="F2113">
        <v>16</v>
      </c>
      <c r="G2113">
        <f>MAX(I2112,I2110)</f>
        <v>2632663</v>
      </c>
      <c r="H2113">
        <f>CEILING((dram_access_latency+F2113/dram_bandwidth)*frequency,1)</f>
        <v>101</v>
      </c>
      <c r="I2113">
        <f>G2113+H2113</f>
        <v>2632764</v>
      </c>
      <c r="J2113">
        <f>IF(AND(D2113&lt;&gt;"dram",D2113&lt;&gt;"control"),H2113,0)</f>
        <v>0</v>
      </c>
      <c r="K2113">
        <f>IF(D2113="dram",H2113,0)</f>
        <v>101</v>
      </c>
      <c r="L2113">
        <v>0</v>
      </c>
      <c r="M2113">
        <v>16</v>
      </c>
    </row>
    <row r="2114" spans="1:13">
      <c r="A2114">
        <v>2112</v>
      </c>
      <c r="B2114" t="s">
        <v>362</v>
      </c>
      <c r="C2114" t="s">
        <v>92</v>
      </c>
      <c r="D2114" t="s">
        <v>83</v>
      </c>
      <c r="E2114" t="s">
        <v>123</v>
      </c>
      <c r="F2114">
        <v>512</v>
      </c>
      <c r="G2114">
        <f>MAX(I2112,I2113)</f>
        <v>2632764</v>
      </c>
      <c r="H2114">
        <f>CEILING((dram_access_latency+F2114/dram_bandwidth)*frequency,1)</f>
        <v>108</v>
      </c>
      <c r="I2114">
        <f>G2114+H2114</f>
        <v>2632872</v>
      </c>
      <c r="J2114">
        <f>IF(AND(D2114&lt;&gt;"dram",D2114&lt;&gt;"control"),H2114,0)</f>
        <v>0</v>
      </c>
      <c r="K2114">
        <f>IF(D2114="dram",H2114,0)</f>
        <v>108</v>
      </c>
      <c r="L2114">
        <v>0</v>
      </c>
      <c r="M2114">
        <v>512</v>
      </c>
    </row>
    <row r="2115" spans="1:13">
      <c r="A2115">
        <v>2113</v>
      </c>
      <c r="B2115" t="s">
        <v>356</v>
      </c>
      <c r="C2115" t="s">
        <v>82</v>
      </c>
      <c r="D2115" t="s">
        <v>83</v>
      </c>
      <c r="E2115" t="s">
        <v>124</v>
      </c>
      <c r="F2115">
        <v>524288</v>
      </c>
      <c r="G2115">
        <f>MAX(I2112,I2114)</f>
        <v>2632872</v>
      </c>
      <c r="H2115">
        <f>CEILING((dram_access_latency+F2115/dram_bandwidth)*frequency,1)</f>
        <v>8292</v>
      </c>
      <c r="I2115">
        <f>G2115+H2115</f>
        <v>2641164</v>
      </c>
      <c r="J2115">
        <f>IF(AND(D2115&lt;&gt;"dram",D2115&lt;&gt;"control"),H2115,0)</f>
        <v>0</v>
      </c>
      <c r="K2115">
        <f>IF(D2115="dram",H2115,0)</f>
        <v>8292</v>
      </c>
      <c r="L2115">
        <v>524288</v>
      </c>
      <c r="M2115">
        <v>0</v>
      </c>
    </row>
    <row r="2116" spans="1:13">
      <c r="A2116">
        <v>2114</v>
      </c>
      <c r="B2116" t="s">
        <v>358</v>
      </c>
      <c r="C2116" t="s">
        <v>82</v>
      </c>
      <c r="D2116" t="s">
        <v>83</v>
      </c>
      <c r="E2116" t="s">
        <v>124</v>
      </c>
      <c r="F2116">
        <v>16384</v>
      </c>
      <c r="G2116">
        <f>MAX(I2112,I2115)</f>
        <v>2641164</v>
      </c>
      <c r="H2116">
        <f>CEILING((dram_access_latency+F2116/dram_bandwidth)*frequency,1)</f>
        <v>356</v>
      </c>
      <c r="I2116">
        <f>G2116+H2116</f>
        <v>2641520</v>
      </c>
      <c r="J2116">
        <f>IF(AND(D2116&lt;&gt;"dram",D2116&lt;&gt;"control"),H2116,0)</f>
        <v>0</v>
      </c>
      <c r="K2116">
        <f>IF(D2116="dram",H2116,0)</f>
        <v>356</v>
      </c>
      <c r="L2116">
        <v>16384</v>
      </c>
      <c r="M2116">
        <v>0</v>
      </c>
    </row>
    <row r="2117" spans="1:13">
      <c r="A2117">
        <v>2115</v>
      </c>
      <c r="B2117" t="s">
        <v>359</v>
      </c>
      <c r="C2117" t="s">
        <v>82</v>
      </c>
      <c r="D2117" t="s">
        <v>83</v>
      </c>
      <c r="E2117" t="s">
        <v>124</v>
      </c>
      <c r="F2117">
        <v>2048</v>
      </c>
      <c r="G2117">
        <f>MAX(I2112,I2116)</f>
        <v>2641520</v>
      </c>
      <c r="H2117">
        <f>CEILING((dram_access_latency+F2117/dram_bandwidth)*frequency,1)</f>
        <v>132</v>
      </c>
      <c r="I2117">
        <f>G2117+H2117</f>
        <v>2641652</v>
      </c>
      <c r="J2117">
        <f>IF(AND(D2117&lt;&gt;"dram",D2117&lt;&gt;"control"),H2117,0)</f>
        <v>0</v>
      </c>
      <c r="K2117">
        <f>IF(D2117="dram",H2117,0)</f>
        <v>132</v>
      </c>
      <c r="L2117">
        <v>2048</v>
      </c>
      <c r="M2117">
        <v>0</v>
      </c>
    </row>
    <row r="2118" spans="1:13">
      <c r="A2118">
        <v>2116</v>
      </c>
      <c r="B2118" t="s">
        <v>58</v>
      </c>
      <c r="C2118" t="s">
        <v>90</v>
      </c>
      <c r="D2118" t="s">
        <v>108</v>
      </c>
      <c r="E2118" t="s">
        <v>124</v>
      </c>
      <c r="F2118">
        <v>0</v>
      </c>
      <c r="G2118">
        <f>MAX(I2111,I2111,I2011,I2115,I2013,I2116,I2117,I2113,I2114)</f>
        <v>2649564</v>
      </c>
      <c r="H2118">
        <f>'Operations'!I24</f>
        <v>16901</v>
      </c>
      <c r="I2118">
        <f>G2118+H2118</f>
        <v>2666465</v>
      </c>
      <c r="J2118">
        <f>IF(AND(D2118&lt;&gt;"dram",D2118&lt;&gt;"control"),H2118,0)</f>
        <v>16901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360</v>
      </c>
      <c r="C2119" t="s">
        <v>88</v>
      </c>
      <c r="D2119" t="s">
        <v>89</v>
      </c>
      <c r="E2119" t="s">
        <v>124</v>
      </c>
      <c r="F2119">
        <v>0</v>
      </c>
      <c r="G2119">
        <f>MAX(I2112,I2111)</f>
        <v>2632663</v>
      </c>
      <c r="H2119">
        <f>0</f>
        <v>16901</v>
      </c>
      <c r="I2119">
        <f>G2119+H2119</f>
        <v>2649564</v>
      </c>
      <c r="J2119">
        <f>IF(AND(D2119&lt;&gt;"dram",D2119&lt;&gt;"control"),H2119,0)</f>
        <v>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361</v>
      </c>
      <c r="C2120" t="s">
        <v>92</v>
      </c>
      <c r="D2120" t="s">
        <v>83</v>
      </c>
      <c r="E2120" t="s">
        <v>124</v>
      </c>
      <c r="F2120">
        <v>16</v>
      </c>
      <c r="G2120">
        <f>MAX(I2119,I2117)</f>
        <v>2649564</v>
      </c>
      <c r="H2120">
        <f>CEILING((dram_access_latency+F2120/dram_bandwidth)*frequency,1)</f>
        <v>101</v>
      </c>
      <c r="I2120">
        <f>G2120+H2120</f>
        <v>2649665</v>
      </c>
      <c r="J2120">
        <f>IF(AND(D2120&lt;&gt;"dram",D2120&lt;&gt;"control"),H2120,0)</f>
        <v>0</v>
      </c>
      <c r="K2120">
        <f>IF(D2120="dram",H2120,0)</f>
        <v>101</v>
      </c>
      <c r="L2120">
        <v>0</v>
      </c>
      <c r="M2120">
        <v>16</v>
      </c>
    </row>
    <row r="2121" spans="1:13">
      <c r="A2121">
        <v>2119</v>
      </c>
      <c r="B2121" t="s">
        <v>362</v>
      </c>
      <c r="C2121" t="s">
        <v>92</v>
      </c>
      <c r="D2121" t="s">
        <v>83</v>
      </c>
      <c r="E2121" t="s">
        <v>124</v>
      </c>
      <c r="F2121">
        <v>512</v>
      </c>
      <c r="G2121">
        <f>MAX(I2119,I2120)</f>
        <v>2649665</v>
      </c>
      <c r="H2121">
        <f>CEILING((dram_access_latency+F2121/dram_bandwidth)*frequency,1)</f>
        <v>108</v>
      </c>
      <c r="I2121">
        <f>G2121+H2121</f>
        <v>2649773</v>
      </c>
      <c r="J2121">
        <f>IF(AND(D2121&lt;&gt;"dram",D2121&lt;&gt;"control"),H2121,0)</f>
        <v>0</v>
      </c>
      <c r="K2121">
        <f>IF(D2121="dram",H2121,0)</f>
        <v>108</v>
      </c>
      <c r="L2121">
        <v>0</v>
      </c>
      <c r="M2121">
        <v>512</v>
      </c>
    </row>
    <row r="2122" spans="1:13">
      <c r="A2122">
        <v>2120</v>
      </c>
      <c r="B2122" t="s">
        <v>356</v>
      </c>
      <c r="C2122" t="s">
        <v>82</v>
      </c>
      <c r="D2122" t="s">
        <v>83</v>
      </c>
      <c r="E2122" t="s">
        <v>125</v>
      </c>
      <c r="F2122">
        <v>524288</v>
      </c>
      <c r="G2122">
        <f>MAX(I2119,I2121)</f>
        <v>2649773</v>
      </c>
      <c r="H2122">
        <f>CEILING((dram_access_latency+F2122/dram_bandwidth)*frequency,1)</f>
        <v>8292</v>
      </c>
      <c r="I2122">
        <f>G2122+H2122</f>
        <v>2658065</v>
      </c>
      <c r="J2122">
        <f>IF(AND(D2122&lt;&gt;"dram",D2122&lt;&gt;"control"),H2122,0)</f>
        <v>0</v>
      </c>
      <c r="K2122">
        <f>IF(D2122="dram",H2122,0)</f>
        <v>8292</v>
      </c>
      <c r="L2122">
        <v>524288</v>
      </c>
      <c r="M2122">
        <v>0</v>
      </c>
    </row>
    <row r="2123" spans="1:13">
      <c r="A2123">
        <v>2121</v>
      </c>
      <c r="B2123" t="s">
        <v>358</v>
      </c>
      <c r="C2123" t="s">
        <v>82</v>
      </c>
      <c r="D2123" t="s">
        <v>83</v>
      </c>
      <c r="E2123" t="s">
        <v>125</v>
      </c>
      <c r="F2123">
        <v>16384</v>
      </c>
      <c r="G2123">
        <f>MAX(I2119,I2122)</f>
        <v>2658065</v>
      </c>
      <c r="H2123">
        <f>CEILING((dram_access_latency+F2123/dram_bandwidth)*frequency,1)</f>
        <v>356</v>
      </c>
      <c r="I2123">
        <f>G2123+H2123</f>
        <v>2658421</v>
      </c>
      <c r="J2123">
        <f>IF(AND(D2123&lt;&gt;"dram",D2123&lt;&gt;"control"),H2123,0)</f>
        <v>0</v>
      </c>
      <c r="K2123">
        <f>IF(D2123="dram",H2123,0)</f>
        <v>356</v>
      </c>
      <c r="L2123">
        <v>16384</v>
      </c>
      <c r="M2123">
        <v>0</v>
      </c>
    </row>
    <row r="2124" spans="1:13">
      <c r="A2124">
        <v>2122</v>
      </c>
      <c r="B2124" t="s">
        <v>359</v>
      </c>
      <c r="C2124" t="s">
        <v>82</v>
      </c>
      <c r="D2124" t="s">
        <v>83</v>
      </c>
      <c r="E2124" t="s">
        <v>125</v>
      </c>
      <c r="F2124">
        <v>2048</v>
      </c>
      <c r="G2124">
        <f>MAX(I2119,I2123)</f>
        <v>2658421</v>
      </c>
      <c r="H2124">
        <f>CEILING((dram_access_latency+F2124/dram_bandwidth)*frequency,1)</f>
        <v>132</v>
      </c>
      <c r="I2124">
        <f>G2124+H2124</f>
        <v>2658553</v>
      </c>
      <c r="J2124">
        <f>IF(AND(D2124&lt;&gt;"dram",D2124&lt;&gt;"control"),H2124,0)</f>
        <v>0</v>
      </c>
      <c r="K2124">
        <f>IF(D2124="dram",H2124,0)</f>
        <v>132</v>
      </c>
      <c r="L2124">
        <v>2048</v>
      </c>
      <c r="M2124">
        <v>0</v>
      </c>
    </row>
    <row r="2125" spans="1:13">
      <c r="A2125">
        <v>2123</v>
      </c>
      <c r="B2125" t="s">
        <v>58</v>
      </c>
      <c r="C2125" t="s">
        <v>90</v>
      </c>
      <c r="D2125" t="s">
        <v>108</v>
      </c>
      <c r="E2125" t="s">
        <v>125</v>
      </c>
      <c r="F2125">
        <v>0</v>
      </c>
      <c r="G2125">
        <f>MAX(I2118,I2118,I2011,I2122,I2013,I2123,I2124,I2120,I2121)</f>
        <v>2666465</v>
      </c>
      <c r="H2125">
        <f>'Operations'!I24</f>
        <v>16901</v>
      </c>
      <c r="I2125">
        <f>G2125+H2125</f>
        <v>2683366</v>
      </c>
      <c r="J2125">
        <f>IF(AND(D2125&lt;&gt;"dram",D2125&lt;&gt;"control"),H2125,0)</f>
        <v>16901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360</v>
      </c>
      <c r="C2126" t="s">
        <v>88</v>
      </c>
      <c r="D2126" t="s">
        <v>89</v>
      </c>
      <c r="E2126" t="s">
        <v>125</v>
      </c>
      <c r="F2126">
        <v>0</v>
      </c>
      <c r="G2126">
        <f>MAX(I2119,I2118)</f>
        <v>2649564</v>
      </c>
      <c r="H2126">
        <f>0</f>
        <v>16901</v>
      </c>
      <c r="I2126">
        <f>G2126+H2126</f>
        <v>2666465</v>
      </c>
      <c r="J2126">
        <f>IF(AND(D2126&lt;&gt;"dram",D2126&lt;&gt;"control"),H2126,0)</f>
        <v>0</v>
      </c>
      <c r="K2126">
        <f>IF(D2126="dram",H2126,0)</f>
        <v>0</v>
      </c>
      <c r="L2126">
        <v>0</v>
      </c>
      <c r="M2126">
        <v>0</v>
      </c>
    </row>
    <row r="2127" spans="1:13">
      <c r="A2127">
        <v>2125</v>
      </c>
      <c r="B2127" t="s">
        <v>361</v>
      </c>
      <c r="C2127" t="s">
        <v>92</v>
      </c>
      <c r="D2127" t="s">
        <v>83</v>
      </c>
      <c r="E2127" t="s">
        <v>125</v>
      </c>
      <c r="F2127">
        <v>16</v>
      </c>
      <c r="G2127">
        <f>MAX(I2126,I2124)</f>
        <v>2666465</v>
      </c>
      <c r="H2127">
        <f>CEILING((dram_access_latency+F2127/dram_bandwidth)*frequency,1)</f>
        <v>101</v>
      </c>
      <c r="I2127">
        <f>G2127+H2127</f>
        <v>2666566</v>
      </c>
      <c r="J2127">
        <f>IF(AND(D2127&lt;&gt;"dram",D2127&lt;&gt;"control"),H2127,0)</f>
        <v>0</v>
      </c>
      <c r="K2127">
        <f>IF(D2127="dram",H2127,0)</f>
        <v>101</v>
      </c>
      <c r="L2127">
        <v>0</v>
      </c>
      <c r="M2127">
        <v>16</v>
      </c>
    </row>
    <row r="2128" spans="1:13">
      <c r="A2128">
        <v>2126</v>
      </c>
      <c r="B2128" t="s">
        <v>362</v>
      </c>
      <c r="C2128" t="s">
        <v>92</v>
      </c>
      <c r="D2128" t="s">
        <v>83</v>
      </c>
      <c r="E2128" t="s">
        <v>125</v>
      </c>
      <c r="F2128">
        <v>512</v>
      </c>
      <c r="G2128">
        <f>MAX(I2126,I2127)</f>
        <v>2666566</v>
      </c>
      <c r="H2128">
        <f>CEILING((dram_access_latency+F2128/dram_bandwidth)*frequency,1)</f>
        <v>108</v>
      </c>
      <c r="I2128">
        <f>G2128+H2128</f>
        <v>2666674</v>
      </c>
      <c r="J2128">
        <f>IF(AND(D2128&lt;&gt;"dram",D2128&lt;&gt;"control"),H2128,0)</f>
        <v>0</v>
      </c>
      <c r="K2128">
        <f>IF(D2128="dram",H2128,0)</f>
        <v>108</v>
      </c>
      <c r="L2128">
        <v>0</v>
      </c>
      <c r="M2128">
        <v>512</v>
      </c>
    </row>
    <row r="2129" spans="1:13">
      <c r="A2129">
        <v>2127</v>
      </c>
      <c r="B2129" t="s">
        <v>356</v>
      </c>
      <c r="C2129" t="s">
        <v>82</v>
      </c>
      <c r="D2129" t="s">
        <v>83</v>
      </c>
      <c r="E2129" t="s">
        <v>126</v>
      </c>
      <c r="F2129">
        <v>524288</v>
      </c>
      <c r="G2129">
        <f>MAX(I2126,I2128)</f>
        <v>2666674</v>
      </c>
      <c r="H2129">
        <f>CEILING((dram_access_latency+F2129/dram_bandwidth)*frequency,1)</f>
        <v>8292</v>
      </c>
      <c r="I2129">
        <f>G2129+H2129</f>
        <v>2674966</v>
      </c>
      <c r="J2129">
        <f>IF(AND(D2129&lt;&gt;"dram",D2129&lt;&gt;"control"),H2129,0)</f>
        <v>0</v>
      </c>
      <c r="K2129">
        <f>IF(D2129="dram",H2129,0)</f>
        <v>8292</v>
      </c>
      <c r="L2129">
        <v>524288</v>
      </c>
      <c r="M2129">
        <v>0</v>
      </c>
    </row>
    <row r="2130" spans="1:13">
      <c r="A2130">
        <v>2128</v>
      </c>
      <c r="B2130" t="s">
        <v>358</v>
      </c>
      <c r="C2130" t="s">
        <v>82</v>
      </c>
      <c r="D2130" t="s">
        <v>83</v>
      </c>
      <c r="E2130" t="s">
        <v>126</v>
      </c>
      <c r="F2130">
        <v>16384</v>
      </c>
      <c r="G2130">
        <f>MAX(I2126,I2129)</f>
        <v>2674966</v>
      </c>
      <c r="H2130">
        <f>CEILING((dram_access_latency+F2130/dram_bandwidth)*frequency,1)</f>
        <v>356</v>
      </c>
      <c r="I2130">
        <f>G2130+H2130</f>
        <v>2675322</v>
      </c>
      <c r="J2130">
        <f>IF(AND(D2130&lt;&gt;"dram",D2130&lt;&gt;"control"),H2130,0)</f>
        <v>0</v>
      </c>
      <c r="K2130">
        <f>IF(D2130="dram",H2130,0)</f>
        <v>356</v>
      </c>
      <c r="L2130">
        <v>16384</v>
      </c>
      <c r="M2130">
        <v>0</v>
      </c>
    </row>
    <row r="2131" spans="1:13">
      <c r="A2131">
        <v>2129</v>
      </c>
      <c r="B2131" t="s">
        <v>359</v>
      </c>
      <c r="C2131" t="s">
        <v>82</v>
      </c>
      <c r="D2131" t="s">
        <v>83</v>
      </c>
      <c r="E2131" t="s">
        <v>126</v>
      </c>
      <c r="F2131">
        <v>2048</v>
      </c>
      <c r="G2131">
        <f>MAX(I2126,I2130)</f>
        <v>2675322</v>
      </c>
      <c r="H2131">
        <f>CEILING((dram_access_latency+F2131/dram_bandwidth)*frequency,1)</f>
        <v>132</v>
      </c>
      <c r="I2131">
        <f>G2131+H2131</f>
        <v>2675454</v>
      </c>
      <c r="J2131">
        <f>IF(AND(D2131&lt;&gt;"dram",D2131&lt;&gt;"control"),H2131,0)</f>
        <v>0</v>
      </c>
      <c r="K2131">
        <f>IF(D2131="dram",H2131,0)</f>
        <v>132</v>
      </c>
      <c r="L2131">
        <v>2048</v>
      </c>
      <c r="M2131">
        <v>0</v>
      </c>
    </row>
    <row r="2132" spans="1:13">
      <c r="A2132">
        <v>2130</v>
      </c>
      <c r="B2132" t="s">
        <v>58</v>
      </c>
      <c r="C2132" t="s">
        <v>90</v>
      </c>
      <c r="D2132" t="s">
        <v>108</v>
      </c>
      <c r="E2132" t="s">
        <v>126</v>
      </c>
      <c r="F2132">
        <v>0</v>
      </c>
      <c r="G2132">
        <f>MAX(I2125,I2125,I2011,I2129,I2013,I2130,I2131,I2127,I2128)</f>
        <v>2683366</v>
      </c>
      <c r="H2132">
        <f>'Operations'!I24</f>
        <v>16901</v>
      </c>
      <c r="I2132">
        <f>G2132+H2132</f>
        <v>2700267</v>
      </c>
      <c r="J2132">
        <f>IF(AND(D2132&lt;&gt;"dram",D2132&lt;&gt;"control"),H2132,0)</f>
        <v>16901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360</v>
      </c>
      <c r="C2133" t="s">
        <v>88</v>
      </c>
      <c r="D2133" t="s">
        <v>89</v>
      </c>
      <c r="E2133" t="s">
        <v>126</v>
      </c>
      <c r="F2133">
        <v>0</v>
      </c>
      <c r="G2133">
        <f>MAX(I2126,I2125)</f>
        <v>2666465</v>
      </c>
      <c r="H2133">
        <f>0</f>
        <v>16901</v>
      </c>
      <c r="I2133">
        <f>G2133+H2133</f>
        <v>2683366</v>
      </c>
      <c r="J2133">
        <f>IF(AND(D2133&lt;&gt;"dram",D2133&lt;&gt;"control"),H2133,0)</f>
        <v>0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361</v>
      </c>
      <c r="C2134" t="s">
        <v>92</v>
      </c>
      <c r="D2134" t="s">
        <v>83</v>
      </c>
      <c r="E2134" t="s">
        <v>126</v>
      </c>
      <c r="F2134">
        <v>16</v>
      </c>
      <c r="G2134">
        <f>MAX(I2133,I2131)</f>
        <v>2683366</v>
      </c>
      <c r="H2134">
        <f>CEILING((dram_access_latency+F2134/dram_bandwidth)*frequency,1)</f>
        <v>101</v>
      </c>
      <c r="I2134">
        <f>G2134+H2134</f>
        <v>2683467</v>
      </c>
      <c r="J2134">
        <f>IF(AND(D2134&lt;&gt;"dram",D2134&lt;&gt;"control"),H2134,0)</f>
        <v>0</v>
      </c>
      <c r="K2134">
        <f>IF(D2134="dram",H2134,0)</f>
        <v>101</v>
      </c>
      <c r="L2134">
        <v>0</v>
      </c>
      <c r="M2134">
        <v>16</v>
      </c>
    </row>
    <row r="2135" spans="1:13">
      <c r="A2135">
        <v>2133</v>
      </c>
      <c r="B2135" t="s">
        <v>362</v>
      </c>
      <c r="C2135" t="s">
        <v>92</v>
      </c>
      <c r="D2135" t="s">
        <v>83</v>
      </c>
      <c r="E2135" t="s">
        <v>126</v>
      </c>
      <c r="F2135">
        <v>512</v>
      </c>
      <c r="G2135">
        <f>MAX(I2133,I2134)</f>
        <v>2683467</v>
      </c>
      <c r="H2135">
        <f>CEILING((dram_access_latency+F2135/dram_bandwidth)*frequency,1)</f>
        <v>108</v>
      </c>
      <c r="I2135">
        <f>G2135+H2135</f>
        <v>2683575</v>
      </c>
      <c r="J2135">
        <f>IF(AND(D2135&lt;&gt;"dram",D2135&lt;&gt;"control"),H2135,0)</f>
        <v>0</v>
      </c>
      <c r="K2135">
        <f>IF(D2135="dram",H2135,0)</f>
        <v>108</v>
      </c>
      <c r="L2135">
        <v>0</v>
      </c>
      <c r="M2135">
        <v>512</v>
      </c>
    </row>
    <row r="2136" spans="1:13">
      <c r="A2136">
        <v>2134</v>
      </c>
      <c r="B2136" t="s">
        <v>356</v>
      </c>
      <c r="C2136" t="s">
        <v>82</v>
      </c>
      <c r="D2136" t="s">
        <v>83</v>
      </c>
      <c r="E2136" t="s">
        <v>127</v>
      </c>
      <c r="F2136">
        <v>524288</v>
      </c>
      <c r="G2136">
        <f>MAX(I2133,I2135)</f>
        <v>2683575</v>
      </c>
      <c r="H2136">
        <f>CEILING((dram_access_latency+F2136/dram_bandwidth)*frequency,1)</f>
        <v>8292</v>
      </c>
      <c r="I2136">
        <f>G2136+H2136</f>
        <v>2691867</v>
      </c>
      <c r="J2136">
        <f>IF(AND(D2136&lt;&gt;"dram",D2136&lt;&gt;"control"),H2136,0)</f>
        <v>0</v>
      </c>
      <c r="K2136">
        <f>IF(D2136="dram",H2136,0)</f>
        <v>8292</v>
      </c>
      <c r="L2136">
        <v>524288</v>
      </c>
      <c r="M2136">
        <v>0</v>
      </c>
    </row>
    <row r="2137" spans="1:13">
      <c r="A2137">
        <v>2135</v>
      </c>
      <c r="B2137" t="s">
        <v>358</v>
      </c>
      <c r="C2137" t="s">
        <v>82</v>
      </c>
      <c r="D2137" t="s">
        <v>83</v>
      </c>
      <c r="E2137" t="s">
        <v>127</v>
      </c>
      <c r="F2137">
        <v>16384</v>
      </c>
      <c r="G2137">
        <f>MAX(I2133,I2136)</f>
        <v>2691867</v>
      </c>
      <c r="H2137">
        <f>CEILING((dram_access_latency+F2137/dram_bandwidth)*frequency,1)</f>
        <v>356</v>
      </c>
      <c r="I2137">
        <f>G2137+H2137</f>
        <v>2692223</v>
      </c>
      <c r="J2137">
        <f>IF(AND(D2137&lt;&gt;"dram",D2137&lt;&gt;"control"),H2137,0)</f>
        <v>0</v>
      </c>
      <c r="K2137">
        <f>IF(D2137="dram",H2137,0)</f>
        <v>356</v>
      </c>
      <c r="L2137">
        <v>16384</v>
      </c>
      <c r="M2137">
        <v>0</v>
      </c>
    </row>
    <row r="2138" spans="1:13">
      <c r="A2138">
        <v>2136</v>
      </c>
      <c r="B2138" t="s">
        <v>359</v>
      </c>
      <c r="C2138" t="s">
        <v>82</v>
      </c>
      <c r="D2138" t="s">
        <v>83</v>
      </c>
      <c r="E2138" t="s">
        <v>127</v>
      </c>
      <c r="F2138">
        <v>2048</v>
      </c>
      <c r="G2138">
        <f>MAX(I2133,I2137)</f>
        <v>2692223</v>
      </c>
      <c r="H2138">
        <f>CEILING((dram_access_latency+F2138/dram_bandwidth)*frequency,1)</f>
        <v>132</v>
      </c>
      <c r="I2138">
        <f>G2138+H2138</f>
        <v>2692355</v>
      </c>
      <c r="J2138">
        <f>IF(AND(D2138&lt;&gt;"dram",D2138&lt;&gt;"control"),H2138,0)</f>
        <v>0</v>
      </c>
      <c r="K2138">
        <f>IF(D2138="dram",H2138,0)</f>
        <v>132</v>
      </c>
      <c r="L2138">
        <v>2048</v>
      </c>
      <c r="M2138">
        <v>0</v>
      </c>
    </row>
    <row r="2139" spans="1:13">
      <c r="A2139">
        <v>2137</v>
      </c>
      <c r="B2139" t="s">
        <v>58</v>
      </c>
      <c r="C2139" t="s">
        <v>90</v>
      </c>
      <c r="D2139" t="s">
        <v>108</v>
      </c>
      <c r="E2139" t="s">
        <v>127</v>
      </c>
      <c r="F2139">
        <v>0</v>
      </c>
      <c r="G2139">
        <f>MAX(I2132,I2132,I2011,I2136,I2013,I2137,I2138,I2134,I2135)</f>
        <v>2700267</v>
      </c>
      <c r="H2139">
        <f>'Operations'!I24</f>
        <v>16901</v>
      </c>
      <c r="I2139">
        <f>G2139+H2139</f>
        <v>2717168</v>
      </c>
      <c r="J2139">
        <f>IF(AND(D2139&lt;&gt;"dram",D2139&lt;&gt;"control"),H2139,0)</f>
        <v>16901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360</v>
      </c>
      <c r="C2140" t="s">
        <v>88</v>
      </c>
      <c r="D2140" t="s">
        <v>89</v>
      </c>
      <c r="E2140" t="s">
        <v>127</v>
      </c>
      <c r="F2140">
        <v>0</v>
      </c>
      <c r="G2140">
        <f>MAX(I2133,I2132)</f>
        <v>2683366</v>
      </c>
      <c r="H2140">
        <f>0</f>
        <v>16901</v>
      </c>
      <c r="I2140">
        <f>G2140+H2140</f>
        <v>2700267</v>
      </c>
      <c r="J2140">
        <f>IF(AND(D2140&lt;&gt;"dram",D2140&lt;&gt;"control"),H2140,0)</f>
        <v>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361</v>
      </c>
      <c r="C2141" t="s">
        <v>92</v>
      </c>
      <c r="D2141" t="s">
        <v>83</v>
      </c>
      <c r="E2141" t="s">
        <v>127</v>
      </c>
      <c r="F2141">
        <v>16</v>
      </c>
      <c r="G2141">
        <f>MAX(I2140,I2138)</f>
        <v>2700267</v>
      </c>
      <c r="H2141">
        <f>CEILING((dram_access_latency+F2141/dram_bandwidth)*frequency,1)</f>
        <v>101</v>
      </c>
      <c r="I2141">
        <f>G2141+H2141</f>
        <v>2700368</v>
      </c>
      <c r="J2141">
        <f>IF(AND(D2141&lt;&gt;"dram",D2141&lt;&gt;"control"),H2141,0)</f>
        <v>0</v>
      </c>
      <c r="K2141">
        <f>IF(D2141="dram",H2141,0)</f>
        <v>101</v>
      </c>
      <c r="L2141">
        <v>0</v>
      </c>
      <c r="M2141">
        <v>16</v>
      </c>
    </row>
    <row r="2142" spans="1:13">
      <c r="A2142">
        <v>2140</v>
      </c>
      <c r="B2142" t="s">
        <v>362</v>
      </c>
      <c r="C2142" t="s">
        <v>92</v>
      </c>
      <c r="D2142" t="s">
        <v>83</v>
      </c>
      <c r="E2142" t="s">
        <v>127</v>
      </c>
      <c r="F2142">
        <v>512</v>
      </c>
      <c r="G2142">
        <f>MAX(I2140,I2141)</f>
        <v>2700368</v>
      </c>
      <c r="H2142">
        <f>CEILING((dram_access_latency+F2142/dram_bandwidth)*frequency,1)</f>
        <v>108</v>
      </c>
      <c r="I2142">
        <f>G2142+H2142</f>
        <v>2700476</v>
      </c>
      <c r="J2142">
        <f>IF(AND(D2142&lt;&gt;"dram",D2142&lt;&gt;"control"),H2142,0)</f>
        <v>0</v>
      </c>
      <c r="K2142">
        <f>IF(D2142="dram",H2142,0)</f>
        <v>108</v>
      </c>
      <c r="L2142">
        <v>0</v>
      </c>
      <c r="M2142">
        <v>512</v>
      </c>
    </row>
    <row r="2143" spans="1:13">
      <c r="A2143">
        <v>2141</v>
      </c>
      <c r="B2143" t="s">
        <v>356</v>
      </c>
      <c r="C2143" t="s">
        <v>82</v>
      </c>
      <c r="D2143" t="s">
        <v>83</v>
      </c>
      <c r="E2143" t="s">
        <v>128</v>
      </c>
      <c r="F2143">
        <v>524288</v>
      </c>
      <c r="G2143">
        <f>MAX(I2140,I2142)</f>
        <v>2700476</v>
      </c>
      <c r="H2143">
        <f>CEILING((dram_access_latency+F2143/dram_bandwidth)*frequency,1)</f>
        <v>8292</v>
      </c>
      <c r="I2143">
        <f>G2143+H2143</f>
        <v>2708768</v>
      </c>
      <c r="J2143">
        <f>IF(AND(D2143&lt;&gt;"dram",D2143&lt;&gt;"control"),H2143,0)</f>
        <v>0</v>
      </c>
      <c r="K2143">
        <f>IF(D2143="dram",H2143,0)</f>
        <v>8292</v>
      </c>
      <c r="L2143">
        <v>524288</v>
      </c>
      <c r="M2143">
        <v>0</v>
      </c>
    </row>
    <row r="2144" spans="1:13">
      <c r="A2144">
        <v>2142</v>
      </c>
      <c r="B2144" t="s">
        <v>358</v>
      </c>
      <c r="C2144" t="s">
        <v>82</v>
      </c>
      <c r="D2144" t="s">
        <v>83</v>
      </c>
      <c r="E2144" t="s">
        <v>128</v>
      </c>
      <c r="F2144">
        <v>16384</v>
      </c>
      <c r="G2144">
        <f>MAX(I2140,I2143)</f>
        <v>2708768</v>
      </c>
      <c r="H2144">
        <f>CEILING((dram_access_latency+F2144/dram_bandwidth)*frequency,1)</f>
        <v>356</v>
      </c>
      <c r="I2144">
        <f>G2144+H2144</f>
        <v>2709124</v>
      </c>
      <c r="J2144">
        <f>IF(AND(D2144&lt;&gt;"dram",D2144&lt;&gt;"control"),H2144,0)</f>
        <v>0</v>
      </c>
      <c r="K2144">
        <f>IF(D2144="dram",H2144,0)</f>
        <v>356</v>
      </c>
      <c r="L2144">
        <v>16384</v>
      </c>
      <c r="M2144">
        <v>0</v>
      </c>
    </row>
    <row r="2145" spans="1:13">
      <c r="A2145">
        <v>2143</v>
      </c>
      <c r="B2145" t="s">
        <v>359</v>
      </c>
      <c r="C2145" t="s">
        <v>82</v>
      </c>
      <c r="D2145" t="s">
        <v>83</v>
      </c>
      <c r="E2145" t="s">
        <v>128</v>
      </c>
      <c r="F2145">
        <v>2048</v>
      </c>
      <c r="G2145">
        <f>MAX(I2140,I2144)</f>
        <v>2709124</v>
      </c>
      <c r="H2145">
        <f>CEILING((dram_access_latency+F2145/dram_bandwidth)*frequency,1)</f>
        <v>132</v>
      </c>
      <c r="I2145">
        <f>G2145+H2145</f>
        <v>2709256</v>
      </c>
      <c r="J2145">
        <f>IF(AND(D2145&lt;&gt;"dram",D2145&lt;&gt;"control"),H2145,0)</f>
        <v>0</v>
      </c>
      <c r="K2145">
        <f>IF(D2145="dram",H2145,0)</f>
        <v>132</v>
      </c>
      <c r="L2145">
        <v>2048</v>
      </c>
      <c r="M2145">
        <v>0</v>
      </c>
    </row>
    <row r="2146" spans="1:13">
      <c r="A2146">
        <v>2144</v>
      </c>
      <c r="B2146" t="s">
        <v>58</v>
      </c>
      <c r="C2146" t="s">
        <v>90</v>
      </c>
      <c r="D2146" t="s">
        <v>108</v>
      </c>
      <c r="E2146" t="s">
        <v>128</v>
      </c>
      <c r="F2146">
        <v>0</v>
      </c>
      <c r="G2146">
        <f>MAX(I2139,I2139,I2011,I2143,I2013,I2144,I2145,I2141,I2142)</f>
        <v>2717168</v>
      </c>
      <c r="H2146">
        <f>'Operations'!I24</f>
        <v>16901</v>
      </c>
      <c r="I2146">
        <f>G2146+H2146</f>
        <v>2734069</v>
      </c>
      <c r="J2146">
        <f>IF(AND(D2146&lt;&gt;"dram",D2146&lt;&gt;"control"),H2146,0)</f>
        <v>16901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360</v>
      </c>
      <c r="C2147" t="s">
        <v>88</v>
      </c>
      <c r="D2147" t="s">
        <v>89</v>
      </c>
      <c r="E2147" t="s">
        <v>128</v>
      </c>
      <c r="F2147">
        <v>0</v>
      </c>
      <c r="G2147">
        <f>MAX(I2140,I2139)</f>
        <v>2700267</v>
      </c>
      <c r="H2147">
        <f>0</f>
        <v>16901</v>
      </c>
      <c r="I2147">
        <f>G2147+H2147</f>
        <v>2717168</v>
      </c>
      <c r="J2147">
        <f>IF(AND(D2147&lt;&gt;"dram",D2147&lt;&gt;"control"),H2147,0)</f>
        <v>0</v>
      </c>
      <c r="K2147">
        <f>IF(D2147="dram",H2147,0)</f>
        <v>0</v>
      </c>
      <c r="L2147">
        <v>0</v>
      </c>
      <c r="M2147">
        <v>0</v>
      </c>
    </row>
    <row r="2148" spans="1:13">
      <c r="A2148">
        <v>2146</v>
      </c>
      <c r="B2148" t="s">
        <v>361</v>
      </c>
      <c r="C2148" t="s">
        <v>92</v>
      </c>
      <c r="D2148" t="s">
        <v>83</v>
      </c>
      <c r="E2148" t="s">
        <v>128</v>
      </c>
      <c r="F2148">
        <v>16</v>
      </c>
      <c r="G2148">
        <f>MAX(I2147,I2145)</f>
        <v>2717168</v>
      </c>
      <c r="H2148">
        <f>CEILING((dram_access_latency+F2148/dram_bandwidth)*frequency,1)</f>
        <v>101</v>
      </c>
      <c r="I2148">
        <f>G2148+H2148</f>
        <v>2717269</v>
      </c>
      <c r="J2148">
        <f>IF(AND(D2148&lt;&gt;"dram",D2148&lt;&gt;"control"),H2148,0)</f>
        <v>0</v>
      </c>
      <c r="K2148">
        <f>IF(D2148="dram",H2148,0)</f>
        <v>101</v>
      </c>
      <c r="L2148">
        <v>0</v>
      </c>
      <c r="M2148">
        <v>16</v>
      </c>
    </row>
    <row r="2149" spans="1:13">
      <c r="A2149">
        <v>2147</v>
      </c>
      <c r="B2149" t="s">
        <v>362</v>
      </c>
      <c r="C2149" t="s">
        <v>92</v>
      </c>
      <c r="D2149" t="s">
        <v>83</v>
      </c>
      <c r="E2149" t="s">
        <v>128</v>
      </c>
      <c r="F2149">
        <v>512</v>
      </c>
      <c r="G2149">
        <f>MAX(I2147,I2148)</f>
        <v>2717269</v>
      </c>
      <c r="H2149">
        <f>CEILING((dram_access_latency+F2149/dram_bandwidth)*frequency,1)</f>
        <v>108</v>
      </c>
      <c r="I2149">
        <f>G2149+H2149</f>
        <v>2717377</v>
      </c>
      <c r="J2149">
        <f>IF(AND(D2149&lt;&gt;"dram",D2149&lt;&gt;"control"),H2149,0)</f>
        <v>0</v>
      </c>
      <c r="K2149">
        <f>IF(D2149="dram",H2149,0)</f>
        <v>108</v>
      </c>
      <c r="L2149">
        <v>0</v>
      </c>
      <c r="M2149">
        <v>512</v>
      </c>
    </row>
    <row r="2150" spans="1:13">
      <c r="A2150">
        <v>2148</v>
      </c>
      <c r="B2150" t="s">
        <v>356</v>
      </c>
      <c r="C2150" t="s">
        <v>82</v>
      </c>
      <c r="D2150" t="s">
        <v>83</v>
      </c>
      <c r="E2150" t="s">
        <v>129</v>
      </c>
      <c r="F2150">
        <v>524288</v>
      </c>
      <c r="G2150">
        <f>MAX(I2147,I2149)</f>
        <v>2717377</v>
      </c>
      <c r="H2150">
        <f>CEILING((dram_access_latency+F2150/dram_bandwidth)*frequency,1)</f>
        <v>8292</v>
      </c>
      <c r="I2150">
        <f>G2150+H2150</f>
        <v>2725669</v>
      </c>
      <c r="J2150">
        <f>IF(AND(D2150&lt;&gt;"dram",D2150&lt;&gt;"control"),H2150,0)</f>
        <v>0</v>
      </c>
      <c r="K2150">
        <f>IF(D2150="dram",H2150,0)</f>
        <v>8292</v>
      </c>
      <c r="L2150">
        <v>524288</v>
      </c>
      <c r="M2150">
        <v>0</v>
      </c>
    </row>
    <row r="2151" spans="1:13">
      <c r="A2151">
        <v>2149</v>
      </c>
      <c r="B2151" t="s">
        <v>358</v>
      </c>
      <c r="C2151" t="s">
        <v>82</v>
      </c>
      <c r="D2151" t="s">
        <v>83</v>
      </c>
      <c r="E2151" t="s">
        <v>129</v>
      </c>
      <c r="F2151">
        <v>16384</v>
      </c>
      <c r="G2151">
        <f>MAX(I2147,I2150)</f>
        <v>2725669</v>
      </c>
      <c r="H2151">
        <f>CEILING((dram_access_latency+F2151/dram_bandwidth)*frequency,1)</f>
        <v>356</v>
      </c>
      <c r="I2151">
        <f>G2151+H2151</f>
        <v>2726025</v>
      </c>
      <c r="J2151">
        <f>IF(AND(D2151&lt;&gt;"dram",D2151&lt;&gt;"control"),H2151,0)</f>
        <v>0</v>
      </c>
      <c r="K2151">
        <f>IF(D2151="dram",H2151,0)</f>
        <v>356</v>
      </c>
      <c r="L2151">
        <v>16384</v>
      </c>
      <c r="M2151">
        <v>0</v>
      </c>
    </row>
    <row r="2152" spans="1:13">
      <c r="A2152">
        <v>2150</v>
      </c>
      <c r="B2152" t="s">
        <v>359</v>
      </c>
      <c r="C2152" t="s">
        <v>82</v>
      </c>
      <c r="D2152" t="s">
        <v>83</v>
      </c>
      <c r="E2152" t="s">
        <v>129</v>
      </c>
      <c r="F2152">
        <v>2048</v>
      </c>
      <c r="G2152">
        <f>MAX(I2147,I2151)</f>
        <v>2726025</v>
      </c>
      <c r="H2152">
        <f>CEILING((dram_access_latency+F2152/dram_bandwidth)*frequency,1)</f>
        <v>132</v>
      </c>
      <c r="I2152">
        <f>G2152+H2152</f>
        <v>2726157</v>
      </c>
      <c r="J2152">
        <f>IF(AND(D2152&lt;&gt;"dram",D2152&lt;&gt;"control"),H2152,0)</f>
        <v>0</v>
      </c>
      <c r="K2152">
        <f>IF(D2152="dram",H2152,0)</f>
        <v>132</v>
      </c>
      <c r="L2152">
        <v>2048</v>
      </c>
      <c r="M2152">
        <v>0</v>
      </c>
    </row>
    <row r="2153" spans="1:13">
      <c r="A2153">
        <v>2151</v>
      </c>
      <c r="B2153" t="s">
        <v>58</v>
      </c>
      <c r="C2153" t="s">
        <v>90</v>
      </c>
      <c r="D2153" t="s">
        <v>108</v>
      </c>
      <c r="E2153" t="s">
        <v>129</v>
      </c>
      <c r="F2153">
        <v>0</v>
      </c>
      <c r="G2153">
        <f>MAX(I2146,I2146,I2011,I2150,I2013,I2151,I2152,I2148,I2149)</f>
        <v>2734069</v>
      </c>
      <c r="H2153">
        <f>'Operations'!I24</f>
        <v>16901</v>
      </c>
      <c r="I2153">
        <f>G2153+H2153</f>
        <v>2750970</v>
      </c>
      <c r="J2153">
        <f>IF(AND(D2153&lt;&gt;"dram",D2153&lt;&gt;"control"),H2153,0)</f>
        <v>16901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360</v>
      </c>
      <c r="C2154" t="s">
        <v>88</v>
      </c>
      <c r="D2154" t="s">
        <v>89</v>
      </c>
      <c r="E2154" t="s">
        <v>129</v>
      </c>
      <c r="F2154">
        <v>0</v>
      </c>
      <c r="G2154">
        <f>MAX(I2147,I2146)</f>
        <v>2717168</v>
      </c>
      <c r="H2154">
        <f>0</f>
        <v>16901</v>
      </c>
      <c r="I2154">
        <f>G2154+H2154</f>
        <v>2734069</v>
      </c>
      <c r="J2154">
        <f>IF(AND(D2154&lt;&gt;"dram",D2154&lt;&gt;"control"),H2154,0)</f>
        <v>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361</v>
      </c>
      <c r="C2155" t="s">
        <v>92</v>
      </c>
      <c r="D2155" t="s">
        <v>83</v>
      </c>
      <c r="E2155" t="s">
        <v>129</v>
      </c>
      <c r="F2155">
        <v>16</v>
      </c>
      <c r="G2155">
        <f>MAX(I2154,I2152)</f>
        <v>2734069</v>
      </c>
      <c r="H2155">
        <f>CEILING((dram_access_latency+F2155/dram_bandwidth)*frequency,1)</f>
        <v>101</v>
      </c>
      <c r="I2155">
        <f>G2155+H2155</f>
        <v>2734170</v>
      </c>
      <c r="J2155">
        <f>IF(AND(D2155&lt;&gt;"dram",D2155&lt;&gt;"control"),H2155,0)</f>
        <v>0</v>
      </c>
      <c r="K2155">
        <f>IF(D2155="dram",H2155,0)</f>
        <v>101</v>
      </c>
      <c r="L2155">
        <v>0</v>
      </c>
      <c r="M2155">
        <v>16</v>
      </c>
    </row>
    <row r="2156" spans="1:13">
      <c r="A2156">
        <v>2154</v>
      </c>
      <c r="B2156" t="s">
        <v>362</v>
      </c>
      <c r="C2156" t="s">
        <v>92</v>
      </c>
      <c r="D2156" t="s">
        <v>83</v>
      </c>
      <c r="E2156" t="s">
        <v>129</v>
      </c>
      <c r="F2156">
        <v>512</v>
      </c>
      <c r="G2156">
        <f>MAX(I2154,I2155)</f>
        <v>2734170</v>
      </c>
      <c r="H2156">
        <f>CEILING((dram_access_latency+F2156/dram_bandwidth)*frequency,1)</f>
        <v>108</v>
      </c>
      <c r="I2156">
        <f>G2156+H2156</f>
        <v>2734278</v>
      </c>
      <c r="J2156">
        <f>IF(AND(D2156&lt;&gt;"dram",D2156&lt;&gt;"control"),H2156,0)</f>
        <v>0</v>
      </c>
      <c r="K2156">
        <f>IF(D2156="dram",H2156,0)</f>
        <v>108</v>
      </c>
      <c r="L2156">
        <v>0</v>
      </c>
      <c r="M2156">
        <v>512</v>
      </c>
    </row>
    <row r="2157" spans="1:13">
      <c r="A2157">
        <v>2155</v>
      </c>
      <c r="B2157" t="s">
        <v>356</v>
      </c>
      <c r="C2157" t="s">
        <v>82</v>
      </c>
      <c r="D2157" t="s">
        <v>83</v>
      </c>
      <c r="E2157" t="s">
        <v>130</v>
      </c>
      <c r="F2157">
        <v>524288</v>
      </c>
      <c r="G2157">
        <f>MAX(I2154,I2156)</f>
        <v>2734278</v>
      </c>
      <c r="H2157">
        <f>CEILING((dram_access_latency+F2157/dram_bandwidth)*frequency,1)</f>
        <v>8292</v>
      </c>
      <c r="I2157">
        <f>G2157+H2157</f>
        <v>2742570</v>
      </c>
      <c r="J2157">
        <f>IF(AND(D2157&lt;&gt;"dram",D2157&lt;&gt;"control"),H2157,0)</f>
        <v>0</v>
      </c>
      <c r="K2157">
        <f>IF(D2157="dram",H2157,0)</f>
        <v>8292</v>
      </c>
      <c r="L2157">
        <v>524288</v>
      </c>
      <c r="M2157">
        <v>0</v>
      </c>
    </row>
    <row r="2158" spans="1:13">
      <c r="A2158">
        <v>2156</v>
      </c>
      <c r="B2158" t="s">
        <v>358</v>
      </c>
      <c r="C2158" t="s">
        <v>82</v>
      </c>
      <c r="D2158" t="s">
        <v>83</v>
      </c>
      <c r="E2158" t="s">
        <v>130</v>
      </c>
      <c r="F2158">
        <v>16384</v>
      </c>
      <c r="G2158">
        <f>MAX(I2154,I2157)</f>
        <v>2742570</v>
      </c>
      <c r="H2158">
        <f>CEILING((dram_access_latency+F2158/dram_bandwidth)*frequency,1)</f>
        <v>356</v>
      </c>
      <c r="I2158">
        <f>G2158+H2158</f>
        <v>2742926</v>
      </c>
      <c r="J2158">
        <f>IF(AND(D2158&lt;&gt;"dram",D2158&lt;&gt;"control"),H2158,0)</f>
        <v>0</v>
      </c>
      <c r="K2158">
        <f>IF(D2158="dram",H2158,0)</f>
        <v>356</v>
      </c>
      <c r="L2158">
        <v>16384</v>
      </c>
      <c r="M2158">
        <v>0</v>
      </c>
    </row>
    <row r="2159" spans="1:13">
      <c r="A2159">
        <v>2157</v>
      </c>
      <c r="B2159" t="s">
        <v>359</v>
      </c>
      <c r="C2159" t="s">
        <v>82</v>
      </c>
      <c r="D2159" t="s">
        <v>83</v>
      </c>
      <c r="E2159" t="s">
        <v>130</v>
      </c>
      <c r="F2159">
        <v>2048</v>
      </c>
      <c r="G2159">
        <f>MAX(I2154,I2158)</f>
        <v>2742926</v>
      </c>
      <c r="H2159">
        <f>CEILING((dram_access_latency+F2159/dram_bandwidth)*frequency,1)</f>
        <v>132</v>
      </c>
      <c r="I2159">
        <f>G2159+H2159</f>
        <v>2743058</v>
      </c>
      <c r="J2159">
        <f>IF(AND(D2159&lt;&gt;"dram",D2159&lt;&gt;"control"),H2159,0)</f>
        <v>0</v>
      </c>
      <c r="K2159">
        <f>IF(D2159="dram",H2159,0)</f>
        <v>132</v>
      </c>
      <c r="L2159">
        <v>2048</v>
      </c>
      <c r="M2159">
        <v>0</v>
      </c>
    </row>
    <row r="2160" spans="1:13">
      <c r="A2160">
        <v>2158</v>
      </c>
      <c r="B2160" t="s">
        <v>58</v>
      </c>
      <c r="C2160" t="s">
        <v>90</v>
      </c>
      <c r="D2160" t="s">
        <v>108</v>
      </c>
      <c r="E2160" t="s">
        <v>130</v>
      </c>
      <c r="F2160">
        <v>0</v>
      </c>
      <c r="G2160">
        <f>MAX(I2153,I2153,I2011,I2157,I2013,I2158,I2159,I2155,I2156)</f>
        <v>2750970</v>
      </c>
      <c r="H2160">
        <f>'Operations'!I24</f>
        <v>16901</v>
      </c>
      <c r="I2160">
        <f>G2160+H2160</f>
        <v>2767871</v>
      </c>
      <c r="J2160">
        <f>IF(AND(D2160&lt;&gt;"dram",D2160&lt;&gt;"control"),H2160,0)</f>
        <v>16901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360</v>
      </c>
      <c r="C2161" t="s">
        <v>88</v>
      </c>
      <c r="D2161" t="s">
        <v>89</v>
      </c>
      <c r="E2161" t="s">
        <v>130</v>
      </c>
      <c r="F2161">
        <v>0</v>
      </c>
      <c r="G2161">
        <f>MAX(I2154,I2153)</f>
        <v>2734069</v>
      </c>
      <c r="H2161">
        <f>0</f>
        <v>16901</v>
      </c>
      <c r="I2161">
        <f>G2161+H2161</f>
        <v>2750970</v>
      </c>
      <c r="J2161">
        <f>IF(AND(D2161&lt;&gt;"dram",D2161&lt;&gt;"control"),H2161,0)</f>
        <v>0</v>
      </c>
      <c r="K2161">
        <f>IF(D2161="dram",H2161,0)</f>
        <v>0</v>
      </c>
      <c r="L2161">
        <v>0</v>
      </c>
      <c r="M2161">
        <v>0</v>
      </c>
    </row>
    <row r="2162" spans="1:13">
      <c r="A2162">
        <v>2160</v>
      </c>
      <c r="B2162" t="s">
        <v>361</v>
      </c>
      <c r="C2162" t="s">
        <v>92</v>
      </c>
      <c r="D2162" t="s">
        <v>83</v>
      </c>
      <c r="E2162" t="s">
        <v>130</v>
      </c>
      <c r="F2162">
        <v>16</v>
      </c>
      <c r="G2162">
        <f>MAX(I2161,I2159)</f>
        <v>2750970</v>
      </c>
      <c r="H2162">
        <f>CEILING((dram_access_latency+F2162/dram_bandwidth)*frequency,1)</f>
        <v>101</v>
      </c>
      <c r="I2162">
        <f>G2162+H2162</f>
        <v>2751071</v>
      </c>
      <c r="J2162">
        <f>IF(AND(D2162&lt;&gt;"dram",D2162&lt;&gt;"control"),H2162,0)</f>
        <v>0</v>
      </c>
      <c r="K2162">
        <f>IF(D2162="dram",H2162,0)</f>
        <v>101</v>
      </c>
      <c r="L2162">
        <v>0</v>
      </c>
      <c r="M2162">
        <v>16</v>
      </c>
    </row>
    <row r="2163" spans="1:13">
      <c r="A2163">
        <v>2161</v>
      </c>
      <c r="B2163" t="s">
        <v>362</v>
      </c>
      <c r="C2163" t="s">
        <v>92</v>
      </c>
      <c r="D2163" t="s">
        <v>83</v>
      </c>
      <c r="E2163" t="s">
        <v>130</v>
      </c>
      <c r="F2163">
        <v>512</v>
      </c>
      <c r="G2163">
        <f>MAX(I2161,I2162)</f>
        <v>2751071</v>
      </c>
      <c r="H2163">
        <f>CEILING((dram_access_latency+F2163/dram_bandwidth)*frequency,1)</f>
        <v>108</v>
      </c>
      <c r="I2163">
        <f>G2163+H2163</f>
        <v>2751179</v>
      </c>
      <c r="J2163">
        <f>IF(AND(D2163&lt;&gt;"dram",D2163&lt;&gt;"control"),H2163,0)</f>
        <v>0</v>
      </c>
      <c r="K2163">
        <f>IF(D2163="dram",H2163,0)</f>
        <v>108</v>
      </c>
      <c r="L2163">
        <v>0</v>
      </c>
      <c r="M2163">
        <v>512</v>
      </c>
    </row>
    <row r="2164" spans="1:13">
      <c r="A2164">
        <v>2162</v>
      </c>
      <c r="B2164" t="s">
        <v>356</v>
      </c>
      <c r="C2164" t="s">
        <v>82</v>
      </c>
      <c r="D2164" t="s">
        <v>83</v>
      </c>
      <c r="E2164" t="s">
        <v>131</v>
      </c>
      <c r="F2164">
        <v>524288</v>
      </c>
      <c r="G2164">
        <f>MAX(I2161,I2163)</f>
        <v>2751179</v>
      </c>
      <c r="H2164">
        <f>CEILING((dram_access_latency+F2164/dram_bandwidth)*frequency,1)</f>
        <v>8292</v>
      </c>
      <c r="I2164">
        <f>G2164+H2164</f>
        <v>2759471</v>
      </c>
      <c r="J2164">
        <f>IF(AND(D2164&lt;&gt;"dram",D2164&lt;&gt;"control"),H2164,0)</f>
        <v>0</v>
      </c>
      <c r="K2164">
        <f>IF(D2164="dram",H2164,0)</f>
        <v>8292</v>
      </c>
      <c r="L2164">
        <v>524288</v>
      </c>
      <c r="M2164">
        <v>0</v>
      </c>
    </row>
    <row r="2165" spans="1:13">
      <c r="A2165">
        <v>2163</v>
      </c>
      <c r="B2165" t="s">
        <v>358</v>
      </c>
      <c r="C2165" t="s">
        <v>82</v>
      </c>
      <c r="D2165" t="s">
        <v>83</v>
      </c>
      <c r="E2165" t="s">
        <v>131</v>
      </c>
      <c r="F2165">
        <v>16384</v>
      </c>
      <c r="G2165">
        <f>MAX(I2161,I2164)</f>
        <v>2759471</v>
      </c>
      <c r="H2165">
        <f>CEILING((dram_access_latency+F2165/dram_bandwidth)*frequency,1)</f>
        <v>356</v>
      </c>
      <c r="I2165">
        <f>G2165+H2165</f>
        <v>2759827</v>
      </c>
      <c r="J2165">
        <f>IF(AND(D2165&lt;&gt;"dram",D2165&lt;&gt;"control"),H2165,0)</f>
        <v>0</v>
      </c>
      <c r="K2165">
        <f>IF(D2165="dram",H2165,0)</f>
        <v>356</v>
      </c>
      <c r="L2165">
        <v>16384</v>
      </c>
      <c r="M2165">
        <v>0</v>
      </c>
    </row>
    <row r="2166" spans="1:13">
      <c r="A2166">
        <v>2164</v>
      </c>
      <c r="B2166" t="s">
        <v>359</v>
      </c>
      <c r="C2166" t="s">
        <v>82</v>
      </c>
      <c r="D2166" t="s">
        <v>83</v>
      </c>
      <c r="E2166" t="s">
        <v>131</v>
      </c>
      <c r="F2166">
        <v>2048</v>
      </c>
      <c r="G2166">
        <f>MAX(I2161,I2165)</f>
        <v>2759827</v>
      </c>
      <c r="H2166">
        <f>CEILING((dram_access_latency+F2166/dram_bandwidth)*frequency,1)</f>
        <v>132</v>
      </c>
      <c r="I2166">
        <f>G2166+H2166</f>
        <v>2759959</v>
      </c>
      <c r="J2166">
        <f>IF(AND(D2166&lt;&gt;"dram",D2166&lt;&gt;"control"),H2166,0)</f>
        <v>0</v>
      </c>
      <c r="K2166">
        <f>IF(D2166="dram",H2166,0)</f>
        <v>132</v>
      </c>
      <c r="L2166">
        <v>2048</v>
      </c>
      <c r="M2166">
        <v>0</v>
      </c>
    </row>
    <row r="2167" spans="1:13">
      <c r="A2167">
        <v>2165</v>
      </c>
      <c r="B2167" t="s">
        <v>58</v>
      </c>
      <c r="C2167" t="s">
        <v>90</v>
      </c>
      <c r="D2167" t="s">
        <v>108</v>
      </c>
      <c r="E2167" t="s">
        <v>131</v>
      </c>
      <c r="F2167">
        <v>0</v>
      </c>
      <c r="G2167">
        <f>MAX(I2160,I2160,I2011,I2164,I2013,I2165,I2166,I2162,I2163)</f>
        <v>2767871</v>
      </c>
      <c r="H2167">
        <f>'Operations'!I24</f>
        <v>16901</v>
      </c>
      <c r="I2167">
        <f>G2167+H2167</f>
        <v>2784772</v>
      </c>
      <c r="J2167">
        <f>IF(AND(D2167&lt;&gt;"dram",D2167&lt;&gt;"control"),H2167,0)</f>
        <v>16901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360</v>
      </c>
      <c r="C2168" t="s">
        <v>88</v>
      </c>
      <c r="D2168" t="s">
        <v>89</v>
      </c>
      <c r="E2168" t="s">
        <v>131</v>
      </c>
      <c r="F2168">
        <v>0</v>
      </c>
      <c r="G2168">
        <f>MAX(I2161,I2160)</f>
        <v>2750970</v>
      </c>
      <c r="H2168">
        <f>0</f>
        <v>16901</v>
      </c>
      <c r="I2168">
        <f>G2168+H2168</f>
        <v>2767871</v>
      </c>
      <c r="J2168">
        <f>IF(AND(D2168&lt;&gt;"dram",D2168&lt;&gt;"control"),H2168,0)</f>
        <v>0</v>
      </c>
      <c r="K2168">
        <f>IF(D2168="dram",H2168,0)</f>
        <v>0</v>
      </c>
      <c r="L2168">
        <v>0</v>
      </c>
      <c r="M2168">
        <v>0</v>
      </c>
    </row>
    <row r="2169" spans="1:13">
      <c r="A2169">
        <v>2167</v>
      </c>
      <c r="B2169" t="s">
        <v>361</v>
      </c>
      <c r="C2169" t="s">
        <v>92</v>
      </c>
      <c r="D2169" t="s">
        <v>83</v>
      </c>
      <c r="E2169" t="s">
        <v>131</v>
      </c>
      <c r="F2169">
        <v>16</v>
      </c>
      <c r="G2169">
        <f>MAX(I2168,I2166)</f>
        <v>2767871</v>
      </c>
      <c r="H2169">
        <f>CEILING((dram_access_latency+F2169/dram_bandwidth)*frequency,1)</f>
        <v>101</v>
      </c>
      <c r="I2169">
        <f>G2169+H2169</f>
        <v>2767972</v>
      </c>
      <c r="J2169">
        <f>IF(AND(D2169&lt;&gt;"dram",D2169&lt;&gt;"control"),H2169,0)</f>
        <v>0</v>
      </c>
      <c r="K2169">
        <f>IF(D2169="dram",H2169,0)</f>
        <v>101</v>
      </c>
      <c r="L2169">
        <v>0</v>
      </c>
      <c r="M2169">
        <v>16</v>
      </c>
    </row>
    <row r="2170" spans="1:13">
      <c r="A2170">
        <v>2168</v>
      </c>
      <c r="B2170" t="s">
        <v>362</v>
      </c>
      <c r="C2170" t="s">
        <v>92</v>
      </c>
      <c r="D2170" t="s">
        <v>83</v>
      </c>
      <c r="E2170" t="s">
        <v>131</v>
      </c>
      <c r="F2170">
        <v>512</v>
      </c>
      <c r="G2170">
        <f>MAX(I2168,I2169)</f>
        <v>2767972</v>
      </c>
      <c r="H2170">
        <f>CEILING((dram_access_latency+F2170/dram_bandwidth)*frequency,1)</f>
        <v>108</v>
      </c>
      <c r="I2170">
        <f>G2170+H2170</f>
        <v>2768080</v>
      </c>
      <c r="J2170">
        <f>IF(AND(D2170&lt;&gt;"dram",D2170&lt;&gt;"control"),H2170,0)</f>
        <v>0</v>
      </c>
      <c r="K2170">
        <f>IF(D2170="dram",H2170,0)</f>
        <v>108</v>
      </c>
      <c r="L2170">
        <v>0</v>
      </c>
      <c r="M2170">
        <v>512</v>
      </c>
    </row>
    <row r="2171" spans="1:13">
      <c r="A2171">
        <v>2169</v>
      </c>
      <c r="B2171" t="s">
        <v>356</v>
      </c>
      <c r="C2171" t="s">
        <v>82</v>
      </c>
      <c r="D2171" t="s">
        <v>83</v>
      </c>
      <c r="E2171" t="s">
        <v>132</v>
      </c>
      <c r="F2171">
        <v>524288</v>
      </c>
      <c r="G2171">
        <f>MAX(I2168,I2170)</f>
        <v>2768080</v>
      </c>
      <c r="H2171">
        <f>CEILING((dram_access_latency+F2171/dram_bandwidth)*frequency,1)</f>
        <v>8292</v>
      </c>
      <c r="I2171">
        <f>G2171+H2171</f>
        <v>2776372</v>
      </c>
      <c r="J2171">
        <f>IF(AND(D2171&lt;&gt;"dram",D2171&lt;&gt;"control"),H2171,0)</f>
        <v>0</v>
      </c>
      <c r="K2171">
        <f>IF(D2171="dram",H2171,0)</f>
        <v>8292</v>
      </c>
      <c r="L2171">
        <v>524288</v>
      </c>
      <c r="M2171">
        <v>0</v>
      </c>
    </row>
    <row r="2172" spans="1:13">
      <c r="A2172">
        <v>2170</v>
      </c>
      <c r="B2172" t="s">
        <v>358</v>
      </c>
      <c r="C2172" t="s">
        <v>82</v>
      </c>
      <c r="D2172" t="s">
        <v>83</v>
      </c>
      <c r="E2172" t="s">
        <v>132</v>
      </c>
      <c r="F2172">
        <v>16384</v>
      </c>
      <c r="G2172">
        <f>MAX(I2168,I2171)</f>
        <v>2776372</v>
      </c>
      <c r="H2172">
        <f>CEILING((dram_access_latency+F2172/dram_bandwidth)*frequency,1)</f>
        <v>356</v>
      </c>
      <c r="I2172">
        <f>G2172+H2172</f>
        <v>2776728</v>
      </c>
      <c r="J2172">
        <f>IF(AND(D2172&lt;&gt;"dram",D2172&lt;&gt;"control"),H2172,0)</f>
        <v>0</v>
      </c>
      <c r="K2172">
        <f>IF(D2172="dram",H2172,0)</f>
        <v>356</v>
      </c>
      <c r="L2172">
        <v>16384</v>
      </c>
      <c r="M2172">
        <v>0</v>
      </c>
    </row>
    <row r="2173" spans="1:13">
      <c r="A2173">
        <v>2171</v>
      </c>
      <c r="B2173" t="s">
        <v>359</v>
      </c>
      <c r="C2173" t="s">
        <v>82</v>
      </c>
      <c r="D2173" t="s">
        <v>83</v>
      </c>
      <c r="E2173" t="s">
        <v>132</v>
      </c>
      <c r="F2173">
        <v>2048</v>
      </c>
      <c r="G2173">
        <f>MAX(I2168,I2172)</f>
        <v>2776728</v>
      </c>
      <c r="H2173">
        <f>CEILING((dram_access_latency+F2173/dram_bandwidth)*frequency,1)</f>
        <v>132</v>
      </c>
      <c r="I2173">
        <f>G2173+H2173</f>
        <v>2776860</v>
      </c>
      <c r="J2173">
        <f>IF(AND(D2173&lt;&gt;"dram",D2173&lt;&gt;"control"),H2173,0)</f>
        <v>0</v>
      </c>
      <c r="K2173">
        <f>IF(D2173="dram",H2173,0)</f>
        <v>132</v>
      </c>
      <c r="L2173">
        <v>2048</v>
      </c>
      <c r="M2173">
        <v>0</v>
      </c>
    </row>
    <row r="2174" spans="1:13">
      <c r="A2174">
        <v>2172</v>
      </c>
      <c r="B2174" t="s">
        <v>58</v>
      </c>
      <c r="C2174" t="s">
        <v>90</v>
      </c>
      <c r="D2174" t="s">
        <v>108</v>
      </c>
      <c r="E2174" t="s">
        <v>132</v>
      </c>
      <c r="F2174">
        <v>0</v>
      </c>
      <c r="G2174">
        <f>MAX(I2167,I2167,I2011,I2171,I2013,I2172,I2173,I2169,I2170)</f>
        <v>2784772</v>
      </c>
      <c r="H2174">
        <f>'Operations'!I24</f>
        <v>16901</v>
      </c>
      <c r="I2174">
        <f>G2174+H2174</f>
        <v>2801673</v>
      </c>
      <c r="J2174">
        <f>IF(AND(D2174&lt;&gt;"dram",D2174&lt;&gt;"control"),H2174,0)</f>
        <v>16901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360</v>
      </c>
      <c r="C2175" t="s">
        <v>88</v>
      </c>
      <c r="D2175" t="s">
        <v>89</v>
      </c>
      <c r="E2175" t="s">
        <v>132</v>
      </c>
      <c r="F2175">
        <v>0</v>
      </c>
      <c r="G2175">
        <f>MAX(I2168,I2167)</f>
        <v>2767871</v>
      </c>
      <c r="H2175">
        <f>0</f>
        <v>16901</v>
      </c>
      <c r="I2175">
        <f>G2175+H2175</f>
        <v>2784772</v>
      </c>
      <c r="J2175">
        <f>IF(AND(D2175&lt;&gt;"dram",D2175&lt;&gt;"control"),H2175,0)</f>
        <v>0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361</v>
      </c>
      <c r="C2176" t="s">
        <v>92</v>
      </c>
      <c r="D2176" t="s">
        <v>83</v>
      </c>
      <c r="E2176" t="s">
        <v>132</v>
      </c>
      <c r="F2176">
        <v>16</v>
      </c>
      <c r="G2176">
        <f>MAX(I2175,I2173)</f>
        <v>2784772</v>
      </c>
      <c r="H2176">
        <f>CEILING((dram_access_latency+F2176/dram_bandwidth)*frequency,1)</f>
        <v>101</v>
      </c>
      <c r="I2176">
        <f>G2176+H2176</f>
        <v>2784873</v>
      </c>
      <c r="J2176">
        <f>IF(AND(D2176&lt;&gt;"dram",D2176&lt;&gt;"control"),H2176,0)</f>
        <v>0</v>
      </c>
      <c r="K2176">
        <f>IF(D2176="dram",H2176,0)</f>
        <v>101</v>
      </c>
      <c r="L2176">
        <v>0</v>
      </c>
      <c r="M2176">
        <v>16</v>
      </c>
    </row>
    <row r="2177" spans="1:13">
      <c r="A2177">
        <v>2175</v>
      </c>
      <c r="B2177" t="s">
        <v>362</v>
      </c>
      <c r="C2177" t="s">
        <v>92</v>
      </c>
      <c r="D2177" t="s">
        <v>83</v>
      </c>
      <c r="E2177" t="s">
        <v>132</v>
      </c>
      <c r="F2177">
        <v>512</v>
      </c>
      <c r="G2177">
        <f>MAX(I2175,I2176)</f>
        <v>2784873</v>
      </c>
      <c r="H2177">
        <f>CEILING((dram_access_latency+F2177/dram_bandwidth)*frequency,1)</f>
        <v>108</v>
      </c>
      <c r="I2177">
        <f>G2177+H2177</f>
        <v>2784981</v>
      </c>
      <c r="J2177">
        <f>IF(AND(D2177&lt;&gt;"dram",D2177&lt;&gt;"control"),H2177,0)</f>
        <v>0</v>
      </c>
      <c r="K2177">
        <f>IF(D2177="dram",H2177,0)</f>
        <v>108</v>
      </c>
      <c r="L2177">
        <v>0</v>
      </c>
      <c r="M2177">
        <v>512</v>
      </c>
    </row>
    <row r="2178" spans="1:13">
      <c r="A2178">
        <v>2176</v>
      </c>
      <c r="B2178" t="s">
        <v>356</v>
      </c>
      <c r="C2178" t="s">
        <v>82</v>
      </c>
      <c r="D2178" t="s">
        <v>83</v>
      </c>
      <c r="E2178" t="s">
        <v>133</v>
      </c>
      <c r="F2178">
        <v>524288</v>
      </c>
      <c r="G2178">
        <f>MAX(I2175,I2177)</f>
        <v>2784981</v>
      </c>
      <c r="H2178">
        <f>CEILING((dram_access_latency+F2178/dram_bandwidth)*frequency,1)</f>
        <v>8292</v>
      </c>
      <c r="I2178">
        <f>G2178+H2178</f>
        <v>2793273</v>
      </c>
      <c r="J2178">
        <f>IF(AND(D2178&lt;&gt;"dram",D2178&lt;&gt;"control"),H2178,0)</f>
        <v>0</v>
      </c>
      <c r="K2178">
        <f>IF(D2178="dram",H2178,0)</f>
        <v>8292</v>
      </c>
      <c r="L2178">
        <v>524288</v>
      </c>
      <c r="M2178">
        <v>0</v>
      </c>
    </row>
    <row r="2179" spans="1:13">
      <c r="A2179">
        <v>2177</v>
      </c>
      <c r="B2179" t="s">
        <v>358</v>
      </c>
      <c r="C2179" t="s">
        <v>82</v>
      </c>
      <c r="D2179" t="s">
        <v>83</v>
      </c>
      <c r="E2179" t="s">
        <v>133</v>
      </c>
      <c r="F2179">
        <v>16384</v>
      </c>
      <c r="G2179">
        <f>MAX(I2175,I2178)</f>
        <v>2793273</v>
      </c>
      <c r="H2179">
        <f>CEILING((dram_access_latency+F2179/dram_bandwidth)*frequency,1)</f>
        <v>356</v>
      </c>
      <c r="I2179">
        <f>G2179+H2179</f>
        <v>2793629</v>
      </c>
      <c r="J2179">
        <f>IF(AND(D2179&lt;&gt;"dram",D2179&lt;&gt;"control"),H2179,0)</f>
        <v>0</v>
      </c>
      <c r="K2179">
        <f>IF(D2179="dram",H2179,0)</f>
        <v>356</v>
      </c>
      <c r="L2179">
        <v>16384</v>
      </c>
      <c r="M2179">
        <v>0</v>
      </c>
    </row>
    <row r="2180" spans="1:13">
      <c r="A2180">
        <v>2178</v>
      </c>
      <c r="B2180" t="s">
        <v>359</v>
      </c>
      <c r="C2180" t="s">
        <v>82</v>
      </c>
      <c r="D2180" t="s">
        <v>83</v>
      </c>
      <c r="E2180" t="s">
        <v>133</v>
      </c>
      <c r="F2180">
        <v>2048</v>
      </c>
      <c r="G2180">
        <f>MAX(I2175,I2179)</f>
        <v>2793629</v>
      </c>
      <c r="H2180">
        <f>CEILING((dram_access_latency+F2180/dram_bandwidth)*frequency,1)</f>
        <v>132</v>
      </c>
      <c r="I2180">
        <f>G2180+H2180</f>
        <v>2793761</v>
      </c>
      <c r="J2180">
        <f>IF(AND(D2180&lt;&gt;"dram",D2180&lt;&gt;"control"),H2180,0)</f>
        <v>0</v>
      </c>
      <c r="K2180">
        <f>IF(D2180="dram",H2180,0)</f>
        <v>132</v>
      </c>
      <c r="L2180">
        <v>2048</v>
      </c>
      <c r="M2180">
        <v>0</v>
      </c>
    </row>
    <row r="2181" spans="1:13">
      <c r="A2181">
        <v>2179</v>
      </c>
      <c r="B2181" t="s">
        <v>58</v>
      </c>
      <c r="C2181" t="s">
        <v>90</v>
      </c>
      <c r="D2181" t="s">
        <v>108</v>
      </c>
      <c r="E2181" t="s">
        <v>133</v>
      </c>
      <c r="F2181">
        <v>0</v>
      </c>
      <c r="G2181">
        <f>MAX(I2174,I2174,I2011,I2178,I2013,I2179,I2180,I2176,I2177)</f>
        <v>2801673</v>
      </c>
      <c r="H2181">
        <f>'Operations'!I24</f>
        <v>16901</v>
      </c>
      <c r="I2181">
        <f>G2181+H2181</f>
        <v>2818574</v>
      </c>
      <c r="J2181">
        <f>IF(AND(D2181&lt;&gt;"dram",D2181&lt;&gt;"control"),H2181,0)</f>
        <v>16901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360</v>
      </c>
      <c r="C2182" t="s">
        <v>88</v>
      </c>
      <c r="D2182" t="s">
        <v>89</v>
      </c>
      <c r="E2182" t="s">
        <v>133</v>
      </c>
      <c r="F2182">
        <v>0</v>
      </c>
      <c r="G2182">
        <f>MAX(I2175,I2174)</f>
        <v>2784772</v>
      </c>
      <c r="H2182">
        <f>0</f>
        <v>16901</v>
      </c>
      <c r="I2182">
        <f>G2182+H2182</f>
        <v>2801673</v>
      </c>
      <c r="J2182">
        <f>IF(AND(D2182&lt;&gt;"dram",D2182&lt;&gt;"control"),H2182,0)</f>
        <v>0</v>
      </c>
      <c r="K2182">
        <f>IF(D2182="dram",H2182,0)</f>
        <v>0</v>
      </c>
      <c r="L2182">
        <v>0</v>
      </c>
      <c r="M2182">
        <v>0</v>
      </c>
    </row>
    <row r="2183" spans="1:13">
      <c r="A2183">
        <v>2181</v>
      </c>
      <c r="B2183" t="s">
        <v>361</v>
      </c>
      <c r="C2183" t="s">
        <v>92</v>
      </c>
      <c r="D2183" t="s">
        <v>83</v>
      </c>
      <c r="E2183" t="s">
        <v>133</v>
      </c>
      <c r="F2183">
        <v>16</v>
      </c>
      <c r="G2183">
        <f>MAX(I2182,I2180)</f>
        <v>2801673</v>
      </c>
      <c r="H2183">
        <f>CEILING((dram_access_latency+F2183/dram_bandwidth)*frequency,1)</f>
        <v>101</v>
      </c>
      <c r="I2183">
        <f>G2183+H2183</f>
        <v>2801774</v>
      </c>
      <c r="J2183">
        <f>IF(AND(D2183&lt;&gt;"dram",D2183&lt;&gt;"control"),H2183,0)</f>
        <v>0</v>
      </c>
      <c r="K2183">
        <f>IF(D2183="dram",H2183,0)</f>
        <v>101</v>
      </c>
      <c r="L2183">
        <v>0</v>
      </c>
      <c r="M2183">
        <v>16</v>
      </c>
    </row>
    <row r="2184" spans="1:13">
      <c r="A2184">
        <v>2182</v>
      </c>
      <c r="B2184" t="s">
        <v>362</v>
      </c>
      <c r="C2184" t="s">
        <v>92</v>
      </c>
      <c r="D2184" t="s">
        <v>83</v>
      </c>
      <c r="E2184" t="s">
        <v>133</v>
      </c>
      <c r="F2184">
        <v>512</v>
      </c>
      <c r="G2184">
        <f>MAX(I2182,I2183)</f>
        <v>2801774</v>
      </c>
      <c r="H2184">
        <f>CEILING((dram_access_latency+F2184/dram_bandwidth)*frequency,1)</f>
        <v>108</v>
      </c>
      <c r="I2184">
        <f>G2184+H2184</f>
        <v>2801882</v>
      </c>
      <c r="J2184">
        <f>IF(AND(D2184&lt;&gt;"dram",D2184&lt;&gt;"control"),H2184,0)</f>
        <v>0</v>
      </c>
      <c r="K2184">
        <f>IF(D2184="dram",H2184,0)</f>
        <v>108</v>
      </c>
      <c r="L2184">
        <v>0</v>
      </c>
      <c r="M2184">
        <v>512</v>
      </c>
    </row>
    <row r="2185" spans="1:13">
      <c r="A2185">
        <v>2183</v>
      </c>
      <c r="B2185" t="s">
        <v>356</v>
      </c>
      <c r="C2185" t="s">
        <v>82</v>
      </c>
      <c r="D2185" t="s">
        <v>83</v>
      </c>
      <c r="E2185" t="s">
        <v>134</v>
      </c>
      <c r="F2185">
        <v>524288</v>
      </c>
      <c r="G2185">
        <f>MAX(I2182,I2184)</f>
        <v>2801882</v>
      </c>
      <c r="H2185">
        <f>CEILING((dram_access_latency+F2185/dram_bandwidth)*frequency,1)</f>
        <v>8292</v>
      </c>
      <c r="I2185">
        <f>G2185+H2185</f>
        <v>2810174</v>
      </c>
      <c r="J2185">
        <f>IF(AND(D2185&lt;&gt;"dram",D2185&lt;&gt;"control"),H2185,0)</f>
        <v>0</v>
      </c>
      <c r="K2185">
        <f>IF(D2185="dram",H2185,0)</f>
        <v>8292</v>
      </c>
      <c r="L2185">
        <v>524288</v>
      </c>
      <c r="M2185">
        <v>0</v>
      </c>
    </row>
    <row r="2186" spans="1:13">
      <c r="A2186">
        <v>2184</v>
      </c>
      <c r="B2186" t="s">
        <v>358</v>
      </c>
      <c r="C2186" t="s">
        <v>82</v>
      </c>
      <c r="D2186" t="s">
        <v>83</v>
      </c>
      <c r="E2186" t="s">
        <v>134</v>
      </c>
      <c r="F2186">
        <v>16384</v>
      </c>
      <c r="G2186">
        <f>MAX(I2182,I2185)</f>
        <v>2810174</v>
      </c>
      <c r="H2186">
        <f>CEILING((dram_access_latency+F2186/dram_bandwidth)*frequency,1)</f>
        <v>356</v>
      </c>
      <c r="I2186">
        <f>G2186+H2186</f>
        <v>2810530</v>
      </c>
      <c r="J2186">
        <f>IF(AND(D2186&lt;&gt;"dram",D2186&lt;&gt;"control"),H2186,0)</f>
        <v>0</v>
      </c>
      <c r="K2186">
        <f>IF(D2186="dram",H2186,0)</f>
        <v>356</v>
      </c>
      <c r="L2186">
        <v>16384</v>
      </c>
      <c r="M2186">
        <v>0</v>
      </c>
    </row>
    <row r="2187" spans="1:13">
      <c r="A2187">
        <v>2185</v>
      </c>
      <c r="B2187" t="s">
        <v>359</v>
      </c>
      <c r="C2187" t="s">
        <v>82</v>
      </c>
      <c r="D2187" t="s">
        <v>83</v>
      </c>
      <c r="E2187" t="s">
        <v>134</v>
      </c>
      <c r="F2187">
        <v>2048</v>
      </c>
      <c r="G2187">
        <f>MAX(I2182,I2186)</f>
        <v>2810530</v>
      </c>
      <c r="H2187">
        <f>CEILING((dram_access_latency+F2187/dram_bandwidth)*frequency,1)</f>
        <v>132</v>
      </c>
      <c r="I2187">
        <f>G2187+H2187</f>
        <v>2810662</v>
      </c>
      <c r="J2187">
        <f>IF(AND(D2187&lt;&gt;"dram",D2187&lt;&gt;"control"),H2187,0)</f>
        <v>0</v>
      </c>
      <c r="K2187">
        <f>IF(D2187="dram",H2187,0)</f>
        <v>132</v>
      </c>
      <c r="L2187">
        <v>2048</v>
      </c>
      <c r="M2187">
        <v>0</v>
      </c>
    </row>
    <row r="2188" spans="1:13">
      <c r="A2188">
        <v>2186</v>
      </c>
      <c r="B2188" t="s">
        <v>58</v>
      </c>
      <c r="C2188" t="s">
        <v>90</v>
      </c>
      <c r="D2188" t="s">
        <v>108</v>
      </c>
      <c r="E2188" t="s">
        <v>134</v>
      </c>
      <c r="F2188">
        <v>0</v>
      </c>
      <c r="G2188">
        <f>MAX(I2181,I2181,I2011,I2185,I2013,I2186,I2187,I2183,I2184)</f>
        <v>2818574</v>
      </c>
      <c r="H2188">
        <f>'Operations'!I24</f>
        <v>16901</v>
      </c>
      <c r="I2188">
        <f>G2188+H2188</f>
        <v>2835475</v>
      </c>
      <c r="J2188">
        <f>IF(AND(D2188&lt;&gt;"dram",D2188&lt;&gt;"control"),H2188,0)</f>
        <v>16901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360</v>
      </c>
      <c r="C2189" t="s">
        <v>88</v>
      </c>
      <c r="D2189" t="s">
        <v>89</v>
      </c>
      <c r="E2189" t="s">
        <v>134</v>
      </c>
      <c r="F2189">
        <v>0</v>
      </c>
      <c r="G2189">
        <f>MAX(I2182,I2181)</f>
        <v>2801673</v>
      </c>
      <c r="H2189">
        <f>0</f>
        <v>16901</v>
      </c>
      <c r="I2189">
        <f>G2189+H2189</f>
        <v>2818574</v>
      </c>
      <c r="J2189">
        <f>IF(AND(D2189&lt;&gt;"dram",D2189&lt;&gt;"control"),H2189,0)</f>
        <v>0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361</v>
      </c>
      <c r="C2190" t="s">
        <v>92</v>
      </c>
      <c r="D2190" t="s">
        <v>83</v>
      </c>
      <c r="E2190" t="s">
        <v>134</v>
      </c>
      <c r="F2190">
        <v>16</v>
      </c>
      <c r="G2190">
        <f>MAX(I2189,I2187)</f>
        <v>2818574</v>
      </c>
      <c r="H2190">
        <f>CEILING((dram_access_latency+F2190/dram_bandwidth)*frequency,1)</f>
        <v>101</v>
      </c>
      <c r="I2190">
        <f>G2190+H2190</f>
        <v>2818675</v>
      </c>
      <c r="J2190">
        <f>IF(AND(D2190&lt;&gt;"dram",D2190&lt;&gt;"control"),H2190,0)</f>
        <v>0</v>
      </c>
      <c r="K2190">
        <f>IF(D2190="dram",H2190,0)</f>
        <v>101</v>
      </c>
      <c r="L2190">
        <v>0</v>
      </c>
      <c r="M2190">
        <v>16</v>
      </c>
    </row>
    <row r="2191" spans="1:13">
      <c r="A2191">
        <v>2189</v>
      </c>
      <c r="B2191" t="s">
        <v>362</v>
      </c>
      <c r="C2191" t="s">
        <v>92</v>
      </c>
      <c r="D2191" t="s">
        <v>83</v>
      </c>
      <c r="E2191" t="s">
        <v>134</v>
      </c>
      <c r="F2191">
        <v>512</v>
      </c>
      <c r="G2191">
        <f>MAX(I2189,I2190)</f>
        <v>2818675</v>
      </c>
      <c r="H2191">
        <f>CEILING((dram_access_latency+F2191/dram_bandwidth)*frequency,1)</f>
        <v>108</v>
      </c>
      <c r="I2191">
        <f>G2191+H2191</f>
        <v>2818783</v>
      </c>
      <c r="J2191">
        <f>IF(AND(D2191&lt;&gt;"dram",D2191&lt;&gt;"control"),H2191,0)</f>
        <v>0</v>
      </c>
      <c r="K2191">
        <f>IF(D2191="dram",H2191,0)</f>
        <v>108</v>
      </c>
      <c r="L2191">
        <v>0</v>
      </c>
      <c r="M2191">
        <v>512</v>
      </c>
    </row>
    <row r="2192" spans="1:13">
      <c r="A2192">
        <v>2190</v>
      </c>
      <c r="B2192" t="s">
        <v>356</v>
      </c>
      <c r="C2192" t="s">
        <v>82</v>
      </c>
      <c r="D2192" t="s">
        <v>83</v>
      </c>
      <c r="E2192" t="s">
        <v>135</v>
      </c>
      <c r="F2192">
        <v>524288</v>
      </c>
      <c r="G2192">
        <f>MAX(I2189,I2191)</f>
        <v>2818783</v>
      </c>
      <c r="H2192">
        <f>CEILING((dram_access_latency+F2192/dram_bandwidth)*frequency,1)</f>
        <v>8292</v>
      </c>
      <c r="I2192">
        <f>G2192+H2192</f>
        <v>2827075</v>
      </c>
      <c r="J2192">
        <f>IF(AND(D2192&lt;&gt;"dram",D2192&lt;&gt;"control"),H2192,0)</f>
        <v>0</v>
      </c>
      <c r="K2192">
        <f>IF(D2192="dram",H2192,0)</f>
        <v>8292</v>
      </c>
      <c r="L2192">
        <v>524288</v>
      </c>
      <c r="M2192">
        <v>0</v>
      </c>
    </row>
    <row r="2193" spans="1:13">
      <c r="A2193">
        <v>2191</v>
      </c>
      <c r="B2193" t="s">
        <v>358</v>
      </c>
      <c r="C2193" t="s">
        <v>82</v>
      </c>
      <c r="D2193" t="s">
        <v>83</v>
      </c>
      <c r="E2193" t="s">
        <v>135</v>
      </c>
      <c r="F2193">
        <v>16384</v>
      </c>
      <c r="G2193">
        <f>MAX(I2189,I2192)</f>
        <v>2827075</v>
      </c>
      <c r="H2193">
        <f>CEILING((dram_access_latency+F2193/dram_bandwidth)*frequency,1)</f>
        <v>356</v>
      </c>
      <c r="I2193">
        <f>G2193+H2193</f>
        <v>2827431</v>
      </c>
      <c r="J2193">
        <f>IF(AND(D2193&lt;&gt;"dram",D2193&lt;&gt;"control"),H2193,0)</f>
        <v>0</v>
      </c>
      <c r="K2193">
        <f>IF(D2193="dram",H2193,0)</f>
        <v>356</v>
      </c>
      <c r="L2193">
        <v>16384</v>
      </c>
      <c r="M2193">
        <v>0</v>
      </c>
    </row>
    <row r="2194" spans="1:13">
      <c r="A2194">
        <v>2192</v>
      </c>
      <c r="B2194" t="s">
        <v>359</v>
      </c>
      <c r="C2194" t="s">
        <v>82</v>
      </c>
      <c r="D2194" t="s">
        <v>83</v>
      </c>
      <c r="E2194" t="s">
        <v>135</v>
      </c>
      <c r="F2194">
        <v>2048</v>
      </c>
      <c r="G2194">
        <f>MAX(I2189,I2193)</f>
        <v>2827431</v>
      </c>
      <c r="H2194">
        <f>CEILING((dram_access_latency+F2194/dram_bandwidth)*frequency,1)</f>
        <v>132</v>
      </c>
      <c r="I2194">
        <f>G2194+H2194</f>
        <v>2827563</v>
      </c>
      <c r="J2194">
        <f>IF(AND(D2194&lt;&gt;"dram",D2194&lt;&gt;"control"),H2194,0)</f>
        <v>0</v>
      </c>
      <c r="K2194">
        <f>IF(D2194="dram",H2194,0)</f>
        <v>132</v>
      </c>
      <c r="L2194">
        <v>2048</v>
      </c>
      <c r="M2194">
        <v>0</v>
      </c>
    </row>
    <row r="2195" spans="1:13">
      <c r="A2195">
        <v>2193</v>
      </c>
      <c r="B2195" t="s">
        <v>58</v>
      </c>
      <c r="C2195" t="s">
        <v>90</v>
      </c>
      <c r="D2195" t="s">
        <v>108</v>
      </c>
      <c r="E2195" t="s">
        <v>135</v>
      </c>
      <c r="F2195">
        <v>0</v>
      </c>
      <c r="G2195">
        <f>MAX(I2188,I2188,I2011,I2192,I2013,I2193,I2194,I2190,I2191)</f>
        <v>2835475</v>
      </c>
      <c r="H2195">
        <f>'Operations'!I24</f>
        <v>16901</v>
      </c>
      <c r="I2195">
        <f>G2195+H2195</f>
        <v>2852376</v>
      </c>
      <c r="J2195">
        <f>IF(AND(D2195&lt;&gt;"dram",D2195&lt;&gt;"control"),H2195,0)</f>
        <v>16901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360</v>
      </c>
      <c r="C2196" t="s">
        <v>88</v>
      </c>
      <c r="D2196" t="s">
        <v>89</v>
      </c>
      <c r="E2196" t="s">
        <v>135</v>
      </c>
      <c r="F2196">
        <v>0</v>
      </c>
      <c r="G2196">
        <f>MAX(I2189,I2188)</f>
        <v>2818574</v>
      </c>
      <c r="H2196">
        <f>0</f>
        <v>16901</v>
      </c>
      <c r="I2196">
        <f>G2196+H2196</f>
        <v>2835475</v>
      </c>
      <c r="J2196">
        <f>IF(AND(D2196&lt;&gt;"dram",D2196&lt;&gt;"control"),H2196,0)</f>
        <v>0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361</v>
      </c>
      <c r="C2197" t="s">
        <v>92</v>
      </c>
      <c r="D2197" t="s">
        <v>83</v>
      </c>
      <c r="E2197" t="s">
        <v>135</v>
      </c>
      <c r="F2197">
        <v>16</v>
      </c>
      <c r="G2197">
        <f>MAX(I2196,I2194)</f>
        <v>2835475</v>
      </c>
      <c r="H2197">
        <f>CEILING((dram_access_latency+F2197/dram_bandwidth)*frequency,1)</f>
        <v>101</v>
      </c>
      <c r="I2197">
        <f>G2197+H2197</f>
        <v>2835576</v>
      </c>
      <c r="J2197">
        <f>IF(AND(D2197&lt;&gt;"dram",D2197&lt;&gt;"control"),H2197,0)</f>
        <v>0</v>
      </c>
      <c r="K2197">
        <f>IF(D2197="dram",H2197,0)</f>
        <v>101</v>
      </c>
      <c r="L2197">
        <v>0</v>
      </c>
      <c r="M2197">
        <v>16</v>
      </c>
    </row>
    <row r="2198" spans="1:13">
      <c r="A2198">
        <v>2196</v>
      </c>
      <c r="B2198" t="s">
        <v>362</v>
      </c>
      <c r="C2198" t="s">
        <v>92</v>
      </c>
      <c r="D2198" t="s">
        <v>83</v>
      </c>
      <c r="E2198" t="s">
        <v>135</v>
      </c>
      <c r="F2198">
        <v>512</v>
      </c>
      <c r="G2198">
        <f>MAX(I2196,I2197)</f>
        <v>2835576</v>
      </c>
      <c r="H2198">
        <f>CEILING((dram_access_latency+F2198/dram_bandwidth)*frequency,1)</f>
        <v>108</v>
      </c>
      <c r="I2198">
        <f>G2198+H2198</f>
        <v>2835684</v>
      </c>
      <c r="J2198">
        <f>IF(AND(D2198&lt;&gt;"dram",D2198&lt;&gt;"control"),H2198,0)</f>
        <v>0</v>
      </c>
      <c r="K2198">
        <f>IF(D2198="dram",H2198,0)</f>
        <v>108</v>
      </c>
      <c r="L2198">
        <v>0</v>
      </c>
      <c r="M2198">
        <v>512</v>
      </c>
    </row>
    <row r="2199" spans="1:13">
      <c r="A2199">
        <v>2197</v>
      </c>
      <c r="B2199" t="s">
        <v>356</v>
      </c>
      <c r="C2199" t="s">
        <v>82</v>
      </c>
      <c r="D2199" t="s">
        <v>83</v>
      </c>
      <c r="E2199" t="s">
        <v>136</v>
      </c>
      <c r="F2199">
        <v>524288</v>
      </c>
      <c r="G2199">
        <f>MAX(I2196,I2198)</f>
        <v>2835684</v>
      </c>
      <c r="H2199">
        <f>CEILING((dram_access_latency+F2199/dram_bandwidth)*frequency,1)</f>
        <v>8292</v>
      </c>
      <c r="I2199">
        <f>G2199+H2199</f>
        <v>2843976</v>
      </c>
      <c r="J2199">
        <f>IF(AND(D2199&lt;&gt;"dram",D2199&lt;&gt;"control"),H2199,0)</f>
        <v>0</v>
      </c>
      <c r="K2199">
        <f>IF(D2199="dram",H2199,0)</f>
        <v>8292</v>
      </c>
      <c r="L2199">
        <v>524288</v>
      </c>
      <c r="M2199">
        <v>0</v>
      </c>
    </row>
    <row r="2200" spans="1:13">
      <c r="A2200">
        <v>2198</v>
      </c>
      <c r="B2200" t="s">
        <v>358</v>
      </c>
      <c r="C2200" t="s">
        <v>82</v>
      </c>
      <c r="D2200" t="s">
        <v>83</v>
      </c>
      <c r="E2200" t="s">
        <v>136</v>
      </c>
      <c r="F2200">
        <v>16384</v>
      </c>
      <c r="G2200">
        <f>MAX(I2196,I2199)</f>
        <v>2843976</v>
      </c>
      <c r="H2200">
        <f>CEILING((dram_access_latency+F2200/dram_bandwidth)*frequency,1)</f>
        <v>356</v>
      </c>
      <c r="I2200">
        <f>G2200+H2200</f>
        <v>2844332</v>
      </c>
      <c r="J2200">
        <f>IF(AND(D2200&lt;&gt;"dram",D2200&lt;&gt;"control"),H2200,0)</f>
        <v>0</v>
      </c>
      <c r="K2200">
        <f>IF(D2200="dram",H2200,0)</f>
        <v>356</v>
      </c>
      <c r="L2200">
        <v>16384</v>
      </c>
      <c r="M2200">
        <v>0</v>
      </c>
    </row>
    <row r="2201" spans="1:13">
      <c r="A2201">
        <v>2199</v>
      </c>
      <c r="B2201" t="s">
        <v>359</v>
      </c>
      <c r="C2201" t="s">
        <v>82</v>
      </c>
      <c r="D2201" t="s">
        <v>83</v>
      </c>
      <c r="E2201" t="s">
        <v>136</v>
      </c>
      <c r="F2201">
        <v>2048</v>
      </c>
      <c r="G2201">
        <f>MAX(I2196,I2200)</f>
        <v>2844332</v>
      </c>
      <c r="H2201">
        <f>CEILING((dram_access_latency+F2201/dram_bandwidth)*frequency,1)</f>
        <v>132</v>
      </c>
      <c r="I2201">
        <f>G2201+H2201</f>
        <v>2844464</v>
      </c>
      <c r="J2201">
        <f>IF(AND(D2201&lt;&gt;"dram",D2201&lt;&gt;"control"),H2201,0)</f>
        <v>0</v>
      </c>
      <c r="K2201">
        <f>IF(D2201="dram",H2201,0)</f>
        <v>132</v>
      </c>
      <c r="L2201">
        <v>2048</v>
      </c>
      <c r="M2201">
        <v>0</v>
      </c>
    </row>
    <row r="2202" spans="1:13">
      <c r="A2202">
        <v>2200</v>
      </c>
      <c r="B2202" t="s">
        <v>58</v>
      </c>
      <c r="C2202" t="s">
        <v>90</v>
      </c>
      <c r="D2202" t="s">
        <v>108</v>
      </c>
      <c r="E2202" t="s">
        <v>136</v>
      </c>
      <c r="F2202">
        <v>0</v>
      </c>
      <c r="G2202">
        <f>MAX(I2195,I2195,I2011,I2199,I2013,I2200,I2201,I2197,I2198)</f>
        <v>2852376</v>
      </c>
      <c r="H2202">
        <f>'Operations'!I24</f>
        <v>16901</v>
      </c>
      <c r="I2202">
        <f>G2202+H2202</f>
        <v>2869277</v>
      </c>
      <c r="J2202">
        <f>IF(AND(D2202&lt;&gt;"dram",D2202&lt;&gt;"control"),H2202,0)</f>
        <v>16901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360</v>
      </c>
      <c r="C2203" t="s">
        <v>88</v>
      </c>
      <c r="D2203" t="s">
        <v>89</v>
      </c>
      <c r="E2203" t="s">
        <v>136</v>
      </c>
      <c r="F2203">
        <v>0</v>
      </c>
      <c r="G2203">
        <f>MAX(I2196,I2195)</f>
        <v>2835475</v>
      </c>
      <c r="H2203">
        <f>0</f>
        <v>16901</v>
      </c>
      <c r="I2203">
        <f>G2203+H2203</f>
        <v>2852376</v>
      </c>
      <c r="J2203">
        <f>IF(AND(D2203&lt;&gt;"dram",D2203&lt;&gt;"control"),H2203,0)</f>
        <v>0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361</v>
      </c>
      <c r="C2204" t="s">
        <v>92</v>
      </c>
      <c r="D2204" t="s">
        <v>83</v>
      </c>
      <c r="E2204" t="s">
        <v>136</v>
      </c>
      <c r="F2204">
        <v>16</v>
      </c>
      <c r="G2204">
        <f>MAX(I2203,I2201)</f>
        <v>2852376</v>
      </c>
      <c r="H2204">
        <f>CEILING((dram_access_latency+F2204/dram_bandwidth)*frequency,1)</f>
        <v>101</v>
      </c>
      <c r="I2204">
        <f>G2204+H2204</f>
        <v>2852477</v>
      </c>
      <c r="J2204">
        <f>IF(AND(D2204&lt;&gt;"dram",D2204&lt;&gt;"control"),H2204,0)</f>
        <v>0</v>
      </c>
      <c r="K2204">
        <f>IF(D2204="dram",H2204,0)</f>
        <v>101</v>
      </c>
      <c r="L2204">
        <v>0</v>
      </c>
      <c r="M2204">
        <v>16</v>
      </c>
    </row>
    <row r="2205" spans="1:13">
      <c r="A2205">
        <v>2203</v>
      </c>
      <c r="B2205" t="s">
        <v>362</v>
      </c>
      <c r="C2205" t="s">
        <v>92</v>
      </c>
      <c r="D2205" t="s">
        <v>83</v>
      </c>
      <c r="E2205" t="s">
        <v>136</v>
      </c>
      <c r="F2205">
        <v>512</v>
      </c>
      <c r="G2205">
        <f>MAX(I2203,I2204)</f>
        <v>2852477</v>
      </c>
      <c r="H2205">
        <f>CEILING((dram_access_latency+F2205/dram_bandwidth)*frequency,1)</f>
        <v>108</v>
      </c>
      <c r="I2205">
        <f>G2205+H2205</f>
        <v>2852585</v>
      </c>
      <c r="J2205">
        <f>IF(AND(D2205&lt;&gt;"dram",D2205&lt;&gt;"control"),H2205,0)</f>
        <v>0</v>
      </c>
      <c r="K2205">
        <f>IF(D2205="dram",H2205,0)</f>
        <v>108</v>
      </c>
      <c r="L2205">
        <v>0</v>
      </c>
      <c r="M2205">
        <v>512</v>
      </c>
    </row>
    <row r="2206" spans="1:13">
      <c r="A2206">
        <v>2204</v>
      </c>
      <c r="B2206" t="s">
        <v>356</v>
      </c>
      <c r="C2206" t="s">
        <v>82</v>
      </c>
      <c r="D2206" t="s">
        <v>83</v>
      </c>
      <c r="E2206" t="s">
        <v>137</v>
      </c>
      <c r="F2206">
        <v>524288</v>
      </c>
      <c r="G2206">
        <f>MAX(I2203,I2205)</f>
        <v>2852585</v>
      </c>
      <c r="H2206">
        <f>CEILING((dram_access_latency+F2206/dram_bandwidth)*frequency,1)</f>
        <v>8292</v>
      </c>
      <c r="I2206">
        <f>G2206+H2206</f>
        <v>2860877</v>
      </c>
      <c r="J2206">
        <f>IF(AND(D2206&lt;&gt;"dram",D2206&lt;&gt;"control"),H2206,0)</f>
        <v>0</v>
      </c>
      <c r="K2206">
        <f>IF(D2206="dram",H2206,0)</f>
        <v>8292</v>
      </c>
      <c r="L2206">
        <v>524288</v>
      </c>
      <c r="M2206">
        <v>0</v>
      </c>
    </row>
    <row r="2207" spans="1:13">
      <c r="A2207">
        <v>2205</v>
      </c>
      <c r="B2207" t="s">
        <v>358</v>
      </c>
      <c r="C2207" t="s">
        <v>82</v>
      </c>
      <c r="D2207" t="s">
        <v>83</v>
      </c>
      <c r="E2207" t="s">
        <v>137</v>
      </c>
      <c r="F2207">
        <v>16384</v>
      </c>
      <c r="G2207">
        <f>MAX(I2203,I2206)</f>
        <v>2860877</v>
      </c>
      <c r="H2207">
        <f>CEILING((dram_access_latency+F2207/dram_bandwidth)*frequency,1)</f>
        <v>356</v>
      </c>
      <c r="I2207">
        <f>G2207+H2207</f>
        <v>2861233</v>
      </c>
      <c r="J2207">
        <f>IF(AND(D2207&lt;&gt;"dram",D2207&lt;&gt;"control"),H2207,0)</f>
        <v>0</v>
      </c>
      <c r="K2207">
        <f>IF(D2207="dram",H2207,0)</f>
        <v>356</v>
      </c>
      <c r="L2207">
        <v>16384</v>
      </c>
      <c r="M2207">
        <v>0</v>
      </c>
    </row>
    <row r="2208" spans="1:13">
      <c r="A2208">
        <v>2206</v>
      </c>
      <c r="B2208" t="s">
        <v>359</v>
      </c>
      <c r="C2208" t="s">
        <v>82</v>
      </c>
      <c r="D2208" t="s">
        <v>83</v>
      </c>
      <c r="E2208" t="s">
        <v>137</v>
      </c>
      <c r="F2208">
        <v>2048</v>
      </c>
      <c r="G2208">
        <f>MAX(I2203,I2207)</f>
        <v>2861233</v>
      </c>
      <c r="H2208">
        <f>CEILING((dram_access_latency+F2208/dram_bandwidth)*frequency,1)</f>
        <v>132</v>
      </c>
      <c r="I2208">
        <f>G2208+H2208</f>
        <v>2861365</v>
      </c>
      <c r="J2208">
        <f>IF(AND(D2208&lt;&gt;"dram",D2208&lt;&gt;"control"),H2208,0)</f>
        <v>0</v>
      </c>
      <c r="K2208">
        <f>IF(D2208="dram",H2208,0)</f>
        <v>132</v>
      </c>
      <c r="L2208">
        <v>2048</v>
      </c>
      <c r="M2208">
        <v>0</v>
      </c>
    </row>
    <row r="2209" spans="1:13">
      <c r="A2209">
        <v>2207</v>
      </c>
      <c r="B2209" t="s">
        <v>58</v>
      </c>
      <c r="C2209" t="s">
        <v>90</v>
      </c>
      <c r="D2209" t="s">
        <v>108</v>
      </c>
      <c r="E2209" t="s">
        <v>137</v>
      </c>
      <c r="F2209">
        <v>0</v>
      </c>
      <c r="G2209">
        <f>MAX(I2202,I2202,I2011,I2206,I2013,I2207,I2208,I2204,I2205)</f>
        <v>2869277</v>
      </c>
      <c r="H2209">
        <f>'Operations'!I24</f>
        <v>16901</v>
      </c>
      <c r="I2209">
        <f>G2209+H2209</f>
        <v>2886178</v>
      </c>
      <c r="J2209">
        <f>IF(AND(D2209&lt;&gt;"dram",D2209&lt;&gt;"control"),H2209,0)</f>
        <v>16901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360</v>
      </c>
      <c r="C2210" t="s">
        <v>88</v>
      </c>
      <c r="D2210" t="s">
        <v>89</v>
      </c>
      <c r="E2210" t="s">
        <v>137</v>
      </c>
      <c r="F2210">
        <v>0</v>
      </c>
      <c r="G2210">
        <f>MAX(I2203,I2202)</f>
        <v>2852376</v>
      </c>
      <c r="H2210">
        <f>0</f>
        <v>16901</v>
      </c>
      <c r="I2210">
        <f>G2210+H2210</f>
        <v>2869277</v>
      </c>
      <c r="J2210">
        <f>IF(AND(D2210&lt;&gt;"dram",D2210&lt;&gt;"control"),H2210,0)</f>
        <v>0</v>
      </c>
      <c r="K2210">
        <f>IF(D2210="dram",H2210,0)</f>
        <v>0</v>
      </c>
      <c r="L2210">
        <v>0</v>
      </c>
      <c r="M2210">
        <v>0</v>
      </c>
    </row>
    <row r="2211" spans="1:13">
      <c r="A2211">
        <v>2209</v>
      </c>
      <c r="B2211" t="s">
        <v>361</v>
      </c>
      <c r="C2211" t="s">
        <v>92</v>
      </c>
      <c r="D2211" t="s">
        <v>83</v>
      </c>
      <c r="E2211" t="s">
        <v>137</v>
      </c>
      <c r="F2211">
        <v>16</v>
      </c>
      <c r="G2211">
        <f>MAX(I2210,I2208)</f>
        <v>2869277</v>
      </c>
      <c r="H2211">
        <f>CEILING((dram_access_latency+F2211/dram_bandwidth)*frequency,1)</f>
        <v>101</v>
      </c>
      <c r="I2211">
        <f>G2211+H2211</f>
        <v>2869378</v>
      </c>
      <c r="J2211">
        <f>IF(AND(D2211&lt;&gt;"dram",D2211&lt;&gt;"control"),H2211,0)</f>
        <v>0</v>
      </c>
      <c r="K2211">
        <f>IF(D2211="dram",H2211,0)</f>
        <v>101</v>
      </c>
      <c r="L2211">
        <v>0</v>
      </c>
      <c r="M2211">
        <v>16</v>
      </c>
    </row>
    <row r="2212" spans="1:13">
      <c r="A2212">
        <v>2210</v>
      </c>
      <c r="B2212" t="s">
        <v>362</v>
      </c>
      <c r="C2212" t="s">
        <v>92</v>
      </c>
      <c r="D2212" t="s">
        <v>83</v>
      </c>
      <c r="E2212" t="s">
        <v>137</v>
      </c>
      <c r="F2212">
        <v>512</v>
      </c>
      <c r="G2212">
        <f>MAX(I2210,I2211)</f>
        <v>2869378</v>
      </c>
      <c r="H2212">
        <f>CEILING((dram_access_latency+F2212/dram_bandwidth)*frequency,1)</f>
        <v>108</v>
      </c>
      <c r="I2212">
        <f>G2212+H2212</f>
        <v>2869486</v>
      </c>
      <c r="J2212">
        <f>IF(AND(D2212&lt;&gt;"dram",D2212&lt;&gt;"control"),H2212,0)</f>
        <v>0</v>
      </c>
      <c r="K2212">
        <f>IF(D2212="dram",H2212,0)</f>
        <v>108</v>
      </c>
      <c r="L2212">
        <v>0</v>
      </c>
      <c r="M2212">
        <v>512</v>
      </c>
    </row>
    <row r="2213" spans="1:13">
      <c r="A2213">
        <v>2211</v>
      </c>
      <c r="B2213" t="s">
        <v>356</v>
      </c>
      <c r="C2213" t="s">
        <v>82</v>
      </c>
      <c r="D2213" t="s">
        <v>83</v>
      </c>
      <c r="E2213" t="s">
        <v>138</v>
      </c>
      <c r="F2213">
        <v>524288</v>
      </c>
      <c r="G2213">
        <f>MAX(I2210,I2212)</f>
        <v>2869486</v>
      </c>
      <c r="H2213">
        <f>CEILING((dram_access_latency+F2213/dram_bandwidth)*frequency,1)</f>
        <v>8292</v>
      </c>
      <c r="I2213">
        <f>G2213+H2213</f>
        <v>2877778</v>
      </c>
      <c r="J2213">
        <f>IF(AND(D2213&lt;&gt;"dram",D2213&lt;&gt;"control"),H2213,0)</f>
        <v>0</v>
      </c>
      <c r="K2213">
        <f>IF(D2213="dram",H2213,0)</f>
        <v>8292</v>
      </c>
      <c r="L2213">
        <v>524288</v>
      </c>
      <c r="M2213">
        <v>0</v>
      </c>
    </row>
    <row r="2214" spans="1:13">
      <c r="A2214">
        <v>2212</v>
      </c>
      <c r="B2214" t="s">
        <v>358</v>
      </c>
      <c r="C2214" t="s">
        <v>82</v>
      </c>
      <c r="D2214" t="s">
        <v>83</v>
      </c>
      <c r="E2214" t="s">
        <v>138</v>
      </c>
      <c r="F2214">
        <v>16384</v>
      </c>
      <c r="G2214">
        <f>MAX(I2210,I2213)</f>
        <v>2877778</v>
      </c>
      <c r="H2214">
        <f>CEILING((dram_access_latency+F2214/dram_bandwidth)*frequency,1)</f>
        <v>356</v>
      </c>
      <c r="I2214">
        <f>G2214+H2214</f>
        <v>2878134</v>
      </c>
      <c r="J2214">
        <f>IF(AND(D2214&lt;&gt;"dram",D2214&lt;&gt;"control"),H2214,0)</f>
        <v>0</v>
      </c>
      <c r="K2214">
        <f>IF(D2214="dram",H2214,0)</f>
        <v>356</v>
      </c>
      <c r="L2214">
        <v>16384</v>
      </c>
      <c r="M2214">
        <v>0</v>
      </c>
    </row>
    <row r="2215" spans="1:13">
      <c r="A2215">
        <v>2213</v>
      </c>
      <c r="B2215" t="s">
        <v>359</v>
      </c>
      <c r="C2215" t="s">
        <v>82</v>
      </c>
      <c r="D2215" t="s">
        <v>83</v>
      </c>
      <c r="E2215" t="s">
        <v>138</v>
      </c>
      <c r="F2215">
        <v>2048</v>
      </c>
      <c r="G2215">
        <f>MAX(I2210,I2214)</f>
        <v>2878134</v>
      </c>
      <c r="H2215">
        <f>CEILING((dram_access_latency+F2215/dram_bandwidth)*frequency,1)</f>
        <v>132</v>
      </c>
      <c r="I2215">
        <f>G2215+H2215</f>
        <v>2878266</v>
      </c>
      <c r="J2215">
        <f>IF(AND(D2215&lt;&gt;"dram",D2215&lt;&gt;"control"),H2215,0)</f>
        <v>0</v>
      </c>
      <c r="K2215">
        <f>IF(D2215="dram",H2215,0)</f>
        <v>132</v>
      </c>
      <c r="L2215">
        <v>2048</v>
      </c>
      <c r="M2215">
        <v>0</v>
      </c>
    </row>
    <row r="2216" spans="1:13">
      <c r="A2216">
        <v>2214</v>
      </c>
      <c r="B2216" t="s">
        <v>58</v>
      </c>
      <c r="C2216" t="s">
        <v>90</v>
      </c>
      <c r="D2216" t="s">
        <v>108</v>
      </c>
      <c r="E2216" t="s">
        <v>138</v>
      </c>
      <c r="F2216">
        <v>0</v>
      </c>
      <c r="G2216">
        <f>MAX(I2209,I2209,I2011,I2213,I2013,I2214,I2215,I2211,I2212)</f>
        <v>2886178</v>
      </c>
      <c r="H2216">
        <f>'Operations'!I24</f>
        <v>16901</v>
      </c>
      <c r="I2216">
        <f>G2216+H2216</f>
        <v>2903079</v>
      </c>
      <c r="J2216">
        <f>IF(AND(D2216&lt;&gt;"dram",D2216&lt;&gt;"control"),H2216,0)</f>
        <v>16901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360</v>
      </c>
      <c r="C2217" t="s">
        <v>88</v>
      </c>
      <c r="D2217" t="s">
        <v>89</v>
      </c>
      <c r="E2217" t="s">
        <v>138</v>
      </c>
      <c r="F2217">
        <v>0</v>
      </c>
      <c r="G2217">
        <f>MAX(I2210,I2209)</f>
        <v>2869277</v>
      </c>
      <c r="H2217">
        <f>0</f>
        <v>16901</v>
      </c>
      <c r="I2217">
        <f>G2217+H2217</f>
        <v>2886178</v>
      </c>
      <c r="J2217">
        <f>IF(AND(D2217&lt;&gt;"dram",D2217&lt;&gt;"control"),H2217,0)</f>
        <v>0</v>
      </c>
      <c r="K2217">
        <f>IF(D2217="dram",H2217,0)</f>
        <v>0</v>
      </c>
      <c r="L2217">
        <v>0</v>
      </c>
      <c r="M2217">
        <v>0</v>
      </c>
    </row>
    <row r="2218" spans="1:13">
      <c r="A2218">
        <v>2216</v>
      </c>
      <c r="B2218" t="s">
        <v>361</v>
      </c>
      <c r="C2218" t="s">
        <v>92</v>
      </c>
      <c r="D2218" t="s">
        <v>83</v>
      </c>
      <c r="E2218" t="s">
        <v>138</v>
      </c>
      <c r="F2218">
        <v>16</v>
      </c>
      <c r="G2218">
        <f>MAX(I2217,I2215)</f>
        <v>2886178</v>
      </c>
      <c r="H2218">
        <f>CEILING((dram_access_latency+F2218/dram_bandwidth)*frequency,1)</f>
        <v>101</v>
      </c>
      <c r="I2218">
        <f>G2218+H2218</f>
        <v>2886279</v>
      </c>
      <c r="J2218">
        <f>IF(AND(D2218&lt;&gt;"dram",D2218&lt;&gt;"control"),H2218,0)</f>
        <v>0</v>
      </c>
      <c r="K2218">
        <f>IF(D2218="dram",H2218,0)</f>
        <v>101</v>
      </c>
      <c r="L2218">
        <v>0</v>
      </c>
      <c r="M2218">
        <v>16</v>
      </c>
    </row>
    <row r="2219" spans="1:13">
      <c r="A2219">
        <v>2217</v>
      </c>
      <c r="B2219" t="s">
        <v>362</v>
      </c>
      <c r="C2219" t="s">
        <v>92</v>
      </c>
      <c r="D2219" t="s">
        <v>83</v>
      </c>
      <c r="E2219" t="s">
        <v>138</v>
      </c>
      <c r="F2219">
        <v>512</v>
      </c>
      <c r="G2219">
        <f>MAX(I2217,I2218)</f>
        <v>2886279</v>
      </c>
      <c r="H2219">
        <f>CEILING((dram_access_latency+F2219/dram_bandwidth)*frequency,1)</f>
        <v>108</v>
      </c>
      <c r="I2219">
        <f>G2219+H2219</f>
        <v>2886387</v>
      </c>
      <c r="J2219">
        <f>IF(AND(D2219&lt;&gt;"dram",D2219&lt;&gt;"control"),H2219,0)</f>
        <v>0</v>
      </c>
      <c r="K2219">
        <f>IF(D2219="dram",H2219,0)</f>
        <v>108</v>
      </c>
      <c r="L2219">
        <v>0</v>
      </c>
      <c r="M2219">
        <v>512</v>
      </c>
    </row>
    <row r="2220" spans="1:13">
      <c r="A2220">
        <v>2218</v>
      </c>
      <c r="B2220" t="s">
        <v>356</v>
      </c>
      <c r="C2220" t="s">
        <v>82</v>
      </c>
      <c r="D2220" t="s">
        <v>83</v>
      </c>
      <c r="E2220" t="s">
        <v>139</v>
      </c>
      <c r="F2220">
        <v>524288</v>
      </c>
      <c r="G2220">
        <f>MAX(I2217,I2219)</f>
        <v>2886387</v>
      </c>
      <c r="H2220">
        <f>CEILING((dram_access_latency+F2220/dram_bandwidth)*frequency,1)</f>
        <v>8292</v>
      </c>
      <c r="I2220">
        <f>G2220+H2220</f>
        <v>2894679</v>
      </c>
      <c r="J2220">
        <f>IF(AND(D2220&lt;&gt;"dram",D2220&lt;&gt;"control"),H2220,0)</f>
        <v>0</v>
      </c>
      <c r="K2220">
        <f>IF(D2220="dram",H2220,0)</f>
        <v>8292</v>
      </c>
      <c r="L2220">
        <v>524288</v>
      </c>
      <c r="M2220">
        <v>0</v>
      </c>
    </row>
    <row r="2221" spans="1:13">
      <c r="A2221">
        <v>2219</v>
      </c>
      <c r="B2221" t="s">
        <v>358</v>
      </c>
      <c r="C2221" t="s">
        <v>82</v>
      </c>
      <c r="D2221" t="s">
        <v>83</v>
      </c>
      <c r="E2221" t="s">
        <v>139</v>
      </c>
      <c r="F2221">
        <v>16384</v>
      </c>
      <c r="G2221">
        <f>MAX(I2217,I2220)</f>
        <v>2894679</v>
      </c>
      <c r="H2221">
        <f>CEILING((dram_access_latency+F2221/dram_bandwidth)*frequency,1)</f>
        <v>356</v>
      </c>
      <c r="I2221">
        <f>G2221+H2221</f>
        <v>2895035</v>
      </c>
      <c r="J2221">
        <f>IF(AND(D2221&lt;&gt;"dram",D2221&lt;&gt;"control"),H2221,0)</f>
        <v>0</v>
      </c>
      <c r="K2221">
        <f>IF(D2221="dram",H2221,0)</f>
        <v>356</v>
      </c>
      <c r="L2221">
        <v>16384</v>
      </c>
      <c r="M2221">
        <v>0</v>
      </c>
    </row>
    <row r="2222" spans="1:13">
      <c r="A2222">
        <v>2220</v>
      </c>
      <c r="B2222" t="s">
        <v>359</v>
      </c>
      <c r="C2222" t="s">
        <v>82</v>
      </c>
      <c r="D2222" t="s">
        <v>83</v>
      </c>
      <c r="E2222" t="s">
        <v>139</v>
      </c>
      <c r="F2222">
        <v>2048</v>
      </c>
      <c r="G2222">
        <f>MAX(I2217,I2221)</f>
        <v>2895035</v>
      </c>
      <c r="H2222">
        <f>CEILING((dram_access_latency+F2222/dram_bandwidth)*frequency,1)</f>
        <v>132</v>
      </c>
      <c r="I2222">
        <f>G2222+H2222</f>
        <v>2895167</v>
      </c>
      <c r="J2222">
        <f>IF(AND(D2222&lt;&gt;"dram",D2222&lt;&gt;"control"),H2222,0)</f>
        <v>0</v>
      </c>
      <c r="K2222">
        <f>IF(D2222="dram",H2222,0)</f>
        <v>132</v>
      </c>
      <c r="L2222">
        <v>2048</v>
      </c>
      <c r="M2222">
        <v>0</v>
      </c>
    </row>
    <row r="2223" spans="1:13">
      <c r="A2223">
        <v>2221</v>
      </c>
      <c r="B2223" t="s">
        <v>58</v>
      </c>
      <c r="C2223" t="s">
        <v>90</v>
      </c>
      <c r="D2223" t="s">
        <v>108</v>
      </c>
      <c r="E2223" t="s">
        <v>139</v>
      </c>
      <c r="F2223">
        <v>0</v>
      </c>
      <c r="G2223">
        <f>MAX(I2216,I2216,I2011,I2220,I2013,I2221,I2222,I2218,I2219)</f>
        <v>2903079</v>
      </c>
      <c r="H2223">
        <f>'Operations'!I24</f>
        <v>16901</v>
      </c>
      <c r="I2223">
        <f>G2223+H2223</f>
        <v>2919980</v>
      </c>
      <c r="J2223">
        <f>IF(AND(D2223&lt;&gt;"dram",D2223&lt;&gt;"control"),H2223,0)</f>
        <v>16901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360</v>
      </c>
      <c r="C2224" t="s">
        <v>88</v>
      </c>
      <c r="D2224" t="s">
        <v>89</v>
      </c>
      <c r="E2224" t="s">
        <v>139</v>
      </c>
      <c r="F2224">
        <v>0</v>
      </c>
      <c r="G2224">
        <f>MAX(I2217,I2216)</f>
        <v>2886178</v>
      </c>
      <c r="H2224">
        <f>0</f>
        <v>16901</v>
      </c>
      <c r="I2224">
        <f>G2224+H2224</f>
        <v>2903079</v>
      </c>
      <c r="J2224">
        <f>IF(AND(D2224&lt;&gt;"dram",D2224&lt;&gt;"control"),H2224,0)</f>
        <v>0</v>
      </c>
      <c r="K2224">
        <f>IF(D2224="dram",H2224,0)</f>
        <v>0</v>
      </c>
      <c r="L2224">
        <v>0</v>
      </c>
      <c r="M2224">
        <v>0</v>
      </c>
    </row>
    <row r="2225" spans="1:13">
      <c r="A2225">
        <v>2223</v>
      </c>
      <c r="B2225" t="s">
        <v>361</v>
      </c>
      <c r="C2225" t="s">
        <v>92</v>
      </c>
      <c r="D2225" t="s">
        <v>83</v>
      </c>
      <c r="E2225" t="s">
        <v>139</v>
      </c>
      <c r="F2225">
        <v>16</v>
      </c>
      <c r="G2225">
        <f>MAX(I2224,I2222)</f>
        <v>2903079</v>
      </c>
      <c r="H2225">
        <f>CEILING((dram_access_latency+F2225/dram_bandwidth)*frequency,1)</f>
        <v>101</v>
      </c>
      <c r="I2225">
        <f>G2225+H2225</f>
        <v>2903180</v>
      </c>
      <c r="J2225">
        <f>IF(AND(D2225&lt;&gt;"dram",D2225&lt;&gt;"control"),H2225,0)</f>
        <v>0</v>
      </c>
      <c r="K2225">
        <f>IF(D2225="dram",H2225,0)</f>
        <v>101</v>
      </c>
      <c r="L2225">
        <v>0</v>
      </c>
      <c r="M2225">
        <v>16</v>
      </c>
    </row>
    <row r="2226" spans="1:13">
      <c r="A2226">
        <v>2224</v>
      </c>
      <c r="B2226" t="s">
        <v>362</v>
      </c>
      <c r="C2226" t="s">
        <v>92</v>
      </c>
      <c r="D2226" t="s">
        <v>83</v>
      </c>
      <c r="E2226" t="s">
        <v>139</v>
      </c>
      <c r="F2226">
        <v>512</v>
      </c>
      <c r="G2226">
        <f>MAX(I2224,I2225)</f>
        <v>2903180</v>
      </c>
      <c r="H2226">
        <f>CEILING((dram_access_latency+F2226/dram_bandwidth)*frequency,1)</f>
        <v>108</v>
      </c>
      <c r="I2226">
        <f>G2226+H2226</f>
        <v>2903288</v>
      </c>
      <c r="J2226">
        <f>IF(AND(D2226&lt;&gt;"dram",D2226&lt;&gt;"control"),H2226,0)</f>
        <v>0</v>
      </c>
      <c r="K2226">
        <f>IF(D2226="dram",H2226,0)</f>
        <v>108</v>
      </c>
      <c r="L2226">
        <v>0</v>
      </c>
      <c r="M2226">
        <v>512</v>
      </c>
    </row>
    <row r="2227" spans="1:13">
      <c r="A2227">
        <v>2225</v>
      </c>
      <c r="B2227" t="s">
        <v>356</v>
      </c>
      <c r="C2227" t="s">
        <v>82</v>
      </c>
      <c r="D2227" t="s">
        <v>83</v>
      </c>
      <c r="E2227" t="s">
        <v>140</v>
      </c>
      <c r="F2227">
        <v>524288</v>
      </c>
      <c r="G2227">
        <f>MAX(I2224,I2226)</f>
        <v>2903288</v>
      </c>
      <c r="H2227">
        <f>CEILING((dram_access_latency+F2227/dram_bandwidth)*frequency,1)</f>
        <v>8292</v>
      </c>
      <c r="I2227">
        <f>G2227+H2227</f>
        <v>2911580</v>
      </c>
      <c r="J2227">
        <f>IF(AND(D2227&lt;&gt;"dram",D2227&lt;&gt;"control"),H2227,0)</f>
        <v>0</v>
      </c>
      <c r="K2227">
        <f>IF(D2227="dram",H2227,0)</f>
        <v>8292</v>
      </c>
      <c r="L2227">
        <v>524288</v>
      </c>
      <c r="M2227">
        <v>0</v>
      </c>
    </row>
    <row r="2228" spans="1:13">
      <c r="A2228">
        <v>2226</v>
      </c>
      <c r="B2228" t="s">
        <v>358</v>
      </c>
      <c r="C2228" t="s">
        <v>82</v>
      </c>
      <c r="D2228" t="s">
        <v>83</v>
      </c>
      <c r="E2228" t="s">
        <v>140</v>
      </c>
      <c r="F2228">
        <v>16384</v>
      </c>
      <c r="G2228">
        <f>MAX(I2224,I2227)</f>
        <v>2911580</v>
      </c>
      <c r="H2228">
        <f>CEILING((dram_access_latency+F2228/dram_bandwidth)*frequency,1)</f>
        <v>356</v>
      </c>
      <c r="I2228">
        <f>G2228+H2228</f>
        <v>2911936</v>
      </c>
      <c r="J2228">
        <f>IF(AND(D2228&lt;&gt;"dram",D2228&lt;&gt;"control"),H2228,0)</f>
        <v>0</v>
      </c>
      <c r="K2228">
        <f>IF(D2228="dram",H2228,0)</f>
        <v>356</v>
      </c>
      <c r="L2228">
        <v>16384</v>
      </c>
      <c r="M2228">
        <v>0</v>
      </c>
    </row>
    <row r="2229" spans="1:13">
      <c r="A2229">
        <v>2227</v>
      </c>
      <c r="B2229" t="s">
        <v>359</v>
      </c>
      <c r="C2229" t="s">
        <v>82</v>
      </c>
      <c r="D2229" t="s">
        <v>83</v>
      </c>
      <c r="E2229" t="s">
        <v>140</v>
      </c>
      <c r="F2229">
        <v>2048</v>
      </c>
      <c r="G2229">
        <f>MAX(I2224,I2228)</f>
        <v>2911936</v>
      </c>
      <c r="H2229">
        <f>CEILING((dram_access_latency+F2229/dram_bandwidth)*frequency,1)</f>
        <v>132</v>
      </c>
      <c r="I2229">
        <f>G2229+H2229</f>
        <v>2912068</v>
      </c>
      <c r="J2229">
        <f>IF(AND(D2229&lt;&gt;"dram",D2229&lt;&gt;"control"),H2229,0)</f>
        <v>0</v>
      </c>
      <c r="K2229">
        <f>IF(D2229="dram",H2229,0)</f>
        <v>132</v>
      </c>
      <c r="L2229">
        <v>2048</v>
      </c>
      <c r="M2229">
        <v>0</v>
      </c>
    </row>
    <row r="2230" spans="1:13">
      <c r="A2230">
        <v>2228</v>
      </c>
      <c r="B2230" t="s">
        <v>58</v>
      </c>
      <c r="C2230" t="s">
        <v>90</v>
      </c>
      <c r="D2230" t="s">
        <v>108</v>
      </c>
      <c r="E2230" t="s">
        <v>140</v>
      </c>
      <c r="F2230">
        <v>0</v>
      </c>
      <c r="G2230">
        <f>MAX(I2223,I2223,I2011,I2227,I2013,I2228,I2229,I2225,I2226)</f>
        <v>2919980</v>
      </c>
      <c r="H2230">
        <f>'Operations'!I24</f>
        <v>16901</v>
      </c>
      <c r="I2230">
        <f>G2230+H2230</f>
        <v>2936881</v>
      </c>
      <c r="J2230">
        <f>IF(AND(D2230&lt;&gt;"dram",D2230&lt;&gt;"control"),H2230,0)</f>
        <v>16901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360</v>
      </c>
      <c r="C2231" t="s">
        <v>88</v>
      </c>
      <c r="D2231" t="s">
        <v>89</v>
      </c>
      <c r="E2231" t="s">
        <v>140</v>
      </c>
      <c r="F2231">
        <v>0</v>
      </c>
      <c r="G2231">
        <f>MAX(I2224,I2223)</f>
        <v>2903079</v>
      </c>
      <c r="H2231">
        <f>0</f>
        <v>16901</v>
      </c>
      <c r="I2231">
        <f>G2231+H2231</f>
        <v>2919980</v>
      </c>
      <c r="J2231">
        <f>IF(AND(D2231&lt;&gt;"dram",D2231&lt;&gt;"control"),H2231,0)</f>
        <v>0</v>
      </c>
      <c r="K2231">
        <f>IF(D2231="dram",H2231,0)</f>
        <v>0</v>
      </c>
      <c r="L2231">
        <v>0</v>
      </c>
      <c r="M2231">
        <v>0</v>
      </c>
    </row>
    <row r="2232" spans="1:13">
      <c r="A2232">
        <v>2230</v>
      </c>
      <c r="B2232" t="s">
        <v>361</v>
      </c>
      <c r="C2232" t="s">
        <v>92</v>
      </c>
      <c r="D2232" t="s">
        <v>83</v>
      </c>
      <c r="E2232" t="s">
        <v>140</v>
      </c>
      <c r="F2232">
        <v>16</v>
      </c>
      <c r="G2232">
        <f>MAX(I2231,I2229)</f>
        <v>2919980</v>
      </c>
      <c r="H2232">
        <f>CEILING((dram_access_latency+F2232/dram_bandwidth)*frequency,1)</f>
        <v>101</v>
      </c>
      <c r="I2232">
        <f>G2232+H2232</f>
        <v>2920081</v>
      </c>
      <c r="J2232">
        <f>IF(AND(D2232&lt;&gt;"dram",D2232&lt;&gt;"control"),H2232,0)</f>
        <v>0</v>
      </c>
      <c r="K2232">
        <f>IF(D2232="dram",H2232,0)</f>
        <v>101</v>
      </c>
      <c r="L2232">
        <v>0</v>
      </c>
      <c r="M2232">
        <v>16</v>
      </c>
    </row>
    <row r="2233" spans="1:13">
      <c r="A2233">
        <v>2231</v>
      </c>
      <c r="B2233" t="s">
        <v>362</v>
      </c>
      <c r="C2233" t="s">
        <v>92</v>
      </c>
      <c r="D2233" t="s">
        <v>83</v>
      </c>
      <c r="E2233" t="s">
        <v>140</v>
      </c>
      <c r="F2233">
        <v>512</v>
      </c>
      <c r="G2233">
        <f>MAX(I2231,I2232)</f>
        <v>2920081</v>
      </c>
      <c r="H2233">
        <f>CEILING((dram_access_latency+F2233/dram_bandwidth)*frequency,1)</f>
        <v>108</v>
      </c>
      <c r="I2233">
        <f>G2233+H2233</f>
        <v>2920189</v>
      </c>
      <c r="J2233">
        <f>IF(AND(D2233&lt;&gt;"dram",D2233&lt;&gt;"control"),H2233,0)</f>
        <v>0</v>
      </c>
      <c r="K2233">
        <f>IF(D2233="dram",H2233,0)</f>
        <v>108</v>
      </c>
      <c r="L2233">
        <v>0</v>
      </c>
      <c r="M2233">
        <v>512</v>
      </c>
    </row>
    <row r="2234" spans="1:13">
      <c r="A2234">
        <v>2232</v>
      </c>
      <c r="B2234" t="s">
        <v>356</v>
      </c>
      <c r="C2234" t="s">
        <v>82</v>
      </c>
      <c r="D2234" t="s">
        <v>83</v>
      </c>
      <c r="E2234" t="s">
        <v>340</v>
      </c>
      <c r="F2234">
        <v>524288</v>
      </c>
      <c r="G2234">
        <f>MAX(I2231,I2233)</f>
        <v>2920189</v>
      </c>
      <c r="H2234">
        <f>CEILING((dram_access_latency+F2234/dram_bandwidth)*frequency,1)</f>
        <v>8292</v>
      </c>
      <c r="I2234">
        <f>G2234+H2234</f>
        <v>2928481</v>
      </c>
      <c r="J2234">
        <f>IF(AND(D2234&lt;&gt;"dram",D2234&lt;&gt;"control"),H2234,0)</f>
        <v>0</v>
      </c>
      <c r="K2234">
        <f>IF(D2234="dram",H2234,0)</f>
        <v>8292</v>
      </c>
      <c r="L2234">
        <v>524288</v>
      </c>
      <c r="M2234">
        <v>0</v>
      </c>
    </row>
    <row r="2235" spans="1:13">
      <c r="A2235">
        <v>2233</v>
      </c>
      <c r="B2235" t="s">
        <v>358</v>
      </c>
      <c r="C2235" t="s">
        <v>82</v>
      </c>
      <c r="D2235" t="s">
        <v>83</v>
      </c>
      <c r="E2235" t="s">
        <v>340</v>
      </c>
      <c r="F2235">
        <v>16384</v>
      </c>
      <c r="G2235">
        <f>MAX(I2231,I2234)</f>
        <v>2928481</v>
      </c>
      <c r="H2235">
        <f>CEILING((dram_access_latency+F2235/dram_bandwidth)*frequency,1)</f>
        <v>356</v>
      </c>
      <c r="I2235">
        <f>G2235+H2235</f>
        <v>2928837</v>
      </c>
      <c r="J2235">
        <f>IF(AND(D2235&lt;&gt;"dram",D2235&lt;&gt;"control"),H2235,0)</f>
        <v>0</v>
      </c>
      <c r="K2235">
        <f>IF(D2235="dram",H2235,0)</f>
        <v>356</v>
      </c>
      <c r="L2235">
        <v>16384</v>
      </c>
      <c r="M2235">
        <v>0</v>
      </c>
    </row>
    <row r="2236" spans="1:13">
      <c r="A2236">
        <v>2234</v>
      </c>
      <c r="B2236" t="s">
        <v>359</v>
      </c>
      <c r="C2236" t="s">
        <v>82</v>
      </c>
      <c r="D2236" t="s">
        <v>83</v>
      </c>
      <c r="E2236" t="s">
        <v>340</v>
      </c>
      <c r="F2236">
        <v>2048</v>
      </c>
      <c r="G2236">
        <f>MAX(I2231,I2235)</f>
        <v>2928837</v>
      </c>
      <c r="H2236">
        <f>CEILING((dram_access_latency+F2236/dram_bandwidth)*frequency,1)</f>
        <v>132</v>
      </c>
      <c r="I2236">
        <f>G2236+H2236</f>
        <v>2928969</v>
      </c>
      <c r="J2236">
        <f>IF(AND(D2236&lt;&gt;"dram",D2236&lt;&gt;"control"),H2236,0)</f>
        <v>0</v>
      </c>
      <c r="K2236">
        <f>IF(D2236="dram",H2236,0)</f>
        <v>132</v>
      </c>
      <c r="L2236">
        <v>2048</v>
      </c>
      <c r="M2236">
        <v>0</v>
      </c>
    </row>
    <row r="2237" spans="1:13">
      <c r="A2237">
        <v>2235</v>
      </c>
      <c r="B2237" t="s">
        <v>58</v>
      </c>
      <c r="C2237" t="s">
        <v>90</v>
      </c>
      <c r="D2237" t="s">
        <v>108</v>
      </c>
      <c r="E2237" t="s">
        <v>340</v>
      </c>
      <c r="F2237">
        <v>0</v>
      </c>
      <c r="G2237">
        <f>MAX(I2230,I2230,I2011,I2234,I2013,I2235,I2236,I2232,I2233)</f>
        <v>2936881</v>
      </c>
      <c r="H2237">
        <f>'Operations'!I24</f>
        <v>16901</v>
      </c>
      <c r="I2237">
        <f>G2237+H2237</f>
        <v>2953782</v>
      </c>
      <c r="J2237">
        <f>IF(AND(D2237&lt;&gt;"dram",D2237&lt;&gt;"control"),H2237,0)</f>
        <v>16901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360</v>
      </c>
      <c r="C2238" t="s">
        <v>88</v>
      </c>
      <c r="D2238" t="s">
        <v>89</v>
      </c>
      <c r="E2238" t="s">
        <v>340</v>
      </c>
      <c r="F2238">
        <v>0</v>
      </c>
      <c r="G2238">
        <f>MAX(I2231,I2230)</f>
        <v>2919980</v>
      </c>
      <c r="H2238">
        <f>0</f>
        <v>16901</v>
      </c>
      <c r="I2238">
        <f>G2238+H2238</f>
        <v>2936881</v>
      </c>
      <c r="J2238">
        <f>IF(AND(D2238&lt;&gt;"dram",D2238&lt;&gt;"control"),H2238,0)</f>
        <v>0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361</v>
      </c>
      <c r="C2239" t="s">
        <v>92</v>
      </c>
      <c r="D2239" t="s">
        <v>83</v>
      </c>
      <c r="E2239" t="s">
        <v>340</v>
      </c>
      <c r="F2239">
        <v>16</v>
      </c>
      <c r="G2239">
        <f>MAX(I2238,I2236)</f>
        <v>2936881</v>
      </c>
      <c r="H2239">
        <f>CEILING((dram_access_latency+F2239/dram_bandwidth)*frequency,1)</f>
        <v>101</v>
      </c>
      <c r="I2239">
        <f>G2239+H2239</f>
        <v>2936982</v>
      </c>
      <c r="J2239">
        <f>IF(AND(D2239&lt;&gt;"dram",D2239&lt;&gt;"control"),H2239,0)</f>
        <v>0</v>
      </c>
      <c r="K2239">
        <f>IF(D2239="dram",H2239,0)</f>
        <v>101</v>
      </c>
      <c r="L2239">
        <v>0</v>
      </c>
      <c r="M2239">
        <v>16</v>
      </c>
    </row>
    <row r="2240" spans="1:13">
      <c r="A2240">
        <v>2238</v>
      </c>
      <c r="B2240" t="s">
        <v>362</v>
      </c>
      <c r="C2240" t="s">
        <v>92</v>
      </c>
      <c r="D2240" t="s">
        <v>83</v>
      </c>
      <c r="E2240" t="s">
        <v>340</v>
      </c>
      <c r="F2240">
        <v>512</v>
      </c>
      <c r="G2240">
        <f>MAX(I2238,I2239)</f>
        <v>2936982</v>
      </c>
      <c r="H2240">
        <f>CEILING((dram_access_latency+F2240/dram_bandwidth)*frequency,1)</f>
        <v>108</v>
      </c>
      <c r="I2240">
        <f>G2240+H2240</f>
        <v>2937090</v>
      </c>
      <c r="J2240">
        <f>IF(AND(D2240&lt;&gt;"dram",D2240&lt;&gt;"control"),H2240,0)</f>
        <v>0</v>
      </c>
      <c r="K2240">
        <f>IF(D2240="dram",H2240,0)</f>
        <v>108</v>
      </c>
      <c r="L2240">
        <v>0</v>
      </c>
      <c r="M2240">
        <v>512</v>
      </c>
    </row>
    <row r="2241" spans="1:13">
      <c r="A2241">
        <v>2239</v>
      </c>
      <c r="B2241" t="s">
        <v>356</v>
      </c>
      <c r="C2241" t="s">
        <v>82</v>
      </c>
      <c r="D2241" t="s">
        <v>83</v>
      </c>
      <c r="E2241" t="s">
        <v>341</v>
      </c>
      <c r="F2241">
        <v>524288</v>
      </c>
      <c r="G2241">
        <f>MAX(I2238,I2240)</f>
        <v>2937090</v>
      </c>
      <c r="H2241">
        <f>CEILING((dram_access_latency+F2241/dram_bandwidth)*frequency,1)</f>
        <v>8292</v>
      </c>
      <c r="I2241">
        <f>G2241+H2241</f>
        <v>2945382</v>
      </c>
      <c r="J2241">
        <f>IF(AND(D2241&lt;&gt;"dram",D2241&lt;&gt;"control"),H2241,0)</f>
        <v>0</v>
      </c>
      <c r="K2241">
        <f>IF(D2241="dram",H2241,0)</f>
        <v>8292</v>
      </c>
      <c r="L2241">
        <v>524288</v>
      </c>
      <c r="M2241">
        <v>0</v>
      </c>
    </row>
    <row r="2242" spans="1:13">
      <c r="A2242">
        <v>2240</v>
      </c>
      <c r="B2242" t="s">
        <v>358</v>
      </c>
      <c r="C2242" t="s">
        <v>82</v>
      </c>
      <c r="D2242" t="s">
        <v>83</v>
      </c>
      <c r="E2242" t="s">
        <v>341</v>
      </c>
      <c r="F2242">
        <v>16384</v>
      </c>
      <c r="G2242">
        <f>MAX(I2238,I2241)</f>
        <v>2945382</v>
      </c>
      <c r="H2242">
        <f>CEILING((dram_access_latency+F2242/dram_bandwidth)*frequency,1)</f>
        <v>356</v>
      </c>
      <c r="I2242">
        <f>G2242+H2242</f>
        <v>2945738</v>
      </c>
      <c r="J2242">
        <f>IF(AND(D2242&lt;&gt;"dram",D2242&lt;&gt;"control"),H2242,0)</f>
        <v>0</v>
      </c>
      <c r="K2242">
        <f>IF(D2242="dram",H2242,0)</f>
        <v>356</v>
      </c>
      <c r="L2242">
        <v>16384</v>
      </c>
      <c r="M2242">
        <v>0</v>
      </c>
    </row>
    <row r="2243" spans="1:13">
      <c r="A2243">
        <v>2241</v>
      </c>
      <c r="B2243" t="s">
        <v>359</v>
      </c>
      <c r="C2243" t="s">
        <v>82</v>
      </c>
      <c r="D2243" t="s">
        <v>83</v>
      </c>
      <c r="E2243" t="s">
        <v>341</v>
      </c>
      <c r="F2243">
        <v>2048</v>
      </c>
      <c r="G2243">
        <f>MAX(I2238,I2242)</f>
        <v>2945738</v>
      </c>
      <c r="H2243">
        <f>CEILING((dram_access_latency+F2243/dram_bandwidth)*frequency,1)</f>
        <v>132</v>
      </c>
      <c r="I2243">
        <f>G2243+H2243</f>
        <v>2945870</v>
      </c>
      <c r="J2243">
        <f>IF(AND(D2243&lt;&gt;"dram",D2243&lt;&gt;"control"),H2243,0)</f>
        <v>0</v>
      </c>
      <c r="K2243">
        <f>IF(D2243="dram",H2243,0)</f>
        <v>132</v>
      </c>
      <c r="L2243">
        <v>2048</v>
      </c>
      <c r="M2243">
        <v>0</v>
      </c>
    </row>
    <row r="2244" spans="1:13">
      <c r="A2244">
        <v>2242</v>
      </c>
      <c r="B2244" t="s">
        <v>58</v>
      </c>
      <c r="C2244" t="s">
        <v>90</v>
      </c>
      <c r="D2244" t="s">
        <v>108</v>
      </c>
      <c r="E2244" t="s">
        <v>341</v>
      </c>
      <c r="F2244">
        <v>0</v>
      </c>
      <c r="G2244">
        <f>MAX(I2237,I2237,I2011,I2241,I2013,I2242,I2243,I2239,I2240)</f>
        <v>2953782</v>
      </c>
      <c r="H2244">
        <f>'Operations'!I24</f>
        <v>16901</v>
      </c>
      <c r="I2244">
        <f>G2244+H2244</f>
        <v>2970683</v>
      </c>
      <c r="J2244">
        <f>IF(AND(D2244&lt;&gt;"dram",D2244&lt;&gt;"control"),H2244,0)</f>
        <v>16901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360</v>
      </c>
      <c r="C2245" t="s">
        <v>88</v>
      </c>
      <c r="D2245" t="s">
        <v>89</v>
      </c>
      <c r="E2245" t="s">
        <v>341</v>
      </c>
      <c r="F2245">
        <v>0</v>
      </c>
      <c r="G2245">
        <f>MAX(I2238,I2237)</f>
        <v>2936881</v>
      </c>
      <c r="H2245">
        <f>0</f>
        <v>16901</v>
      </c>
      <c r="I2245">
        <f>G2245+H2245</f>
        <v>2953782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361</v>
      </c>
      <c r="C2246" t="s">
        <v>92</v>
      </c>
      <c r="D2246" t="s">
        <v>83</v>
      </c>
      <c r="E2246" t="s">
        <v>341</v>
      </c>
      <c r="F2246">
        <v>16</v>
      </c>
      <c r="G2246">
        <f>MAX(I2245,I2243)</f>
        <v>2953782</v>
      </c>
      <c r="H2246">
        <f>CEILING((dram_access_latency+F2246/dram_bandwidth)*frequency,1)</f>
        <v>101</v>
      </c>
      <c r="I2246">
        <f>G2246+H2246</f>
        <v>2953883</v>
      </c>
      <c r="J2246">
        <f>IF(AND(D2246&lt;&gt;"dram",D2246&lt;&gt;"control"),H2246,0)</f>
        <v>0</v>
      </c>
      <c r="K2246">
        <f>IF(D2246="dram",H2246,0)</f>
        <v>101</v>
      </c>
      <c r="L2246">
        <v>0</v>
      </c>
      <c r="M2246">
        <v>16</v>
      </c>
    </row>
    <row r="2247" spans="1:13">
      <c r="A2247">
        <v>2245</v>
      </c>
      <c r="B2247" t="s">
        <v>362</v>
      </c>
      <c r="C2247" t="s">
        <v>92</v>
      </c>
      <c r="D2247" t="s">
        <v>83</v>
      </c>
      <c r="E2247" t="s">
        <v>341</v>
      </c>
      <c r="F2247">
        <v>512</v>
      </c>
      <c r="G2247">
        <f>MAX(I2245,I2246)</f>
        <v>2953883</v>
      </c>
      <c r="H2247">
        <f>CEILING((dram_access_latency+F2247/dram_bandwidth)*frequency,1)</f>
        <v>108</v>
      </c>
      <c r="I2247">
        <f>G2247+H2247</f>
        <v>2953991</v>
      </c>
      <c r="J2247">
        <f>IF(AND(D2247&lt;&gt;"dram",D2247&lt;&gt;"control"),H2247,0)</f>
        <v>0</v>
      </c>
      <c r="K2247">
        <f>IF(D2247="dram",H2247,0)</f>
        <v>108</v>
      </c>
      <c r="L2247">
        <v>0</v>
      </c>
      <c r="M2247">
        <v>512</v>
      </c>
    </row>
    <row r="2248" spans="1:13">
      <c r="A2248">
        <v>2246</v>
      </c>
      <c r="B2248" t="s">
        <v>356</v>
      </c>
      <c r="C2248" t="s">
        <v>82</v>
      </c>
      <c r="D2248" t="s">
        <v>83</v>
      </c>
      <c r="E2248" t="s">
        <v>342</v>
      </c>
      <c r="F2248">
        <v>524288</v>
      </c>
      <c r="G2248">
        <f>MAX(I2245,I2247)</f>
        <v>2953991</v>
      </c>
      <c r="H2248">
        <f>CEILING((dram_access_latency+F2248/dram_bandwidth)*frequency,1)</f>
        <v>8292</v>
      </c>
      <c r="I2248">
        <f>G2248+H2248</f>
        <v>2962283</v>
      </c>
      <c r="J2248">
        <f>IF(AND(D2248&lt;&gt;"dram",D2248&lt;&gt;"control"),H2248,0)</f>
        <v>0</v>
      </c>
      <c r="K2248">
        <f>IF(D2248="dram",H2248,0)</f>
        <v>8292</v>
      </c>
      <c r="L2248">
        <v>524288</v>
      </c>
      <c r="M2248">
        <v>0</v>
      </c>
    </row>
    <row r="2249" spans="1:13">
      <c r="A2249">
        <v>2247</v>
      </c>
      <c r="B2249" t="s">
        <v>358</v>
      </c>
      <c r="C2249" t="s">
        <v>82</v>
      </c>
      <c r="D2249" t="s">
        <v>83</v>
      </c>
      <c r="E2249" t="s">
        <v>342</v>
      </c>
      <c r="F2249">
        <v>16384</v>
      </c>
      <c r="G2249">
        <f>MAX(I2245,I2248)</f>
        <v>2962283</v>
      </c>
      <c r="H2249">
        <f>CEILING((dram_access_latency+F2249/dram_bandwidth)*frequency,1)</f>
        <v>356</v>
      </c>
      <c r="I2249">
        <f>G2249+H2249</f>
        <v>2962639</v>
      </c>
      <c r="J2249">
        <f>IF(AND(D2249&lt;&gt;"dram",D2249&lt;&gt;"control"),H2249,0)</f>
        <v>0</v>
      </c>
      <c r="K2249">
        <f>IF(D2249="dram",H2249,0)</f>
        <v>356</v>
      </c>
      <c r="L2249">
        <v>16384</v>
      </c>
      <c r="M2249">
        <v>0</v>
      </c>
    </row>
    <row r="2250" spans="1:13">
      <c r="A2250">
        <v>2248</v>
      </c>
      <c r="B2250" t="s">
        <v>359</v>
      </c>
      <c r="C2250" t="s">
        <v>82</v>
      </c>
      <c r="D2250" t="s">
        <v>83</v>
      </c>
      <c r="E2250" t="s">
        <v>342</v>
      </c>
      <c r="F2250">
        <v>2048</v>
      </c>
      <c r="G2250">
        <f>MAX(I2245,I2249)</f>
        <v>2962639</v>
      </c>
      <c r="H2250">
        <f>CEILING((dram_access_latency+F2250/dram_bandwidth)*frequency,1)</f>
        <v>132</v>
      </c>
      <c r="I2250">
        <f>G2250+H2250</f>
        <v>2962771</v>
      </c>
      <c r="J2250">
        <f>IF(AND(D2250&lt;&gt;"dram",D2250&lt;&gt;"control"),H2250,0)</f>
        <v>0</v>
      </c>
      <c r="K2250">
        <f>IF(D2250="dram",H2250,0)</f>
        <v>132</v>
      </c>
      <c r="L2250">
        <v>2048</v>
      </c>
      <c r="M2250">
        <v>0</v>
      </c>
    </row>
    <row r="2251" spans="1:13">
      <c r="A2251">
        <v>2249</v>
      </c>
      <c r="B2251" t="s">
        <v>58</v>
      </c>
      <c r="C2251" t="s">
        <v>90</v>
      </c>
      <c r="D2251" t="s">
        <v>108</v>
      </c>
      <c r="E2251" t="s">
        <v>342</v>
      </c>
      <c r="F2251">
        <v>0</v>
      </c>
      <c r="G2251">
        <f>MAX(I2244,I2244,I2011,I2248,I2013,I2249,I2250,I2246,I2247)</f>
        <v>2970683</v>
      </c>
      <c r="H2251">
        <f>'Operations'!I24</f>
        <v>16901</v>
      </c>
      <c r="I2251">
        <f>G2251+H2251</f>
        <v>2987584</v>
      </c>
      <c r="J2251">
        <f>IF(AND(D2251&lt;&gt;"dram",D2251&lt;&gt;"control"),H2251,0)</f>
        <v>16901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360</v>
      </c>
      <c r="C2252" t="s">
        <v>88</v>
      </c>
      <c r="D2252" t="s">
        <v>89</v>
      </c>
      <c r="E2252" t="s">
        <v>342</v>
      </c>
      <c r="F2252">
        <v>0</v>
      </c>
      <c r="G2252">
        <f>MAX(I2245,I2244)</f>
        <v>2953782</v>
      </c>
      <c r="H2252">
        <f>0</f>
        <v>16901</v>
      </c>
      <c r="I2252">
        <f>G2252+H2252</f>
        <v>2970683</v>
      </c>
      <c r="J2252">
        <f>IF(AND(D2252&lt;&gt;"dram",D2252&lt;&gt;"control"),H2252,0)</f>
        <v>0</v>
      </c>
      <c r="K2252">
        <f>IF(D2252="dram",H2252,0)</f>
        <v>0</v>
      </c>
      <c r="L2252">
        <v>0</v>
      </c>
      <c r="M2252">
        <v>0</v>
      </c>
    </row>
    <row r="2253" spans="1:13">
      <c r="A2253">
        <v>2251</v>
      </c>
      <c r="B2253" t="s">
        <v>361</v>
      </c>
      <c r="C2253" t="s">
        <v>92</v>
      </c>
      <c r="D2253" t="s">
        <v>83</v>
      </c>
      <c r="E2253" t="s">
        <v>342</v>
      </c>
      <c r="F2253">
        <v>16</v>
      </c>
      <c r="G2253">
        <f>MAX(I2252,I2250)</f>
        <v>2970683</v>
      </c>
      <c r="H2253">
        <f>CEILING((dram_access_latency+F2253/dram_bandwidth)*frequency,1)</f>
        <v>101</v>
      </c>
      <c r="I2253">
        <f>G2253+H2253</f>
        <v>2970784</v>
      </c>
      <c r="J2253">
        <f>IF(AND(D2253&lt;&gt;"dram",D2253&lt;&gt;"control"),H2253,0)</f>
        <v>0</v>
      </c>
      <c r="K2253">
        <f>IF(D2253="dram",H2253,0)</f>
        <v>101</v>
      </c>
      <c r="L2253">
        <v>0</v>
      </c>
      <c r="M2253">
        <v>16</v>
      </c>
    </row>
    <row r="2254" spans="1:13">
      <c r="A2254">
        <v>2252</v>
      </c>
      <c r="B2254" t="s">
        <v>362</v>
      </c>
      <c r="C2254" t="s">
        <v>92</v>
      </c>
      <c r="D2254" t="s">
        <v>83</v>
      </c>
      <c r="E2254" t="s">
        <v>342</v>
      </c>
      <c r="F2254">
        <v>512</v>
      </c>
      <c r="G2254">
        <f>MAX(I2252,I2253)</f>
        <v>2970784</v>
      </c>
      <c r="H2254">
        <f>CEILING((dram_access_latency+F2254/dram_bandwidth)*frequency,1)</f>
        <v>108</v>
      </c>
      <c r="I2254">
        <f>G2254+H2254</f>
        <v>2970892</v>
      </c>
      <c r="J2254">
        <f>IF(AND(D2254&lt;&gt;"dram",D2254&lt;&gt;"control"),H2254,0)</f>
        <v>0</v>
      </c>
      <c r="K2254">
        <f>IF(D2254="dram",H2254,0)</f>
        <v>108</v>
      </c>
      <c r="L2254">
        <v>0</v>
      </c>
      <c r="M2254">
        <v>512</v>
      </c>
    </row>
    <row r="2255" spans="1:13">
      <c r="A2255">
        <v>2253</v>
      </c>
      <c r="B2255" t="s">
        <v>356</v>
      </c>
      <c r="C2255" t="s">
        <v>82</v>
      </c>
      <c r="D2255" t="s">
        <v>83</v>
      </c>
      <c r="E2255" t="s">
        <v>343</v>
      </c>
      <c r="F2255">
        <v>524288</v>
      </c>
      <c r="G2255">
        <f>MAX(I2252,I2254)</f>
        <v>2970892</v>
      </c>
      <c r="H2255">
        <f>CEILING((dram_access_latency+F2255/dram_bandwidth)*frequency,1)</f>
        <v>8292</v>
      </c>
      <c r="I2255">
        <f>G2255+H2255</f>
        <v>2979184</v>
      </c>
      <c r="J2255">
        <f>IF(AND(D2255&lt;&gt;"dram",D2255&lt;&gt;"control"),H2255,0)</f>
        <v>0</v>
      </c>
      <c r="K2255">
        <f>IF(D2255="dram",H2255,0)</f>
        <v>8292</v>
      </c>
      <c r="L2255">
        <v>524288</v>
      </c>
      <c r="M2255">
        <v>0</v>
      </c>
    </row>
    <row r="2256" spans="1:13">
      <c r="A2256">
        <v>2254</v>
      </c>
      <c r="B2256" t="s">
        <v>358</v>
      </c>
      <c r="C2256" t="s">
        <v>82</v>
      </c>
      <c r="D2256" t="s">
        <v>83</v>
      </c>
      <c r="E2256" t="s">
        <v>343</v>
      </c>
      <c r="F2256">
        <v>16384</v>
      </c>
      <c r="G2256">
        <f>MAX(I2252,I2255)</f>
        <v>2979184</v>
      </c>
      <c r="H2256">
        <f>CEILING((dram_access_latency+F2256/dram_bandwidth)*frequency,1)</f>
        <v>356</v>
      </c>
      <c r="I2256">
        <f>G2256+H2256</f>
        <v>2979540</v>
      </c>
      <c r="J2256">
        <f>IF(AND(D2256&lt;&gt;"dram",D2256&lt;&gt;"control"),H2256,0)</f>
        <v>0</v>
      </c>
      <c r="K2256">
        <f>IF(D2256="dram",H2256,0)</f>
        <v>356</v>
      </c>
      <c r="L2256">
        <v>16384</v>
      </c>
      <c r="M2256">
        <v>0</v>
      </c>
    </row>
    <row r="2257" spans="1:13">
      <c r="A2257">
        <v>2255</v>
      </c>
      <c r="B2257" t="s">
        <v>359</v>
      </c>
      <c r="C2257" t="s">
        <v>82</v>
      </c>
      <c r="D2257" t="s">
        <v>83</v>
      </c>
      <c r="E2257" t="s">
        <v>343</v>
      </c>
      <c r="F2257">
        <v>2048</v>
      </c>
      <c r="G2257">
        <f>MAX(I2252,I2256)</f>
        <v>2979540</v>
      </c>
      <c r="H2257">
        <f>CEILING((dram_access_latency+F2257/dram_bandwidth)*frequency,1)</f>
        <v>132</v>
      </c>
      <c r="I2257">
        <f>G2257+H2257</f>
        <v>2979672</v>
      </c>
      <c r="J2257">
        <f>IF(AND(D2257&lt;&gt;"dram",D2257&lt;&gt;"control"),H2257,0)</f>
        <v>0</v>
      </c>
      <c r="K2257">
        <f>IF(D2257="dram",H2257,0)</f>
        <v>132</v>
      </c>
      <c r="L2257">
        <v>2048</v>
      </c>
      <c r="M2257">
        <v>0</v>
      </c>
    </row>
    <row r="2258" spans="1:13">
      <c r="A2258">
        <v>2256</v>
      </c>
      <c r="B2258" t="s">
        <v>58</v>
      </c>
      <c r="C2258" t="s">
        <v>90</v>
      </c>
      <c r="D2258" t="s">
        <v>108</v>
      </c>
      <c r="E2258" t="s">
        <v>343</v>
      </c>
      <c r="F2258">
        <v>0</v>
      </c>
      <c r="G2258">
        <f>MAX(I2251,I2251,I2011,I2255,I2013,I2256,I2257,I2253,I2254)</f>
        <v>2987584</v>
      </c>
      <c r="H2258">
        <f>'Operations'!I24</f>
        <v>16901</v>
      </c>
      <c r="I2258">
        <f>G2258+H2258</f>
        <v>3004485</v>
      </c>
      <c r="J2258">
        <f>IF(AND(D2258&lt;&gt;"dram",D2258&lt;&gt;"control"),H2258,0)</f>
        <v>16901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360</v>
      </c>
      <c r="C2259" t="s">
        <v>88</v>
      </c>
      <c r="D2259" t="s">
        <v>89</v>
      </c>
      <c r="E2259" t="s">
        <v>343</v>
      </c>
      <c r="F2259">
        <v>0</v>
      </c>
      <c r="G2259">
        <f>MAX(I2252,I2251)</f>
        <v>2970683</v>
      </c>
      <c r="H2259">
        <f>0</f>
        <v>16901</v>
      </c>
      <c r="I2259">
        <f>G2259+H2259</f>
        <v>2987584</v>
      </c>
      <c r="J2259">
        <f>IF(AND(D2259&lt;&gt;"dram",D2259&lt;&gt;"control"),H2259,0)</f>
        <v>0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361</v>
      </c>
      <c r="C2260" t="s">
        <v>92</v>
      </c>
      <c r="D2260" t="s">
        <v>83</v>
      </c>
      <c r="E2260" t="s">
        <v>343</v>
      </c>
      <c r="F2260">
        <v>16</v>
      </c>
      <c r="G2260">
        <f>MAX(I2259,I2257)</f>
        <v>2987584</v>
      </c>
      <c r="H2260">
        <f>CEILING((dram_access_latency+F2260/dram_bandwidth)*frequency,1)</f>
        <v>101</v>
      </c>
      <c r="I2260">
        <f>G2260+H2260</f>
        <v>2987685</v>
      </c>
      <c r="J2260">
        <f>IF(AND(D2260&lt;&gt;"dram",D2260&lt;&gt;"control"),H2260,0)</f>
        <v>0</v>
      </c>
      <c r="K2260">
        <f>IF(D2260="dram",H2260,0)</f>
        <v>101</v>
      </c>
      <c r="L2260">
        <v>0</v>
      </c>
      <c r="M2260">
        <v>16</v>
      </c>
    </row>
    <row r="2261" spans="1:13">
      <c r="A2261">
        <v>2259</v>
      </c>
      <c r="B2261" t="s">
        <v>362</v>
      </c>
      <c r="C2261" t="s">
        <v>92</v>
      </c>
      <c r="D2261" t="s">
        <v>83</v>
      </c>
      <c r="E2261" t="s">
        <v>343</v>
      </c>
      <c r="F2261">
        <v>512</v>
      </c>
      <c r="G2261">
        <f>MAX(I2259,I2260)</f>
        <v>2987685</v>
      </c>
      <c r="H2261">
        <f>CEILING((dram_access_latency+F2261/dram_bandwidth)*frequency,1)</f>
        <v>108</v>
      </c>
      <c r="I2261">
        <f>G2261+H2261</f>
        <v>2987793</v>
      </c>
      <c r="J2261">
        <f>IF(AND(D2261&lt;&gt;"dram",D2261&lt;&gt;"control"),H2261,0)</f>
        <v>0</v>
      </c>
      <c r="K2261">
        <f>IF(D2261="dram",H2261,0)</f>
        <v>108</v>
      </c>
      <c r="L2261">
        <v>0</v>
      </c>
      <c r="M2261">
        <v>512</v>
      </c>
    </row>
    <row r="2262" spans="1:13">
      <c r="A2262">
        <v>2260</v>
      </c>
      <c r="B2262" t="s">
        <v>356</v>
      </c>
      <c r="C2262" t="s">
        <v>82</v>
      </c>
      <c r="D2262" t="s">
        <v>83</v>
      </c>
      <c r="E2262" t="s">
        <v>344</v>
      </c>
      <c r="F2262">
        <v>524288</v>
      </c>
      <c r="G2262">
        <f>MAX(I2259,I2261)</f>
        <v>2987793</v>
      </c>
      <c r="H2262">
        <f>CEILING((dram_access_latency+F2262/dram_bandwidth)*frequency,1)</f>
        <v>8292</v>
      </c>
      <c r="I2262">
        <f>G2262+H2262</f>
        <v>2996085</v>
      </c>
      <c r="J2262">
        <f>IF(AND(D2262&lt;&gt;"dram",D2262&lt;&gt;"control"),H2262,0)</f>
        <v>0</v>
      </c>
      <c r="K2262">
        <f>IF(D2262="dram",H2262,0)</f>
        <v>8292</v>
      </c>
      <c r="L2262">
        <v>524288</v>
      </c>
      <c r="M2262">
        <v>0</v>
      </c>
    </row>
    <row r="2263" spans="1:13">
      <c r="A2263">
        <v>2261</v>
      </c>
      <c r="B2263" t="s">
        <v>358</v>
      </c>
      <c r="C2263" t="s">
        <v>82</v>
      </c>
      <c r="D2263" t="s">
        <v>83</v>
      </c>
      <c r="E2263" t="s">
        <v>344</v>
      </c>
      <c r="F2263">
        <v>16384</v>
      </c>
      <c r="G2263">
        <f>MAX(I2259,I2262)</f>
        <v>2996085</v>
      </c>
      <c r="H2263">
        <f>CEILING((dram_access_latency+F2263/dram_bandwidth)*frequency,1)</f>
        <v>356</v>
      </c>
      <c r="I2263">
        <f>G2263+H2263</f>
        <v>2996441</v>
      </c>
      <c r="J2263">
        <f>IF(AND(D2263&lt;&gt;"dram",D2263&lt;&gt;"control"),H2263,0)</f>
        <v>0</v>
      </c>
      <c r="K2263">
        <f>IF(D2263="dram",H2263,0)</f>
        <v>356</v>
      </c>
      <c r="L2263">
        <v>16384</v>
      </c>
      <c r="M2263">
        <v>0</v>
      </c>
    </row>
    <row r="2264" spans="1:13">
      <c r="A2264">
        <v>2262</v>
      </c>
      <c r="B2264" t="s">
        <v>359</v>
      </c>
      <c r="C2264" t="s">
        <v>82</v>
      </c>
      <c r="D2264" t="s">
        <v>83</v>
      </c>
      <c r="E2264" t="s">
        <v>344</v>
      </c>
      <c r="F2264">
        <v>2048</v>
      </c>
      <c r="G2264">
        <f>MAX(I2259,I2263)</f>
        <v>2996441</v>
      </c>
      <c r="H2264">
        <f>CEILING((dram_access_latency+F2264/dram_bandwidth)*frequency,1)</f>
        <v>132</v>
      </c>
      <c r="I2264">
        <f>G2264+H2264</f>
        <v>2996573</v>
      </c>
      <c r="J2264">
        <f>IF(AND(D2264&lt;&gt;"dram",D2264&lt;&gt;"control"),H2264,0)</f>
        <v>0</v>
      </c>
      <c r="K2264">
        <f>IF(D2264="dram",H2264,0)</f>
        <v>132</v>
      </c>
      <c r="L2264">
        <v>2048</v>
      </c>
      <c r="M2264">
        <v>0</v>
      </c>
    </row>
    <row r="2265" spans="1:13">
      <c r="A2265">
        <v>2263</v>
      </c>
      <c r="B2265" t="s">
        <v>58</v>
      </c>
      <c r="C2265" t="s">
        <v>90</v>
      </c>
      <c r="D2265" t="s">
        <v>108</v>
      </c>
      <c r="E2265" t="s">
        <v>344</v>
      </c>
      <c r="F2265">
        <v>0</v>
      </c>
      <c r="G2265">
        <f>MAX(I2258,I2258,I2011,I2262,I2013,I2263,I2264,I2260,I2261)</f>
        <v>3004485</v>
      </c>
      <c r="H2265">
        <f>'Operations'!I24</f>
        <v>16901</v>
      </c>
      <c r="I2265">
        <f>G2265+H2265</f>
        <v>3021386</v>
      </c>
      <c r="J2265">
        <f>IF(AND(D2265&lt;&gt;"dram",D2265&lt;&gt;"control"),H2265,0)</f>
        <v>16901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360</v>
      </c>
      <c r="C2266" t="s">
        <v>88</v>
      </c>
      <c r="D2266" t="s">
        <v>89</v>
      </c>
      <c r="E2266" t="s">
        <v>344</v>
      </c>
      <c r="F2266">
        <v>0</v>
      </c>
      <c r="G2266">
        <f>MAX(I2259,I2258)</f>
        <v>2987584</v>
      </c>
      <c r="H2266">
        <f>0</f>
        <v>16901</v>
      </c>
      <c r="I2266">
        <f>G2266+H2266</f>
        <v>3004485</v>
      </c>
      <c r="J2266">
        <f>IF(AND(D2266&lt;&gt;"dram",D2266&lt;&gt;"control"),H2266,0)</f>
        <v>0</v>
      </c>
      <c r="K2266">
        <f>IF(D2266="dram",H2266,0)</f>
        <v>0</v>
      </c>
      <c r="L2266">
        <v>0</v>
      </c>
      <c r="M2266">
        <v>0</v>
      </c>
    </row>
    <row r="2267" spans="1:13">
      <c r="A2267">
        <v>2265</v>
      </c>
      <c r="B2267" t="s">
        <v>361</v>
      </c>
      <c r="C2267" t="s">
        <v>92</v>
      </c>
      <c r="D2267" t="s">
        <v>83</v>
      </c>
      <c r="E2267" t="s">
        <v>344</v>
      </c>
      <c r="F2267">
        <v>16</v>
      </c>
      <c r="G2267">
        <f>MAX(I2266,I2264)</f>
        <v>3004485</v>
      </c>
      <c r="H2267">
        <f>CEILING((dram_access_latency+F2267/dram_bandwidth)*frequency,1)</f>
        <v>101</v>
      </c>
      <c r="I2267">
        <f>G2267+H2267</f>
        <v>3004586</v>
      </c>
      <c r="J2267">
        <f>IF(AND(D2267&lt;&gt;"dram",D2267&lt;&gt;"control"),H2267,0)</f>
        <v>0</v>
      </c>
      <c r="K2267">
        <f>IF(D2267="dram",H2267,0)</f>
        <v>101</v>
      </c>
      <c r="L2267">
        <v>0</v>
      </c>
      <c r="M2267">
        <v>16</v>
      </c>
    </row>
    <row r="2268" spans="1:13">
      <c r="A2268">
        <v>2266</v>
      </c>
      <c r="B2268" t="s">
        <v>362</v>
      </c>
      <c r="C2268" t="s">
        <v>92</v>
      </c>
      <c r="D2268" t="s">
        <v>83</v>
      </c>
      <c r="E2268" t="s">
        <v>344</v>
      </c>
      <c r="F2268">
        <v>512</v>
      </c>
      <c r="G2268">
        <f>MAX(I2266,I2267)</f>
        <v>3004586</v>
      </c>
      <c r="H2268">
        <f>CEILING((dram_access_latency+F2268/dram_bandwidth)*frequency,1)</f>
        <v>108</v>
      </c>
      <c r="I2268">
        <f>G2268+H2268</f>
        <v>3004694</v>
      </c>
      <c r="J2268">
        <f>IF(AND(D2268&lt;&gt;"dram",D2268&lt;&gt;"control"),H2268,0)</f>
        <v>0</v>
      </c>
      <c r="K2268">
        <f>IF(D2268="dram",H2268,0)</f>
        <v>108</v>
      </c>
      <c r="L2268">
        <v>0</v>
      </c>
      <c r="M2268">
        <v>512</v>
      </c>
    </row>
    <row r="2269" spans="1:13">
      <c r="A2269">
        <v>2267</v>
      </c>
      <c r="B2269" t="s">
        <v>356</v>
      </c>
      <c r="C2269" t="s">
        <v>82</v>
      </c>
      <c r="D2269" t="s">
        <v>83</v>
      </c>
      <c r="E2269" t="s">
        <v>345</v>
      </c>
      <c r="F2269">
        <v>524288</v>
      </c>
      <c r="G2269">
        <f>MAX(I2266,I2268)</f>
        <v>3004694</v>
      </c>
      <c r="H2269">
        <f>CEILING((dram_access_latency+F2269/dram_bandwidth)*frequency,1)</f>
        <v>8292</v>
      </c>
      <c r="I2269">
        <f>G2269+H2269</f>
        <v>3012986</v>
      </c>
      <c r="J2269">
        <f>IF(AND(D2269&lt;&gt;"dram",D2269&lt;&gt;"control"),H2269,0)</f>
        <v>0</v>
      </c>
      <c r="K2269">
        <f>IF(D2269="dram",H2269,0)</f>
        <v>8292</v>
      </c>
      <c r="L2269">
        <v>524288</v>
      </c>
      <c r="M2269">
        <v>0</v>
      </c>
    </row>
    <row r="2270" spans="1:13">
      <c r="A2270">
        <v>2268</v>
      </c>
      <c r="B2270" t="s">
        <v>358</v>
      </c>
      <c r="C2270" t="s">
        <v>82</v>
      </c>
      <c r="D2270" t="s">
        <v>83</v>
      </c>
      <c r="E2270" t="s">
        <v>345</v>
      </c>
      <c r="F2270">
        <v>16384</v>
      </c>
      <c r="G2270">
        <f>MAX(I2266,I2269)</f>
        <v>3012986</v>
      </c>
      <c r="H2270">
        <f>CEILING((dram_access_latency+F2270/dram_bandwidth)*frequency,1)</f>
        <v>356</v>
      </c>
      <c r="I2270">
        <f>G2270+H2270</f>
        <v>3013342</v>
      </c>
      <c r="J2270">
        <f>IF(AND(D2270&lt;&gt;"dram",D2270&lt;&gt;"control"),H2270,0)</f>
        <v>0</v>
      </c>
      <c r="K2270">
        <f>IF(D2270="dram",H2270,0)</f>
        <v>356</v>
      </c>
      <c r="L2270">
        <v>16384</v>
      </c>
      <c r="M2270">
        <v>0</v>
      </c>
    </row>
    <row r="2271" spans="1:13">
      <c r="A2271">
        <v>2269</v>
      </c>
      <c r="B2271" t="s">
        <v>359</v>
      </c>
      <c r="C2271" t="s">
        <v>82</v>
      </c>
      <c r="D2271" t="s">
        <v>83</v>
      </c>
      <c r="E2271" t="s">
        <v>345</v>
      </c>
      <c r="F2271">
        <v>2048</v>
      </c>
      <c r="G2271">
        <f>MAX(I2266,I2270)</f>
        <v>3013342</v>
      </c>
      <c r="H2271">
        <f>CEILING((dram_access_latency+F2271/dram_bandwidth)*frequency,1)</f>
        <v>132</v>
      </c>
      <c r="I2271">
        <f>G2271+H2271</f>
        <v>3013474</v>
      </c>
      <c r="J2271">
        <f>IF(AND(D2271&lt;&gt;"dram",D2271&lt;&gt;"control"),H2271,0)</f>
        <v>0</v>
      </c>
      <c r="K2271">
        <f>IF(D2271="dram",H2271,0)</f>
        <v>132</v>
      </c>
      <c r="L2271">
        <v>2048</v>
      </c>
      <c r="M2271">
        <v>0</v>
      </c>
    </row>
    <row r="2272" spans="1:13">
      <c r="A2272">
        <v>2270</v>
      </c>
      <c r="B2272" t="s">
        <v>58</v>
      </c>
      <c r="C2272" t="s">
        <v>90</v>
      </c>
      <c r="D2272" t="s">
        <v>108</v>
      </c>
      <c r="E2272" t="s">
        <v>345</v>
      </c>
      <c r="F2272">
        <v>0</v>
      </c>
      <c r="G2272">
        <f>MAX(I2265,I2265,I2011,I2269,I2013,I2270,I2271,I2267,I2268)</f>
        <v>3021386</v>
      </c>
      <c r="H2272">
        <f>'Operations'!I24</f>
        <v>16901</v>
      </c>
      <c r="I2272">
        <f>G2272+H2272</f>
        <v>3038287</v>
      </c>
      <c r="J2272">
        <f>IF(AND(D2272&lt;&gt;"dram",D2272&lt;&gt;"control"),H2272,0)</f>
        <v>16901</v>
      </c>
      <c r="K2272">
        <f>IF(D2272="dram",H2272,0)</f>
        <v>0</v>
      </c>
      <c r="L2272">
        <v>0</v>
      </c>
      <c r="M2272">
        <v>0</v>
      </c>
    </row>
    <row r="2273" spans="1:13">
      <c r="A2273">
        <v>2271</v>
      </c>
      <c r="B2273" t="s">
        <v>360</v>
      </c>
      <c r="C2273" t="s">
        <v>88</v>
      </c>
      <c r="D2273" t="s">
        <v>89</v>
      </c>
      <c r="E2273" t="s">
        <v>345</v>
      </c>
      <c r="F2273">
        <v>0</v>
      </c>
      <c r="G2273">
        <f>MAX(I2266,I2265)</f>
        <v>3004485</v>
      </c>
      <c r="H2273">
        <f>0</f>
        <v>16901</v>
      </c>
      <c r="I2273">
        <f>G2273+H2273</f>
        <v>3021386</v>
      </c>
      <c r="J2273">
        <f>IF(AND(D2273&lt;&gt;"dram",D2273&lt;&gt;"control"),H2273,0)</f>
        <v>0</v>
      </c>
      <c r="K2273">
        <f>IF(D2273="dram",H2273,0)</f>
        <v>0</v>
      </c>
      <c r="L2273">
        <v>0</v>
      </c>
      <c r="M2273">
        <v>0</v>
      </c>
    </row>
    <row r="2274" spans="1:13">
      <c r="A2274">
        <v>2272</v>
      </c>
      <c r="B2274" t="s">
        <v>361</v>
      </c>
      <c r="C2274" t="s">
        <v>92</v>
      </c>
      <c r="D2274" t="s">
        <v>83</v>
      </c>
      <c r="E2274" t="s">
        <v>345</v>
      </c>
      <c r="F2274">
        <v>16</v>
      </c>
      <c r="G2274">
        <f>MAX(I2273,I2271)</f>
        <v>3021386</v>
      </c>
      <c r="H2274">
        <f>CEILING((dram_access_latency+F2274/dram_bandwidth)*frequency,1)</f>
        <v>101</v>
      </c>
      <c r="I2274">
        <f>G2274+H2274</f>
        <v>3021487</v>
      </c>
      <c r="J2274">
        <f>IF(AND(D2274&lt;&gt;"dram",D2274&lt;&gt;"control"),H2274,0)</f>
        <v>0</v>
      </c>
      <c r="K2274">
        <f>IF(D2274="dram",H2274,0)</f>
        <v>101</v>
      </c>
      <c r="L2274">
        <v>0</v>
      </c>
      <c r="M2274">
        <v>16</v>
      </c>
    </row>
    <row r="2275" spans="1:13">
      <c r="A2275">
        <v>2273</v>
      </c>
      <c r="B2275" t="s">
        <v>362</v>
      </c>
      <c r="C2275" t="s">
        <v>92</v>
      </c>
      <c r="D2275" t="s">
        <v>83</v>
      </c>
      <c r="E2275" t="s">
        <v>345</v>
      </c>
      <c r="F2275">
        <v>512</v>
      </c>
      <c r="G2275">
        <f>MAX(I2273,I2274)</f>
        <v>3021487</v>
      </c>
      <c r="H2275">
        <f>CEILING((dram_access_latency+F2275/dram_bandwidth)*frequency,1)</f>
        <v>108</v>
      </c>
      <c r="I2275">
        <f>G2275+H2275</f>
        <v>3021595</v>
      </c>
      <c r="J2275">
        <f>IF(AND(D2275&lt;&gt;"dram",D2275&lt;&gt;"control"),H2275,0)</f>
        <v>0</v>
      </c>
      <c r="K2275">
        <f>IF(D2275="dram",H2275,0)</f>
        <v>108</v>
      </c>
      <c r="L2275">
        <v>0</v>
      </c>
      <c r="M2275">
        <v>512</v>
      </c>
    </row>
    <row r="2276" spans="1:13">
      <c r="A2276">
        <v>2274</v>
      </c>
      <c r="B2276" t="s">
        <v>356</v>
      </c>
      <c r="C2276" t="s">
        <v>82</v>
      </c>
      <c r="D2276" t="s">
        <v>83</v>
      </c>
      <c r="E2276" t="s">
        <v>346</v>
      </c>
      <c r="F2276">
        <v>524288</v>
      </c>
      <c r="G2276">
        <f>MAX(I2273,I2275)</f>
        <v>3021595</v>
      </c>
      <c r="H2276">
        <f>CEILING((dram_access_latency+F2276/dram_bandwidth)*frequency,1)</f>
        <v>8292</v>
      </c>
      <c r="I2276">
        <f>G2276+H2276</f>
        <v>3029887</v>
      </c>
      <c r="J2276">
        <f>IF(AND(D2276&lt;&gt;"dram",D2276&lt;&gt;"control"),H2276,0)</f>
        <v>0</v>
      </c>
      <c r="K2276">
        <f>IF(D2276="dram",H2276,0)</f>
        <v>8292</v>
      </c>
      <c r="L2276">
        <v>524288</v>
      </c>
      <c r="M2276">
        <v>0</v>
      </c>
    </row>
    <row r="2277" spans="1:13">
      <c r="A2277">
        <v>2275</v>
      </c>
      <c r="B2277" t="s">
        <v>358</v>
      </c>
      <c r="C2277" t="s">
        <v>82</v>
      </c>
      <c r="D2277" t="s">
        <v>83</v>
      </c>
      <c r="E2277" t="s">
        <v>346</v>
      </c>
      <c r="F2277">
        <v>16384</v>
      </c>
      <c r="G2277">
        <f>MAX(I2273,I2276)</f>
        <v>3029887</v>
      </c>
      <c r="H2277">
        <f>CEILING((dram_access_latency+F2277/dram_bandwidth)*frequency,1)</f>
        <v>356</v>
      </c>
      <c r="I2277">
        <f>G2277+H2277</f>
        <v>3030243</v>
      </c>
      <c r="J2277">
        <f>IF(AND(D2277&lt;&gt;"dram",D2277&lt;&gt;"control"),H2277,0)</f>
        <v>0</v>
      </c>
      <c r="K2277">
        <f>IF(D2277="dram",H2277,0)</f>
        <v>356</v>
      </c>
      <c r="L2277">
        <v>16384</v>
      </c>
      <c r="M2277">
        <v>0</v>
      </c>
    </row>
    <row r="2278" spans="1:13">
      <c r="A2278">
        <v>2276</v>
      </c>
      <c r="B2278" t="s">
        <v>359</v>
      </c>
      <c r="C2278" t="s">
        <v>82</v>
      </c>
      <c r="D2278" t="s">
        <v>83</v>
      </c>
      <c r="E2278" t="s">
        <v>346</v>
      </c>
      <c r="F2278">
        <v>2048</v>
      </c>
      <c r="G2278">
        <f>MAX(I2273,I2277)</f>
        <v>3030243</v>
      </c>
      <c r="H2278">
        <f>CEILING((dram_access_latency+F2278/dram_bandwidth)*frequency,1)</f>
        <v>132</v>
      </c>
      <c r="I2278">
        <f>G2278+H2278</f>
        <v>3030375</v>
      </c>
      <c r="J2278">
        <f>IF(AND(D2278&lt;&gt;"dram",D2278&lt;&gt;"control"),H2278,0)</f>
        <v>0</v>
      </c>
      <c r="K2278">
        <f>IF(D2278="dram",H2278,0)</f>
        <v>132</v>
      </c>
      <c r="L2278">
        <v>2048</v>
      </c>
      <c r="M2278">
        <v>0</v>
      </c>
    </row>
    <row r="2279" spans="1:13">
      <c r="A2279">
        <v>2277</v>
      </c>
      <c r="B2279" t="s">
        <v>58</v>
      </c>
      <c r="C2279" t="s">
        <v>90</v>
      </c>
      <c r="D2279" t="s">
        <v>108</v>
      </c>
      <c r="E2279" t="s">
        <v>346</v>
      </c>
      <c r="F2279">
        <v>0</v>
      </c>
      <c r="G2279">
        <f>MAX(I2272,I2272,I2011,I2276,I2013,I2277,I2278,I2274,I2275)</f>
        <v>3038287</v>
      </c>
      <c r="H2279">
        <f>'Operations'!I24</f>
        <v>16901</v>
      </c>
      <c r="I2279">
        <f>G2279+H2279</f>
        <v>3055188</v>
      </c>
      <c r="J2279">
        <f>IF(AND(D2279&lt;&gt;"dram",D2279&lt;&gt;"control"),H2279,0)</f>
        <v>16901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360</v>
      </c>
      <c r="C2280" t="s">
        <v>88</v>
      </c>
      <c r="D2280" t="s">
        <v>89</v>
      </c>
      <c r="E2280" t="s">
        <v>346</v>
      </c>
      <c r="F2280">
        <v>0</v>
      </c>
      <c r="G2280">
        <f>MAX(I2273,I2272)</f>
        <v>3021386</v>
      </c>
      <c r="H2280">
        <f>0</f>
        <v>16901</v>
      </c>
      <c r="I2280">
        <f>G2280+H2280</f>
        <v>3038287</v>
      </c>
      <c r="J2280">
        <f>IF(AND(D2280&lt;&gt;"dram",D2280&lt;&gt;"control"),H2280,0)</f>
        <v>0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361</v>
      </c>
      <c r="C2281" t="s">
        <v>92</v>
      </c>
      <c r="D2281" t="s">
        <v>83</v>
      </c>
      <c r="E2281" t="s">
        <v>346</v>
      </c>
      <c r="F2281">
        <v>16</v>
      </c>
      <c r="G2281">
        <f>MAX(I2280,I2278)</f>
        <v>3038287</v>
      </c>
      <c r="H2281">
        <f>CEILING((dram_access_latency+F2281/dram_bandwidth)*frequency,1)</f>
        <v>101</v>
      </c>
      <c r="I2281">
        <f>G2281+H2281</f>
        <v>3038388</v>
      </c>
      <c r="J2281">
        <f>IF(AND(D2281&lt;&gt;"dram",D2281&lt;&gt;"control"),H2281,0)</f>
        <v>0</v>
      </c>
      <c r="K2281">
        <f>IF(D2281="dram",H2281,0)</f>
        <v>101</v>
      </c>
      <c r="L2281">
        <v>0</v>
      </c>
      <c r="M2281">
        <v>16</v>
      </c>
    </row>
    <row r="2282" spans="1:13">
      <c r="A2282">
        <v>2280</v>
      </c>
      <c r="B2282" t="s">
        <v>362</v>
      </c>
      <c r="C2282" t="s">
        <v>92</v>
      </c>
      <c r="D2282" t="s">
        <v>83</v>
      </c>
      <c r="E2282" t="s">
        <v>346</v>
      </c>
      <c r="F2282">
        <v>512</v>
      </c>
      <c r="G2282">
        <f>MAX(I2280,I2281)</f>
        <v>3038388</v>
      </c>
      <c r="H2282">
        <f>CEILING((dram_access_latency+F2282/dram_bandwidth)*frequency,1)</f>
        <v>108</v>
      </c>
      <c r="I2282">
        <f>G2282+H2282</f>
        <v>3038496</v>
      </c>
      <c r="J2282">
        <f>IF(AND(D2282&lt;&gt;"dram",D2282&lt;&gt;"control"),H2282,0)</f>
        <v>0</v>
      </c>
      <c r="K2282">
        <f>IF(D2282="dram",H2282,0)</f>
        <v>108</v>
      </c>
      <c r="L2282">
        <v>0</v>
      </c>
      <c r="M2282">
        <v>512</v>
      </c>
    </row>
    <row r="2283" spans="1:13">
      <c r="A2283">
        <v>2281</v>
      </c>
      <c r="B2283" t="s">
        <v>356</v>
      </c>
      <c r="C2283" t="s">
        <v>82</v>
      </c>
      <c r="D2283" t="s">
        <v>83</v>
      </c>
      <c r="E2283" t="s">
        <v>347</v>
      </c>
      <c r="F2283">
        <v>524288</v>
      </c>
      <c r="G2283">
        <f>MAX(I2280,I2282)</f>
        <v>3038496</v>
      </c>
      <c r="H2283">
        <f>CEILING((dram_access_latency+F2283/dram_bandwidth)*frequency,1)</f>
        <v>8292</v>
      </c>
      <c r="I2283">
        <f>G2283+H2283</f>
        <v>3046788</v>
      </c>
      <c r="J2283">
        <f>IF(AND(D2283&lt;&gt;"dram",D2283&lt;&gt;"control"),H2283,0)</f>
        <v>0</v>
      </c>
      <c r="K2283">
        <f>IF(D2283="dram",H2283,0)</f>
        <v>8292</v>
      </c>
      <c r="L2283">
        <v>524288</v>
      </c>
      <c r="M2283">
        <v>0</v>
      </c>
    </row>
    <row r="2284" spans="1:13">
      <c r="A2284">
        <v>2282</v>
      </c>
      <c r="B2284" t="s">
        <v>358</v>
      </c>
      <c r="C2284" t="s">
        <v>82</v>
      </c>
      <c r="D2284" t="s">
        <v>83</v>
      </c>
      <c r="E2284" t="s">
        <v>347</v>
      </c>
      <c r="F2284">
        <v>16384</v>
      </c>
      <c r="G2284">
        <f>MAX(I2280,I2283)</f>
        <v>3046788</v>
      </c>
      <c r="H2284">
        <f>CEILING((dram_access_latency+F2284/dram_bandwidth)*frequency,1)</f>
        <v>356</v>
      </c>
      <c r="I2284">
        <f>G2284+H2284</f>
        <v>3047144</v>
      </c>
      <c r="J2284">
        <f>IF(AND(D2284&lt;&gt;"dram",D2284&lt;&gt;"control"),H2284,0)</f>
        <v>0</v>
      </c>
      <c r="K2284">
        <f>IF(D2284="dram",H2284,0)</f>
        <v>356</v>
      </c>
      <c r="L2284">
        <v>16384</v>
      </c>
      <c r="M2284">
        <v>0</v>
      </c>
    </row>
    <row r="2285" spans="1:13">
      <c r="A2285">
        <v>2283</v>
      </c>
      <c r="B2285" t="s">
        <v>359</v>
      </c>
      <c r="C2285" t="s">
        <v>82</v>
      </c>
      <c r="D2285" t="s">
        <v>83</v>
      </c>
      <c r="E2285" t="s">
        <v>347</v>
      </c>
      <c r="F2285">
        <v>2048</v>
      </c>
      <c r="G2285">
        <f>MAX(I2280,I2284)</f>
        <v>3047144</v>
      </c>
      <c r="H2285">
        <f>CEILING((dram_access_latency+F2285/dram_bandwidth)*frequency,1)</f>
        <v>132</v>
      </c>
      <c r="I2285">
        <f>G2285+H2285</f>
        <v>3047276</v>
      </c>
      <c r="J2285">
        <f>IF(AND(D2285&lt;&gt;"dram",D2285&lt;&gt;"control"),H2285,0)</f>
        <v>0</v>
      </c>
      <c r="K2285">
        <f>IF(D2285="dram",H2285,0)</f>
        <v>132</v>
      </c>
      <c r="L2285">
        <v>2048</v>
      </c>
      <c r="M2285">
        <v>0</v>
      </c>
    </row>
    <row r="2286" spans="1:13">
      <c r="A2286">
        <v>2284</v>
      </c>
      <c r="B2286" t="s">
        <v>58</v>
      </c>
      <c r="C2286" t="s">
        <v>90</v>
      </c>
      <c r="D2286" t="s">
        <v>108</v>
      </c>
      <c r="E2286" t="s">
        <v>347</v>
      </c>
      <c r="F2286">
        <v>0</v>
      </c>
      <c r="G2286">
        <f>MAX(I2279,I2279,I2011,I2283,I2013,I2284,I2285,I2281,I2282)</f>
        <v>3055188</v>
      </c>
      <c r="H2286">
        <f>'Operations'!I24</f>
        <v>16901</v>
      </c>
      <c r="I2286">
        <f>G2286+H2286</f>
        <v>3072089</v>
      </c>
      <c r="J2286">
        <f>IF(AND(D2286&lt;&gt;"dram",D2286&lt;&gt;"control"),H2286,0)</f>
        <v>16901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360</v>
      </c>
      <c r="C2287" t="s">
        <v>88</v>
      </c>
      <c r="D2287" t="s">
        <v>89</v>
      </c>
      <c r="E2287" t="s">
        <v>347</v>
      </c>
      <c r="F2287">
        <v>0</v>
      </c>
      <c r="G2287">
        <f>MAX(I2280,I2279)</f>
        <v>3038287</v>
      </c>
      <c r="H2287">
        <f>0</f>
        <v>16901</v>
      </c>
      <c r="I2287">
        <f>G2287+H2287</f>
        <v>3055188</v>
      </c>
      <c r="J2287">
        <f>IF(AND(D2287&lt;&gt;"dram",D2287&lt;&gt;"control"),H2287,0)</f>
        <v>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361</v>
      </c>
      <c r="C2288" t="s">
        <v>92</v>
      </c>
      <c r="D2288" t="s">
        <v>83</v>
      </c>
      <c r="E2288" t="s">
        <v>347</v>
      </c>
      <c r="F2288">
        <v>16</v>
      </c>
      <c r="G2288">
        <f>MAX(I2287,I2285)</f>
        <v>3055188</v>
      </c>
      <c r="H2288">
        <f>CEILING((dram_access_latency+F2288/dram_bandwidth)*frequency,1)</f>
        <v>101</v>
      </c>
      <c r="I2288">
        <f>G2288+H2288</f>
        <v>3055289</v>
      </c>
      <c r="J2288">
        <f>IF(AND(D2288&lt;&gt;"dram",D2288&lt;&gt;"control"),H2288,0)</f>
        <v>0</v>
      </c>
      <c r="K2288">
        <f>IF(D2288="dram",H2288,0)</f>
        <v>101</v>
      </c>
      <c r="L2288">
        <v>0</v>
      </c>
      <c r="M2288">
        <v>16</v>
      </c>
    </row>
    <row r="2289" spans="1:13">
      <c r="A2289">
        <v>2287</v>
      </c>
      <c r="B2289" t="s">
        <v>362</v>
      </c>
      <c r="C2289" t="s">
        <v>92</v>
      </c>
      <c r="D2289" t="s">
        <v>83</v>
      </c>
      <c r="E2289" t="s">
        <v>347</v>
      </c>
      <c r="F2289">
        <v>512</v>
      </c>
      <c r="G2289">
        <f>MAX(I2287,I2288)</f>
        <v>3055289</v>
      </c>
      <c r="H2289">
        <f>CEILING((dram_access_latency+F2289/dram_bandwidth)*frequency,1)</f>
        <v>108</v>
      </c>
      <c r="I2289">
        <f>G2289+H2289</f>
        <v>3055397</v>
      </c>
      <c r="J2289">
        <f>IF(AND(D2289&lt;&gt;"dram",D2289&lt;&gt;"control"),H2289,0)</f>
        <v>0</v>
      </c>
      <c r="K2289">
        <f>IF(D2289="dram",H2289,0)</f>
        <v>108</v>
      </c>
      <c r="L2289">
        <v>0</v>
      </c>
      <c r="M2289">
        <v>512</v>
      </c>
    </row>
    <row r="2290" spans="1:13">
      <c r="A2290">
        <v>2288</v>
      </c>
      <c r="B2290" t="s">
        <v>356</v>
      </c>
      <c r="C2290" t="s">
        <v>82</v>
      </c>
      <c r="D2290" t="s">
        <v>83</v>
      </c>
      <c r="E2290" t="s">
        <v>348</v>
      </c>
      <c r="F2290">
        <v>524288</v>
      </c>
      <c r="G2290">
        <f>MAX(I2287,I2289)</f>
        <v>3055397</v>
      </c>
      <c r="H2290">
        <f>CEILING((dram_access_latency+F2290/dram_bandwidth)*frequency,1)</f>
        <v>8292</v>
      </c>
      <c r="I2290">
        <f>G2290+H2290</f>
        <v>3063689</v>
      </c>
      <c r="J2290">
        <f>IF(AND(D2290&lt;&gt;"dram",D2290&lt;&gt;"control"),H2290,0)</f>
        <v>0</v>
      </c>
      <c r="K2290">
        <f>IF(D2290="dram",H2290,0)</f>
        <v>8292</v>
      </c>
      <c r="L2290">
        <v>524288</v>
      </c>
      <c r="M2290">
        <v>0</v>
      </c>
    </row>
    <row r="2291" spans="1:13">
      <c r="A2291">
        <v>2289</v>
      </c>
      <c r="B2291" t="s">
        <v>358</v>
      </c>
      <c r="C2291" t="s">
        <v>82</v>
      </c>
      <c r="D2291" t="s">
        <v>83</v>
      </c>
      <c r="E2291" t="s">
        <v>348</v>
      </c>
      <c r="F2291">
        <v>16384</v>
      </c>
      <c r="G2291">
        <f>MAX(I2287,I2290)</f>
        <v>3063689</v>
      </c>
      <c r="H2291">
        <f>CEILING((dram_access_latency+F2291/dram_bandwidth)*frequency,1)</f>
        <v>356</v>
      </c>
      <c r="I2291">
        <f>G2291+H2291</f>
        <v>3064045</v>
      </c>
      <c r="J2291">
        <f>IF(AND(D2291&lt;&gt;"dram",D2291&lt;&gt;"control"),H2291,0)</f>
        <v>0</v>
      </c>
      <c r="K2291">
        <f>IF(D2291="dram",H2291,0)</f>
        <v>356</v>
      </c>
      <c r="L2291">
        <v>16384</v>
      </c>
      <c r="M2291">
        <v>0</v>
      </c>
    </row>
    <row r="2292" spans="1:13">
      <c r="A2292">
        <v>2290</v>
      </c>
      <c r="B2292" t="s">
        <v>359</v>
      </c>
      <c r="C2292" t="s">
        <v>82</v>
      </c>
      <c r="D2292" t="s">
        <v>83</v>
      </c>
      <c r="E2292" t="s">
        <v>348</v>
      </c>
      <c r="F2292">
        <v>2048</v>
      </c>
      <c r="G2292">
        <f>MAX(I2287,I2291)</f>
        <v>3064045</v>
      </c>
      <c r="H2292">
        <f>CEILING((dram_access_latency+F2292/dram_bandwidth)*frequency,1)</f>
        <v>132</v>
      </c>
      <c r="I2292">
        <f>G2292+H2292</f>
        <v>3064177</v>
      </c>
      <c r="J2292">
        <f>IF(AND(D2292&lt;&gt;"dram",D2292&lt;&gt;"control"),H2292,0)</f>
        <v>0</v>
      </c>
      <c r="K2292">
        <f>IF(D2292="dram",H2292,0)</f>
        <v>132</v>
      </c>
      <c r="L2292">
        <v>2048</v>
      </c>
      <c r="M2292">
        <v>0</v>
      </c>
    </row>
    <row r="2293" spans="1:13">
      <c r="A2293">
        <v>2291</v>
      </c>
      <c r="B2293" t="s">
        <v>58</v>
      </c>
      <c r="C2293" t="s">
        <v>90</v>
      </c>
      <c r="D2293" t="s">
        <v>108</v>
      </c>
      <c r="E2293" t="s">
        <v>348</v>
      </c>
      <c r="F2293">
        <v>0</v>
      </c>
      <c r="G2293">
        <f>MAX(I2286,I2286,I2011,I2290,I2013,I2291,I2292,I2288,I2289)</f>
        <v>3072089</v>
      </c>
      <c r="H2293">
        <f>'Operations'!I24</f>
        <v>16901</v>
      </c>
      <c r="I2293">
        <f>G2293+H2293</f>
        <v>3088990</v>
      </c>
      <c r="J2293">
        <f>IF(AND(D2293&lt;&gt;"dram",D2293&lt;&gt;"control"),H2293,0)</f>
        <v>16901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360</v>
      </c>
      <c r="C2294" t="s">
        <v>88</v>
      </c>
      <c r="D2294" t="s">
        <v>89</v>
      </c>
      <c r="E2294" t="s">
        <v>348</v>
      </c>
      <c r="F2294">
        <v>0</v>
      </c>
      <c r="G2294">
        <f>MAX(I2287,I2286)</f>
        <v>3055188</v>
      </c>
      <c r="H2294">
        <f>0</f>
        <v>16901</v>
      </c>
      <c r="I2294">
        <f>G2294+H2294</f>
        <v>3072089</v>
      </c>
      <c r="J2294">
        <f>IF(AND(D2294&lt;&gt;"dram",D2294&lt;&gt;"control"),H2294,0)</f>
        <v>0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361</v>
      </c>
      <c r="C2295" t="s">
        <v>92</v>
      </c>
      <c r="D2295" t="s">
        <v>83</v>
      </c>
      <c r="E2295" t="s">
        <v>348</v>
      </c>
      <c r="F2295">
        <v>16</v>
      </c>
      <c r="G2295">
        <f>MAX(I2294,I2292)</f>
        <v>3072089</v>
      </c>
      <c r="H2295">
        <f>CEILING((dram_access_latency+F2295/dram_bandwidth)*frequency,1)</f>
        <v>101</v>
      </c>
      <c r="I2295">
        <f>G2295+H2295</f>
        <v>3072190</v>
      </c>
      <c r="J2295">
        <f>IF(AND(D2295&lt;&gt;"dram",D2295&lt;&gt;"control"),H2295,0)</f>
        <v>0</v>
      </c>
      <c r="K2295">
        <f>IF(D2295="dram",H2295,0)</f>
        <v>101</v>
      </c>
      <c r="L2295">
        <v>0</v>
      </c>
      <c r="M2295">
        <v>16</v>
      </c>
    </row>
    <row r="2296" spans="1:13">
      <c r="A2296">
        <v>2294</v>
      </c>
      <c r="B2296" t="s">
        <v>362</v>
      </c>
      <c r="C2296" t="s">
        <v>92</v>
      </c>
      <c r="D2296" t="s">
        <v>83</v>
      </c>
      <c r="E2296" t="s">
        <v>348</v>
      </c>
      <c r="F2296">
        <v>512</v>
      </c>
      <c r="G2296">
        <f>MAX(I2294,I2295)</f>
        <v>3072190</v>
      </c>
      <c r="H2296">
        <f>CEILING((dram_access_latency+F2296/dram_bandwidth)*frequency,1)</f>
        <v>108</v>
      </c>
      <c r="I2296">
        <f>G2296+H2296</f>
        <v>3072298</v>
      </c>
      <c r="J2296">
        <f>IF(AND(D2296&lt;&gt;"dram",D2296&lt;&gt;"control"),H2296,0)</f>
        <v>0</v>
      </c>
      <c r="K2296">
        <f>IF(D2296="dram",H2296,0)</f>
        <v>108</v>
      </c>
      <c r="L2296">
        <v>0</v>
      </c>
      <c r="M2296">
        <v>512</v>
      </c>
    </row>
    <row r="2297" spans="1:13">
      <c r="A2297">
        <v>2295</v>
      </c>
      <c r="B2297" t="s">
        <v>356</v>
      </c>
      <c r="C2297" t="s">
        <v>82</v>
      </c>
      <c r="D2297" t="s">
        <v>83</v>
      </c>
      <c r="E2297" t="s">
        <v>349</v>
      </c>
      <c r="F2297">
        <v>524288</v>
      </c>
      <c r="G2297">
        <f>MAX(I2294,I2296)</f>
        <v>3072298</v>
      </c>
      <c r="H2297">
        <f>CEILING((dram_access_latency+F2297/dram_bandwidth)*frequency,1)</f>
        <v>8292</v>
      </c>
      <c r="I2297">
        <f>G2297+H2297</f>
        <v>3080590</v>
      </c>
      <c r="J2297">
        <f>IF(AND(D2297&lt;&gt;"dram",D2297&lt;&gt;"control"),H2297,0)</f>
        <v>0</v>
      </c>
      <c r="K2297">
        <f>IF(D2297="dram",H2297,0)</f>
        <v>8292</v>
      </c>
      <c r="L2297">
        <v>524288</v>
      </c>
      <c r="M2297">
        <v>0</v>
      </c>
    </row>
    <row r="2298" spans="1:13">
      <c r="A2298">
        <v>2296</v>
      </c>
      <c r="B2298" t="s">
        <v>358</v>
      </c>
      <c r="C2298" t="s">
        <v>82</v>
      </c>
      <c r="D2298" t="s">
        <v>83</v>
      </c>
      <c r="E2298" t="s">
        <v>349</v>
      </c>
      <c r="F2298">
        <v>16384</v>
      </c>
      <c r="G2298">
        <f>MAX(I2294,I2297)</f>
        <v>3080590</v>
      </c>
      <c r="H2298">
        <f>CEILING((dram_access_latency+F2298/dram_bandwidth)*frequency,1)</f>
        <v>356</v>
      </c>
      <c r="I2298">
        <f>G2298+H2298</f>
        <v>3080946</v>
      </c>
      <c r="J2298">
        <f>IF(AND(D2298&lt;&gt;"dram",D2298&lt;&gt;"control"),H2298,0)</f>
        <v>0</v>
      </c>
      <c r="K2298">
        <f>IF(D2298="dram",H2298,0)</f>
        <v>356</v>
      </c>
      <c r="L2298">
        <v>16384</v>
      </c>
      <c r="M2298">
        <v>0</v>
      </c>
    </row>
    <row r="2299" spans="1:13">
      <c r="A2299">
        <v>2297</v>
      </c>
      <c r="B2299" t="s">
        <v>359</v>
      </c>
      <c r="C2299" t="s">
        <v>82</v>
      </c>
      <c r="D2299" t="s">
        <v>83</v>
      </c>
      <c r="E2299" t="s">
        <v>349</v>
      </c>
      <c r="F2299">
        <v>2048</v>
      </c>
      <c r="G2299">
        <f>MAX(I2294,I2298)</f>
        <v>3080946</v>
      </c>
      <c r="H2299">
        <f>CEILING((dram_access_latency+F2299/dram_bandwidth)*frequency,1)</f>
        <v>132</v>
      </c>
      <c r="I2299">
        <f>G2299+H2299</f>
        <v>3081078</v>
      </c>
      <c r="J2299">
        <f>IF(AND(D2299&lt;&gt;"dram",D2299&lt;&gt;"control"),H2299,0)</f>
        <v>0</v>
      </c>
      <c r="K2299">
        <f>IF(D2299="dram",H2299,0)</f>
        <v>132</v>
      </c>
      <c r="L2299">
        <v>2048</v>
      </c>
      <c r="M2299">
        <v>0</v>
      </c>
    </row>
    <row r="2300" spans="1:13">
      <c r="A2300">
        <v>2298</v>
      </c>
      <c r="B2300" t="s">
        <v>58</v>
      </c>
      <c r="C2300" t="s">
        <v>90</v>
      </c>
      <c r="D2300" t="s">
        <v>108</v>
      </c>
      <c r="E2300" t="s">
        <v>349</v>
      </c>
      <c r="F2300">
        <v>0</v>
      </c>
      <c r="G2300">
        <f>MAX(I2293,I2293,I2011,I2297,I2013,I2298,I2299,I2295,I2296)</f>
        <v>3088990</v>
      </c>
      <c r="H2300">
        <f>'Operations'!I24</f>
        <v>16901</v>
      </c>
      <c r="I2300">
        <f>G2300+H2300</f>
        <v>3105891</v>
      </c>
      <c r="J2300">
        <f>IF(AND(D2300&lt;&gt;"dram",D2300&lt;&gt;"control"),H2300,0)</f>
        <v>16901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360</v>
      </c>
      <c r="C2301" t="s">
        <v>88</v>
      </c>
      <c r="D2301" t="s">
        <v>89</v>
      </c>
      <c r="E2301" t="s">
        <v>349</v>
      </c>
      <c r="F2301">
        <v>0</v>
      </c>
      <c r="G2301">
        <f>MAX(I2294,I2293)</f>
        <v>3072089</v>
      </c>
      <c r="H2301">
        <f>0</f>
        <v>16901</v>
      </c>
      <c r="I2301">
        <f>G2301+H2301</f>
        <v>3088990</v>
      </c>
      <c r="J2301">
        <f>IF(AND(D2301&lt;&gt;"dram",D2301&lt;&gt;"control"),H2301,0)</f>
        <v>0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361</v>
      </c>
      <c r="C2302" t="s">
        <v>92</v>
      </c>
      <c r="D2302" t="s">
        <v>83</v>
      </c>
      <c r="E2302" t="s">
        <v>349</v>
      </c>
      <c r="F2302">
        <v>16</v>
      </c>
      <c r="G2302">
        <f>MAX(I2301,I2299)</f>
        <v>3088990</v>
      </c>
      <c r="H2302">
        <f>CEILING((dram_access_latency+F2302/dram_bandwidth)*frequency,1)</f>
        <v>101</v>
      </c>
      <c r="I2302">
        <f>G2302+H2302</f>
        <v>3089091</v>
      </c>
      <c r="J2302">
        <f>IF(AND(D2302&lt;&gt;"dram",D2302&lt;&gt;"control"),H2302,0)</f>
        <v>0</v>
      </c>
      <c r="K2302">
        <f>IF(D2302="dram",H2302,0)</f>
        <v>101</v>
      </c>
      <c r="L2302">
        <v>0</v>
      </c>
      <c r="M2302">
        <v>16</v>
      </c>
    </row>
    <row r="2303" spans="1:13">
      <c r="A2303">
        <v>2301</v>
      </c>
      <c r="B2303" t="s">
        <v>362</v>
      </c>
      <c r="C2303" t="s">
        <v>92</v>
      </c>
      <c r="D2303" t="s">
        <v>83</v>
      </c>
      <c r="E2303" t="s">
        <v>349</v>
      </c>
      <c r="F2303">
        <v>512</v>
      </c>
      <c r="G2303">
        <f>MAX(I2301,I2302)</f>
        <v>3089091</v>
      </c>
      <c r="H2303">
        <f>CEILING((dram_access_latency+F2303/dram_bandwidth)*frequency,1)</f>
        <v>108</v>
      </c>
      <c r="I2303">
        <f>G2303+H2303</f>
        <v>3089199</v>
      </c>
      <c r="J2303">
        <f>IF(AND(D2303&lt;&gt;"dram",D2303&lt;&gt;"control"),H2303,0)</f>
        <v>0</v>
      </c>
      <c r="K2303">
        <f>IF(D2303="dram",H2303,0)</f>
        <v>108</v>
      </c>
      <c r="L2303">
        <v>0</v>
      </c>
      <c r="M2303">
        <v>512</v>
      </c>
    </row>
    <row r="2304" spans="1:13">
      <c r="A2304">
        <v>2302</v>
      </c>
      <c r="B2304" t="s">
        <v>356</v>
      </c>
      <c r="C2304" t="s">
        <v>82</v>
      </c>
      <c r="D2304" t="s">
        <v>83</v>
      </c>
      <c r="E2304" t="s">
        <v>350</v>
      </c>
      <c r="F2304">
        <v>524288</v>
      </c>
      <c r="G2304">
        <f>MAX(I2301,I2303)</f>
        <v>3089199</v>
      </c>
      <c r="H2304">
        <f>CEILING((dram_access_latency+F2304/dram_bandwidth)*frequency,1)</f>
        <v>8292</v>
      </c>
      <c r="I2304">
        <f>G2304+H2304</f>
        <v>3097491</v>
      </c>
      <c r="J2304">
        <f>IF(AND(D2304&lt;&gt;"dram",D2304&lt;&gt;"control"),H2304,0)</f>
        <v>0</v>
      </c>
      <c r="K2304">
        <f>IF(D2304="dram",H2304,0)</f>
        <v>8292</v>
      </c>
      <c r="L2304">
        <v>524288</v>
      </c>
      <c r="M2304">
        <v>0</v>
      </c>
    </row>
    <row r="2305" spans="1:13">
      <c r="A2305">
        <v>2303</v>
      </c>
      <c r="B2305" t="s">
        <v>358</v>
      </c>
      <c r="C2305" t="s">
        <v>82</v>
      </c>
      <c r="D2305" t="s">
        <v>83</v>
      </c>
      <c r="E2305" t="s">
        <v>350</v>
      </c>
      <c r="F2305">
        <v>16384</v>
      </c>
      <c r="G2305">
        <f>MAX(I2301,I2304)</f>
        <v>3097491</v>
      </c>
      <c r="H2305">
        <f>CEILING((dram_access_latency+F2305/dram_bandwidth)*frequency,1)</f>
        <v>356</v>
      </c>
      <c r="I2305">
        <f>G2305+H2305</f>
        <v>3097847</v>
      </c>
      <c r="J2305">
        <f>IF(AND(D2305&lt;&gt;"dram",D2305&lt;&gt;"control"),H2305,0)</f>
        <v>0</v>
      </c>
      <c r="K2305">
        <f>IF(D2305="dram",H2305,0)</f>
        <v>356</v>
      </c>
      <c r="L2305">
        <v>16384</v>
      </c>
      <c r="M2305">
        <v>0</v>
      </c>
    </row>
    <row r="2306" spans="1:13">
      <c r="A2306">
        <v>2304</v>
      </c>
      <c r="B2306" t="s">
        <v>359</v>
      </c>
      <c r="C2306" t="s">
        <v>82</v>
      </c>
      <c r="D2306" t="s">
        <v>83</v>
      </c>
      <c r="E2306" t="s">
        <v>350</v>
      </c>
      <c r="F2306">
        <v>2048</v>
      </c>
      <c r="G2306">
        <f>MAX(I2301,I2305)</f>
        <v>3097847</v>
      </c>
      <c r="H2306">
        <f>CEILING((dram_access_latency+F2306/dram_bandwidth)*frequency,1)</f>
        <v>132</v>
      </c>
      <c r="I2306">
        <f>G2306+H2306</f>
        <v>3097979</v>
      </c>
      <c r="J2306">
        <f>IF(AND(D2306&lt;&gt;"dram",D2306&lt;&gt;"control"),H2306,0)</f>
        <v>0</v>
      </c>
      <c r="K2306">
        <f>IF(D2306="dram",H2306,0)</f>
        <v>132</v>
      </c>
      <c r="L2306">
        <v>2048</v>
      </c>
      <c r="M2306">
        <v>0</v>
      </c>
    </row>
    <row r="2307" spans="1:13">
      <c r="A2307">
        <v>2305</v>
      </c>
      <c r="B2307" t="s">
        <v>58</v>
      </c>
      <c r="C2307" t="s">
        <v>90</v>
      </c>
      <c r="D2307" t="s">
        <v>108</v>
      </c>
      <c r="E2307" t="s">
        <v>350</v>
      </c>
      <c r="F2307">
        <v>0</v>
      </c>
      <c r="G2307">
        <f>MAX(I2300,I2300,I2011,I2304,I2013,I2305,I2306,I2302,I2303)</f>
        <v>3105891</v>
      </c>
      <c r="H2307">
        <f>'Operations'!I24</f>
        <v>16901</v>
      </c>
      <c r="I2307">
        <f>G2307+H2307</f>
        <v>3122792</v>
      </c>
      <c r="J2307">
        <f>IF(AND(D2307&lt;&gt;"dram",D2307&lt;&gt;"control"),H2307,0)</f>
        <v>16901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360</v>
      </c>
      <c r="C2308" t="s">
        <v>88</v>
      </c>
      <c r="D2308" t="s">
        <v>89</v>
      </c>
      <c r="E2308" t="s">
        <v>350</v>
      </c>
      <c r="F2308">
        <v>0</v>
      </c>
      <c r="G2308">
        <f>MAX(I2301,I2300)</f>
        <v>3088990</v>
      </c>
      <c r="H2308">
        <f>0</f>
        <v>16901</v>
      </c>
      <c r="I2308">
        <f>G2308+H2308</f>
        <v>3105891</v>
      </c>
      <c r="J2308">
        <f>IF(AND(D2308&lt;&gt;"dram",D2308&lt;&gt;"control"),H2308,0)</f>
        <v>0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361</v>
      </c>
      <c r="C2309" t="s">
        <v>92</v>
      </c>
      <c r="D2309" t="s">
        <v>83</v>
      </c>
      <c r="E2309" t="s">
        <v>350</v>
      </c>
      <c r="F2309">
        <v>16</v>
      </c>
      <c r="G2309">
        <f>MAX(I2308,I2306)</f>
        <v>3105891</v>
      </c>
      <c r="H2309">
        <f>CEILING((dram_access_latency+F2309/dram_bandwidth)*frequency,1)</f>
        <v>101</v>
      </c>
      <c r="I2309">
        <f>G2309+H2309</f>
        <v>3105992</v>
      </c>
      <c r="J2309">
        <f>IF(AND(D2309&lt;&gt;"dram",D2309&lt;&gt;"control"),H2309,0)</f>
        <v>0</v>
      </c>
      <c r="K2309">
        <f>IF(D2309="dram",H2309,0)</f>
        <v>101</v>
      </c>
      <c r="L2309">
        <v>0</v>
      </c>
      <c r="M2309">
        <v>16</v>
      </c>
    </row>
    <row r="2310" spans="1:13">
      <c r="A2310">
        <v>2308</v>
      </c>
      <c r="B2310" t="s">
        <v>362</v>
      </c>
      <c r="C2310" t="s">
        <v>92</v>
      </c>
      <c r="D2310" t="s">
        <v>83</v>
      </c>
      <c r="E2310" t="s">
        <v>350</v>
      </c>
      <c r="F2310">
        <v>512</v>
      </c>
      <c r="G2310">
        <f>MAX(I2308,I2309)</f>
        <v>3105992</v>
      </c>
      <c r="H2310">
        <f>CEILING((dram_access_latency+F2310/dram_bandwidth)*frequency,1)</f>
        <v>108</v>
      </c>
      <c r="I2310">
        <f>G2310+H2310</f>
        <v>3106100</v>
      </c>
      <c r="J2310">
        <f>IF(AND(D2310&lt;&gt;"dram",D2310&lt;&gt;"control"),H2310,0)</f>
        <v>0</v>
      </c>
      <c r="K2310">
        <f>IF(D2310="dram",H2310,0)</f>
        <v>108</v>
      </c>
      <c r="L2310">
        <v>0</v>
      </c>
      <c r="M2310">
        <v>512</v>
      </c>
    </row>
    <row r="2311" spans="1:13">
      <c r="A2311">
        <v>2309</v>
      </c>
      <c r="B2311" t="s">
        <v>363</v>
      </c>
      <c r="C2311" t="s">
        <v>88</v>
      </c>
      <c r="D2311" t="s">
        <v>89</v>
      </c>
      <c r="E2311" t="s">
        <v>84</v>
      </c>
      <c r="F2311">
        <v>0</v>
      </c>
      <c r="G2311">
        <f>MAX(I2308,I2307)</f>
        <v>3105891</v>
      </c>
      <c r="H2311">
        <f>0</f>
        <v>16901</v>
      </c>
      <c r="I2311">
        <f>G2311+H2311</f>
        <v>3122792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364</v>
      </c>
      <c r="C2312" t="s">
        <v>92</v>
      </c>
      <c r="D2312" t="s">
        <v>83</v>
      </c>
      <c r="E2312" t="s">
        <v>84</v>
      </c>
      <c r="F2312">
        <v>16</v>
      </c>
      <c r="G2312">
        <f>MAX(I2311,I2310)</f>
        <v>3122792</v>
      </c>
      <c r="H2312">
        <f>CEILING((dram_access_latency+F2312/dram_bandwidth)*frequency,1)</f>
        <v>101</v>
      </c>
      <c r="I2312">
        <f>G2312+H2312</f>
        <v>3122893</v>
      </c>
      <c r="J2312">
        <f>IF(AND(D2312&lt;&gt;"dram",D2312&lt;&gt;"control"),H2312,0)</f>
        <v>0</v>
      </c>
      <c r="K2312">
        <f>IF(D2312="dram",H2312,0)</f>
        <v>101</v>
      </c>
      <c r="L2312">
        <v>0</v>
      </c>
      <c r="M2312">
        <v>16</v>
      </c>
    </row>
    <row r="2313" spans="1:13">
      <c r="A2313">
        <v>2311</v>
      </c>
      <c r="B2313" t="s">
        <v>365</v>
      </c>
      <c r="C2313" t="s">
        <v>92</v>
      </c>
      <c r="D2313" t="s">
        <v>83</v>
      </c>
      <c r="E2313" t="s">
        <v>84</v>
      </c>
      <c r="F2313">
        <v>512</v>
      </c>
      <c r="G2313">
        <f>MAX(I2311,I2312)</f>
        <v>3122893</v>
      </c>
      <c r="H2313">
        <f>CEILING((dram_access_latency+F2313/dram_bandwidth)*frequency,1)</f>
        <v>108</v>
      </c>
      <c r="I2313">
        <f>G2313+H2313</f>
        <v>3123001</v>
      </c>
      <c r="J2313">
        <f>IF(AND(D2313&lt;&gt;"dram",D2313&lt;&gt;"control"),H2313,0)</f>
        <v>0</v>
      </c>
      <c r="K2313">
        <f>IF(D2313="dram",H2313,0)</f>
        <v>108</v>
      </c>
      <c r="L2313">
        <v>0</v>
      </c>
      <c r="M2313">
        <v>512</v>
      </c>
    </row>
    <row r="2314" spans="1:13">
      <c r="A2314">
        <v>2312</v>
      </c>
      <c r="B2314" t="s">
        <v>366</v>
      </c>
      <c r="C2314" t="s">
        <v>88</v>
      </c>
      <c r="D2314" t="s">
        <v>89</v>
      </c>
      <c r="E2314" t="s">
        <v>84</v>
      </c>
      <c r="F2314">
        <v>0</v>
      </c>
      <c r="G2314">
        <f>MAX(I2311,I2312)</f>
        <v>3122792</v>
      </c>
      <c r="H2314">
        <f>0</f>
        <v>101</v>
      </c>
      <c r="I2314">
        <f>G2314+H2314</f>
        <v>3122893</v>
      </c>
      <c r="J2314">
        <f>IF(AND(D2314&lt;&gt;"dram",D2314&lt;&gt;"control"),H2314,0)</f>
        <v>0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367</v>
      </c>
      <c r="C2315" t="s">
        <v>88</v>
      </c>
      <c r="D2315" t="s">
        <v>89</v>
      </c>
      <c r="E2315" t="s">
        <v>84</v>
      </c>
      <c r="F2315">
        <v>0</v>
      </c>
      <c r="G2315">
        <f>MAX(I2314,I2309)</f>
        <v>3122893</v>
      </c>
      <c r="H2315">
        <f>0</f>
        <v>0</v>
      </c>
      <c r="I2315">
        <f>G2315+H2315</f>
        <v>3122893</v>
      </c>
      <c r="J2315">
        <f>IF(AND(D2315&lt;&gt;"dram",D2315&lt;&gt;"control"),H2315,0)</f>
        <v>0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368</v>
      </c>
      <c r="C2316" t="s">
        <v>88</v>
      </c>
      <c r="D2316" t="s">
        <v>89</v>
      </c>
      <c r="E2316" t="s">
        <v>84</v>
      </c>
      <c r="F2316">
        <v>0</v>
      </c>
      <c r="G2316">
        <f>MAX(I2315,I2313)</f>
        <v>3122893</v>
      </c>
      <c r="H2316">
        <f>0</f>
        <v>108</v>
      </c>
      <c r="I2316">
        <f>G2316+H2316</f>
        <v>3123001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369</v>
      </c>
      <c r="C2317" t="s">
        <v>88</v>
      </c>
      <c r="D2317" t="s">
        <v>89</v>
      </c>
      <c r="E2317" t="s">
        <v>84</v>
      </c>
      <c r="F2317">
        <v>0</v>
      </c>
      <c r="G2317">
        <f>MAX(I2316,I2310)</f>
        <v>3123001</v>
      </c>
      <c r="H2317">
        <f>0</f>
        <v>0</v>
      </c>
      <c r="I2317">
        <f>G2317+H2317</f>
        <v>3123001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370</v>
      </c>
      <c r="C2318" t="s">
        <v>82</v>
      </c>
      <c r="D2318" t="s">
        <v>83</v>
      </c>
      <c r="E2318" t="s">
        <v>86</v>
      </c>
      <c r="F2318">
        <v>512</v>
      </c>
      <c r="G2318">
        <f>MAX(I2317,I2313)</f>
        <v>3123001</v>
      </c>
      <c r="H2318">
        <f>CEILING((dram_access_latency+F2318/dram_bandwidth)*frequency,1)</f>
        <v>108</v>
      </c>
      <c r="I2318">
        <f>G2318+H2318</f>
        <v>3123109</v>
      </c>
      <c r="J2318">
        <f>IF(AND(D2318&lt;&gt;"dram",D2318&lt;&gt;"control"),H2318,0)</f>
        <v>0</v>
      </c>
      <c r="K2318">
        <f>IF(D2318="dram",H2318,0)</f>
        <v>108</v>
      </c>
      <c r="L2318">
        <v>512</v>
      </c>
      <c r="M2318">
        <v>0</v>
      </c>
    </row>
    <row r="2319" spans="1:13">
      <c r="A2319">
        <v>2317</v>
      </c>
      <c r="B2319" t="s">
        <v>371</v>
      </c>
      <c r="C2319" t="s">
        <v>82</v>
      </c>
      <c r="D2319" t="s">
        <v>83</v>
      </c>
      <c r="E2319" t="s">
        <v>86</v>
      </c>
      <c r="F2319">
        <v>262144</v>
      </c>
      <c r="G2319">
        <f>MAX(I2317,I2318)</f>
        <v>3123109</v>
      </c>
      <c r="H2319">
        <f>CEILING((dram_access_latency+F2319/dram_bandwidth)*frequency,1)</f>
        <v>4196</v>
      </c>
      <c r="I2319">
        <f>G2319+H2319</f>
        <v>3127305</v>
      </c>
      <c r="J2319">
        <f>IF(AND(D2319&lt;&gt;"dram",D2319&lt;&gt;"control"),H2319,0)</f>
        <v>0</v>
      </c>
      <c r="K2319">
        <f>IF(D2319="dram",H2319,0)</f>
        <v>4196</v>
      </c>
      <c r="L2319">
        <v>262144</v>
      </c>
      <c r="M2319">
        <v>0</v>
      </c>
    </row>
    <row r="2320" spans="1:13">
      <c r="A2320">
        <v>2318</v>
      </c>
      <c r="B2320" t="s">
        <v>372</v>
      </c>
      <c r="C2320" t="s">
        <v>82</v>
      </c>
      <c r="D2320" t="s">
        <v>83</v>
      </c>
      <c r="E2320" t="s">
        <v>86</v>
      </c>
      <c r="F2320">
        <v>16</v>
      </c>
      <c r="G2320">
        <f>MAX(I2317,I2319)</f>
        <v>3127305</v>
      </c>
      <c r="H2320">
        <f>CEILING((dram_access_latency+F2320/dram_bandwidth)*frequency,1)</f>
        <v>101</v>
      </c>
      <c r="I2320">
        <f>G2320+H2320</f>
        <v>3127406</v>
      </c>
      <c r="J2320">
        <f>IF(AND(D2320&lt;&gt;"dram",D2320&lt;&gt;"control"),H2320,0)</f>
        <v>0</v>
      </c>
      <c r="K2320">
        <f>IF(D2320="dram",H2320,0)</f>
        <v>101</v>
      </c>
      <c r="L2320">
        <v>16</v>
      </c>
      <c r="M2320">
        <v>0</v>
      </c>
    </row>
    <row r="2321" spans="1:13">
      <c r="A2321">
        <v>2319</v>
      </c>
      <c r="B2321" t="s">
        <v>373</v>
      </c>
      <c r="C2321" t="s">
        <v>82</v>
      </c>
      <c r="D2321" t="s">
        <v>83</v>
      </c>
      <c r="E2321" t="s">
        <v>86</v>
      </c>
      <c r="F2321">
        <v>8192</v>
      </c>
      <c r="G2321">
        <f>MAX(I2317,I2320)</f>
        <v>3127406</v>
      </c>
      <c r="H2321">
        <f>CEILING((dram_access_latency+F2321/dram_bandwidth)*frequency,1)</f>
        <v>228</v>
      </c>
      <c r="I2321">
        <f>G2321+H2321</f>
        <v>3127634</v>
      </c>
      <c r="J2321">
        <f>IF(AND(D2321&lt;&gt;"dram",D2321&lt;&gt;"control"),H2321,0)</f>
        <v>0</v>
      </c>
      <c r="K2321">
        <f>IF(D2321="dram",H2321,0)</f>
        <v>228</v>
      </c>
      <c r="L2321">
        <v>8192</v>
      </c>
      <c r="M2321">
        <v>0</v>
      </c>
    </row>
    <row r="2322" spans="1:13">
      <c r="A2322">
        <v>2320</v>
      </c>
      <c r="B2322" t="s">
        <v>374</v>
      </c>
      <c r="C2322" t="s">
        <v>82</v>
      </c>
      <c r="D2322" t="s">
        <v>83</v>
      </c>
      <c r="E2322" t="s">
        <v>86</v>
      </c>
      <c r="F2322">
        <v>16384</v>
      </c>
      <c r="G2322">
        <f>MAX(I2317,I2321)</f>
        <v>3127634</v>
      </c>
      <c r="H2322">
        <f>CEILING((dram_access_latency+F2322/dram_bandwidth)*frequency,1)</f>
        <v>356</v>
      </c>
      <c r="I2322">
        <f>G2322+H2322</f>
        <v>3127990</v>
      </c>
      <c r="J2322">
        <f>IF(AND(D2322&lt;&gt;"dram",D2322&lt;&gt;"control"),H2322,0)</f>
        <v>0</v>
      </c>
      <c r="K2322">
        <f>IF(D2322="dram",H2322,0)</f>
        <v>356</v>
      </c>
      <c r="L2322">
        <v>16384</v>
      </c>
      <c r="M2322">
        <v>0</v>
      </c>
    </row>
    <row r="2323" spans="1:13">
      <c r="A2323">
        <v>2321</v>
      </c>
      <c r="B2323" t="s">
        <v>59</v>
      </c>
      <c r="C2323" t="s">
        <v>90</v>
      </c>
      <c r="D2323" t="s">
        <v>287</v>
      </c>
      <c r="E2323" t="s">
        <v>86</v>
      </c>
      <c r="F2323">
        <v>0</v>
      </c>
      <c r="G2323">
        <f>MAX(I2307,I2318,I2319,I2320,I2321,I2322)</f>
        <v>3127990</v>
      </c>
      <c r="H2323">
        <f>'Operations'!I25</f>
        <v>8452</v>
      </c>
      <c r="I2323">
        <f>G2323+H2323</f>
        <v>3136442</v>
      </c>
      <c r="J2323">
        <f>IF(AND(D2323&lt;&gt;"dram",D2323&lt;&gt;"control"),H2323,0)</f>
        <v>8452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370</v>
      </c>
      <c r="C2324" t="s">
        <v>82</v>
      </c>
      <c r="D2324" t="s">
        <v>83</v>
      </c>
      <c r="E2324" t="s">
        <v>93</v>
      </c>
      <c r="F2324">
        <v>512</v>
      </c>
      <c r="G2324">
        <f>MAX(I2317,I2322)</f>
        <v>3127990</v>
      </c>
      <c r="H2324">
        <f>CEILING((dram_access_latency+F2324/dram_bandwidth)*frequency,1)</f>
        <v>108</v>
      </c>
      <c r="I2324">
        <f>G2324+H2324</f>
        <v>3128098</v>
      </c>
      <c r="J2324">
        <f>IF(AND(D2324&lt;&gt;"dram",D2324&lt;&gt;"control"),H2324,0)</f>
        <v>0</v>
      </c>
      <c r="K2324">
        <f>IF(D2324="dram",H2324,0)</f>
        <v>108</v>
      </c>
      <c r="L2324">
        <v>512</v>
      </c>
      <c r="M2324">
        <v>0</v>
      </c>
    </row>
    <row r="2325" spans="1:13">
      <c r="A2325">
        <v>2323</v>
      </c>
      <c r="B2325" t="s">
        <v>371</v>
      </c>
      <c r="C2325" t="s">
        <v>82</v>
      </c>
      <c r="D2325" t="s">
        <v>83</v>
      </c>
      <c r="E2325" t="s">
        <v>93</v>
      </c>
      <c r="F2325">
        <v>262144</v>
      </c>
      <c r="G2325">
        <f>MAX(I2317,I2324)</f>
        <v>3128098</v>
      </c>
      <c r="H2325">
        <f>CEILING((dram_access_latency+F2325/dram_bandwidth)*frequency,1)</f>
        <v>4196</v>
      </c>
      <c r="I2325">
        <f>G2325+H2325</f>
        <v>3132294</v>
      </c>
      <c r="J2325">
        <f>IF(AND(D2325&lt;&gt;"dram",D2325&lt;&gt;"control"),H2325,0)</f>
        <v>0</v>
      </c>
      <c r="K2325">
        <f>IF(D2325="dram",H2325,0)</f>
        <v>4196</v>
      </c>
      <c r="L2325">
        <v>262144</v>
      </c>
      <c r="M2325">
        <v>0</v>
      </c>
    </row>
    <row r="2326" spans="1:13">
      <c r="A2326">
        <v>2324</v>
      </c>
      <c r="B2326" t="s">
        <v>372</v>
      </c>
      <c r="C2326" t="s">
        <v>82</v>
      </c>
      <c r="D2326" t="s">
        <v>83</v>
      </c>
      <c r="E2326" t="s">
        <v>93</v>
      </c>
      <c r="F2326">
        <v>16</v>
      </c>
      <c r="G2326">
        <f>MAX(I2317,I2325)</f>
        <v>3132294</v>
      </c>
      <c r="H2326">
        <f>CEILING((dram_access_latency+F2326/dram_bandwidth)*frequency,1)</f>
        <v>101</v>
      </c>
      <c r="I2326">
        <f>G2326+H2326</f>
        <v>3132395</v>
      </c>
      <c r="J2326">
        <f>IF(AND(D2326&lt;&gt;"dram",D2326&lt;&gt;"control"),H2326,0)</f>
        <v>0</v>
      </c>
      <c r="K2326">
        <f>IF(D2326="dram",H2326,0)</f>
        <v>101</v>
      </c>
      <c r="L2326">
        <v>16</v>
      </c>
      <c r="M2326">
        <v>0</v>
      </c>
    </row>
    <row r="2327" spans="1:13">
      <c r="A2327">
        <v>2325</v>
      </c>
      <c r="B2327" t="s">
        <v>373</v>
      </c>
      <c r="C2327" t="s">
        <v>82</v>
      </c>
      <c r="D2327" t="s">
        <v>83</v>
      </c>
      <c r="E2327" t="s">
        <v>93</v>
      </c>
      <c r="F2327">
        <v>8192</v>
      </c>
      <c r="G2327">
        <f>MAX(I2317,I2326)</f>
        <v>3132395</v>
      </c>
      <c r="H2327">
        <f>CEILING((dram_access_latency+F2327/dram_bandwidth)*frequency,1)</f>
        <v>228</v>
      </c>
      <c r="I2327">
        <f>G2327+H2327</f>
        <v>3132623</v>
      </c>
      <c r="J2327">
        <f>IF(AND(D2327&lt;&gt;"dram",D2327&lt;&gt;"control"),H2327,0)</f>
        <v>0</v>
      </c>
      <c r="K2327">
        <f>IF(D2327="dram",H2327,0)</f>
        <v>228</v>
      </c>
      <c r="L2327">
        <v>8192</v>
      </c>
      <c r="M2327">
        <v>0</v>
      </c>
    </row>
    <row r="2328" spans="1:13">
      <c r="A2328">
        <v>2326</v>
      </c>
      <c r="B2328" t="s">
        <v>62</v>
      </c>
      <c r="C2328" t="s">
        <v>90</v>
      </c>
      <c r="D2328" t="s">
        <v>108</v>
      </c>
      <c r="E2328" t="s">
        <v>93</v>
      </c>
      <c r="F2328">
        <v>0</v>
      </c>
      <c r="G2328">
        <f>MAX(I2323,I2307,I2324,I2325,I2326,I2327,I2322)</f>
        <v>3136442</v>
      </c>
      <c r="H2328">
        <f>'Operations'!I26</f>
        <v>8452</v>
      </c>
      <c r="I2328">
        <f>G2328+H2328</f>
        <v>3144894</v>
      </c>
      <c r="J2328">
        <f>IF(AND(D2328&lt;&gt;"dram",D2328&lt;&gt;"control"),H2328,0)</f>
        <v>8452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375</v>
      </c>
      <c r="C2329" t="s">
        <v>88</v>
      </c>
      <c r="D2329" t="s">
        <v>89</v>
      </c>
      <c r="E2329" t="s">
        <v>93</v>
      </c>
      <c r="F2329">
        <v>0</v>
      </c>
      <c r="G2329">
        <f>MAX(I2317,I2323)</f>
        <v>3123001</v>
      </c>
      <c r="H2329">
        <f>0</f>
        <v>13441</v>
      </c>
      <c r="I2329">
        <f>G2329+H2329</f>
        <v>3136442</v>
      </c>
      <c r="J2329">
        <f>IF(AND(D2329&lt;&gt;"dram",D2329&lt;&gt;"control"),H2329,0)</f>
        <v>0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370</v>
      </c>
      <c r="C2330" t="s">
        <v>82</v>
      </c>
      <c r="D2330" t="s">
        <v>83</v>
      </c>
      <c r="E2330" t="s">
        <v>111</v>
      </c>
      <c r="F2330">
        <v>512</v>
      </c>
      <c r="G2330">
        <f>MAX(I2329,I2327)</f>
        <v>3136442</v>
      </c>
      <c r="H2330">
        <f>CEILING((dram_access_latency+F2330/dram_bandwidth)*frequency,1)</f>
        <v>108</v>
      </c>
      <c r="I2330">
        <f>G2330+H2330</f>
        <v>3136550</v>
      </c>
      <c r="J2330">
        <f>IF(AND(D2330&lt;&gt;"dram",D2330&lt;&gt;"control"),H2330,0)</f>
        <v>0</v>
      </c>
      <c r="K2330">
        <f>IF(D2330="dram",H2330,0)</f>
        <v>108</v>
      </c>
      <c r="L2330">
        <v>512</v>
      </c>
      <c r="M2330">
        <v>0</v>
      </c>
    </row>
    <row r="2331" spans="1:13">
      <c r="A2331">
        <v>2329</v>
      </c>
      <c r="B2331" t="s">
        <v>371</v>
      </c>
      <c r="C2331" t="s">
        <v>82</v>
      </c>
      <c r="D2331" t="s">
        <v>83</v>
      </c>
      <c r="E2331" t="s">
        <v>111</v>
      </c>
      <c r="F2331">
        <v>262144</v>
      </c>
      <c r="G2331">
        <f>MAX(I2329,I2330)</f>
        <v>3136550</v>
      </c>
      <c r="H2331">
        <f>CEILING((dram_access_latency+F2331/dram_bandwidth)*frequency,1)</f>
        <v>4196</v>
      </c>
      <c r="I2331">
        <f>G2331+H2331</f>
        <v>3140746</v>
      </c>
      <c r="J2331">
        <f>IF(AND(D2331&lt;&gt;"dram",D2331&lt;&gt;"control"),H2331,0)</f>
        <v>0</v>
      </c>
      <c r="K2331">
        <f>IF(D2331="dram",H2331,0)</f>
        <v>4196</v>
      </c>
      <c r="L2331">
        <v>262144</v>
      </c>
      <c r="M2331">
        <v>0</v>
      </c>
    </row>
    <row r="2332" spans="1:13">
      <c r="A2332">
        <v>2330</v>
      </c>
      <c r="B2332" t="s">
        <v>372</v>
      </c>
      <c r="C2332" t="s">
        <v>82</v>
      </c>
      <c r="D2332" t="s">
        <v>83</v>
      </c>
      <c r="E2332" t="s">
        <v>111</v>
      </c>
      <c r="F2332">
        <v>16</v>
      </c>
      <c r="G2332">
        <f>MAX(I2329,I2331)</f>
        <v>3140746</v>
      </c>
      <c r="H2332">
        <f>CEILING((dram_access_latency+F2332/dram_bandwidth)*frequency,1)</f>
        <v>101</v>
      </c>
      <c r="I2332">
        <f>G2332+H2332</f>
        <v>3140847</v>
      </c>
      <c r="J2332">
        <f>IF(AND(D2332&lt;&gt;"dram",D2332&lt;&gt;"control"),H2332,0)</f>
        <v>0</v>
      </c>
      <c r="K2332">
        <f>IF(D2332="dram",H2332,0)</f>
        <v>101</v>
      </c>
      <c r="L2332">
        <v>16</v>
      </c>
      <c r="M2332">
        <v>0</v>
      </c>
    </row>
    <row r="2333" spans="1:13">
      <c r="A2333">
        <v>2331</v>
      </c>
      <c r="B2333" t="s">
        <v>373</v>
      </c>
      <c r="C2333" t="s">
        <v>82</v>
      </c>
      <c r="D2333" t="s">
        <v>83</v>
      </c>
      <c r="E2333" t="s">
        <v>111</v>
      </c>
      <c r="F2333">
        <v>8192</v>
      </c>
      <c r="G2333">
        <f>MAX(I2329,I2332)</f>
        <v>3140847</v>
      </c>
      <c r="H2333">
        <f>CEILING((dram_access_latency+F2333/dram_bandwidth)*frequency,1)</f>
        <v>228</v>
      </c>
      <c r="I2333">
        <f>G2333+H2333</f>
        <v>3141075</v>
      </c>
      <c r="J2333">
        <f>IF(AND(D2333&lt;&gt;"dram",D2333&lt;&gt;"control"),H2333,0)</f>
        <v>0</v>
      </c>
      <c r="K2333">
        <f>IF(D2333="dram",H2333,0)</f>
        <v>228</v>
      </c>
      <c r="L2333">
        <v>8192</v>
      </c>
      <c r="M2333">
        <v>0</v>
      </c>
    </row>
    <row r="2334" spans="1:13">
      <c r="A2334">
        <v>2332</v>
      </c>
      <c r="B2334" t="s">
        <v>62</v>
      </c>
      <c r="C2334" t="s">
        <v>90</v>
      </c>
      <c r="D2334" t="s">
        <v>108</v>
      </c>
      <c r="E2334" t="s">
        <v>111</v>
      </c>
      <c r="F2334">
        <v>0</v>
      </c>
      <c r="G2334">
        <f>MAX(I2328,I2328,I2330,I2331,I2332,I2333,I2322)</f>
        <v>3144894</v>
      </c>
      <c r="H2334">
        <f>'Operations'!I26</f>
        <v>8452</v>
      </c>
      <c r="I2334">
        <f>G2334+H2334</f>
        <v>3153346</v>
      </c>
      <c r="J2334">
        <f>IF(AND(D2334&lt;&gt;"dram",D2334&lt;&gt;"control"),H2334,0)</f>
        <v>8452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375</v>
      </c>
      <c r="C2335" t="s">
        <v>88</v>
      </c>
      <c r="D2335" t="s">
        <v>89</v>
      </c>
      <c r="E2335" t="s">
        <v>111</v>
      </c>
      <c r="F2335">
        <v>0</v>
      </c>
      <c r="G2335">
        <f>MAX(I2329,I2328)</f>
        <v>3136442</v>
      </c>
      <c r="H2335">
        <f>0</f>
        <v>8452</v>
      </c>
      <c r="I2335">
        <f>G2335+H2335</f>
        <v>3144894</v>
      </c>
      <c r="J2335">
        <f>IF(AND(D2335&lt;&gt;"dram",D2335&lt;&gt;"control"),H2335,0)</f>
        <v>0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370</v>
      </c>
      <c r="C2336" t="s">
        <v>82</v>
      </c>
      <c r="D2336" t="s">
        <v>83</v>
      </c>
      <c r="E2336" t="s">
        <v>112</v>
      </c>
      <c r="F2336">
        <v>512</v>
      </c>
      <c r="G2336">
        <f>MAX(I2335,I2333)</f>
        <v>3144894</v>
      </c>
      <c r="H2336">
        <f>CEILING((dram_access_latency+F2336/dram_bandwidth)*frequency,1)</f>
        <v>108</v>
      </c>
      <c r="I2336">
        <f>G2336+H2336</f>
        <v>3145002</v>
      </c>
      <c r="J2336">
        <f>IF(AND(D2336&lt;&gt;"dram",D2336&lt;&gt;"control"),H2336,0)</f>
        <v>0</v>
      </c>
      <c r="K2336">
        <f>IF(D2336="dram",H2336,0)</f>
        <v>108</v>
      </c>
      <c r="L2336">
        <v>512</v>
      </c>
      <c r="M2336">
        <v>0</v>
      </c>
    </row>
    <row r="2337" spans="1:13">
      <c r="A2337">
        <v>2335</v>
      </c>
      <c r="B2337" t="s">
        <v>371</v>
      </c>
      <c r="C2337" t="s">
        <v>82</v>
      </c>
      <c r="D2337" t="s">
        <v>83</v>
      </c>
      <c r="E2337" t="s">
        <v>112</v>
      </c>
      <c r="F2337">
        <v>262144</v>
      </c>
      <c r="G2337">
        <f>MAX(I2335,I2336)</f>
        <v>3145002</v>
      </c>
      <c r="H2337">
        <f>CEILING((dram_access_latency+F2337/dram_bandwidth)*frequency,1)</f>
        <v>4196</v>
      </c>
      <c r="I2337">
        <f>G2337+H2337</f>
        <v>3149198</v>
      </c>
      <c r="J2337">
        <f>IF(AND(D2337&lt;&gt;"dram",D2337&lt;&gt;"control"),H2337,0)</f>
        <v>0</v>
      </c>
      <c r="K2337">
        <f>IF(D2337="dram",H2337,0)</f>
        <v>4196</v>
      </c>
      <c r="L2337">
        <v>262144</v>
      </c>
      <c r="M2337">
        <v>0</v>
      </c>
    </row>
    <row r="2338" spans="1:13">
      <c r="A2338">
        <v>2336</v>
      </c>
      <c r="B2338" t="s">
        <v>372</v>
      </c>
      <c r="C2338" t="s">
        <v>82</v>
      </c>
      <c r="D2338" t="s">
        <v>83</v>
      </c>
      <c r="E2338" t="s">
        <v>112</v>
      </c>
      <c r="F2338">
        <v>16</v>
      </c>
      <c r="G2338">
        <f>MAX(I2335,I2337)</f>
        <v>3149198</v>
      </c>
      <c r="H2338">
        <f>CEILING((dram_access_latency+F2338/dram_bandwidth)*frequency,1)</f>
        <v>101</v>
      </c>
      <c r="I2338">
        <f>G2338+H2338</f>
        <v>3149299</v>
      </c>
      <c r="J2338">
        <f>IF(AND(D2338&lt;&gt;"dram",D2338&lt;&gt;"control"),H2338,0)</f>
        <v>0</v>
      </c>
      <c r="K2338">
        <f>IF(D2338="dram",H2338,0)</f>
        <v>101</v>
      </c>
      <c r="L2338">
        <v>16</v>
      </c>
      <c r="M2338">
        <v>0</v>
      </c>
    </row>
    <row r="2339" spans="1:13">
      <c r="A2339">
        <v>2337</v>
      </c>
      <c r="B2339" t="s">
        <v>373</v>
      </c>
      <c r="C2339" t="s">
        <v>82</v>
      </c>
      <c r="D2339" t="s">
        <v>83</v>
      </c>
      <c r="E2339" t="s">
        <v>112</v>
      </c>
      <c r="F2339">
        <v>8192</v>
      </c>
      <c r="G2339">
        <f>MAX(I2335,I2338)</f>
        <v>3149299</v>
      </c>
      <c r="H2339">
        <f>CEILING((dram_access_latency+F2339/dram_bandwidth)*frequency,1)</f>
        <v>228</v>
      </c>
      <c r="I2339">
        <f>G2339+H2339</f>
        <v>3149527</v>
      </c>
      <c r="J2339">
        <f>IF(AND(D2339&lt;&gt;"dram",D2339&lt;&gt;"control"),H2339,0)</f>
        <v>0</v>
      </c>
      <c r="K2339">
        <f>IF(D2339="dram",H2339,0)</f>
        <v>228</v>
      </c>
      <c r="L2339">
        <v>8192</v>
      </c>
      <c r="M2339">
        <v>0</v>
      </c>
    </row>
    <row r="2340" spans="1:13">
      <c r="A2340">
        <v>2338</v>
      </c>
      <c r="B2340" t="s">
        <v>62</v>
      </c>
      <c r="C2340" t="s">
        <v>90</v>
      </c>
      <c r="D2340" t="s">
        <v>108</v>
      </c>
      <c r="E2340" t="s">
        <v>112</v>
      </c>
      <c r="F2340">
        <v>0</v>
      </c>
      <c r="G2340">
        <f>MAX(I2334,I2334,I2336,I2337,I2338,I2339,I2322)</f>
        <v>3153346</v>
      </c>
      <c r="H2340">
        <f>'Operations'!I26</f>
        <v>8452</v>
      </c>
      <c r="I2340">
        <f>G2340+H2340</f>
        <v>3161798</v>
      </c>
      <c r="J2340">
        <f>IF(AND(D2340&lt;&gt;"dram",D2340&lt;&gt;"control"),H2340,0)</f>
        <v>8452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375</v>
      </c>
      <c r="C2341" t="s">
        <v>88</v>
      </c>
      <c r="D2341" t="s">
        <v>89</v>
      </c>
      <c r="E2341" t="s">
        <v>112</v>
      </c>
      <c r="F2341">
        <v>0</v>
      </c>
      <c r="G2341">
        <f>MAX(I2335,I2334)</f>
        <v>3144894</v>
      </c>
      <c r="H2341">
        <f>0</f>
        <v>8452</v>
      </c>
      <c r="I2341">
        <f>G2341+H2341</f>
        <v>3153346</v>
      </c>
      <c r="J2341">
        <f>IF(AND(D2341&lt;&gt;"dram",D2341&lt;&gt;"control"),H2341,0)</f>
        <v>0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370</v>
      </c>
      <c r="C2342" t="s">
        <v>82</v>
      </c>
      <c r="D2342" t="s">
        <v>83</v>
      </c>
      <c r="E2342" t="s">
        <v>113</v>
      </c>
      <c r="F2342">
        <v>512</v>
      </c>
      <c r="G2342">
        <f>MAX(I2341,I2339)</f>
        <v>3153346</v>
      </c>
      <c r="H2342">
        <f>CEILING((dram_access_latency+F2342/dram_bandwidth)*frequency,1)</f>
        <v>108</v>
      </c>
      <c r="I2342">
        <f>G2342+H2342</f>
        <v>3153454</v>
      </c>
      <c r="J2342">
        <f>IF(AND(D2342&lt;&gt;"dram",D2342&lt;&gt;"control"),H2342,0)</f>
        <v>0</v>
      </c>
      <c r="K2342">
        <f>IF(D2342="dram",H2342,0)</f>
        <v>108</v>
      </c>
      <c r="L2342">
        <v>512</v>
      </c>
      <c r="M2342">
        <v>0</v>
      </c>
    </row>
    <row r="2343" spans="1:13">
      <c r="A2343">
        <v>2341</v>
      </c>
      <c r="B2343" t="s">
        <v>371</v>
      </c>
      <c r="C2343" t="s">
        <v>82</v>
      </c>
      <c r="D2343" t="s">
        <v>83</v>
      </c>
      <c r="E2343" t="s">
        <v>113</v>
      </c>
      <c r="F2343">
        <v>262144</v>
      </c>
      <c r="G2343">
        <f>MAX(I2341,I2342)</f>
        <v>3153454</v>
      </c>
      <c r="H2343">
        <f>CEILING((dram_access_latency+F2343/dram_bandwidth)*frequency,1)</f>
        <v>4196</v>
      </c>
      <c r="I2343">
        <f>G2343+H2343</f>
        <v>3157650</v>
      </c>
      <c r="J2343">
        <f>IF(AND(D2343&lt;&gt;"dram",D2343&lt;&gt;"control"),H2343,0)</f>
        <v>0</v>
      </c>
      <c r="K2343">
        <f>IF(D2343="dram",H2343,0)</f>
        <v>4196</v>
      </c>
      <c r="L2343">
        <v>262144</v>
      </c>
      <c r="M2343">
        <v>0</v>
      </c>
    </row>
    <row r="2344" spans="1:13">
      <c r="A2344">
        <v>2342</v>
      </c>
      <c r="B2344" t="s">
        <v>372</v>
      </c>
      <c r="C2344" t="s">
        <v>82</v>
      </c>
      <c r="D2344" t="s">
        <v>83</v>
      </c>
      <c r="E2344" t="s">
        <v>113</v>
      </c>
      <c r="F2344">
        <v>16</v>
      </c>
      <c r="G2344">
        <f>MAX(I2341,I2343)</f>
        <v>3157650</v>
      </c>
      <c r="H2344">
        <f>CEILING((dram_access_latency+F2344/dram_bandwidth)*frequency,1)</f>
        <v>101</v>
      </c>
      <c r="I2344">
        <f>G2344+H2344</f>
        <v>3157751</v>
      </c>
      <c r="J2344">
        <f>IF(AND(D2344&lt;&gt;"dram",D2344&lt;&gt;"control"),H2344,0)</f>
        <v>0</v>
      </c>
      <c r="K2344">
        <f>IF(D2344="dram",H2344,0)</f>
        <v>101</v>
      </c>
      <c r="L2344">
        <v>16</v>
      </c>
      <c r="M2344">
        <v>0</v>
      </c>
    </row>
    <row r="2345" spans="1:13">
      <c r="A2345">
        <v>2343</v>
      </c>
      <c r="B2345" t="s">
        <v>373</v>
      </c>
      <c r="C2345" t="s">
        <v>82</v>
      </c>
      <c r="D2345" t="s">
        <v>83</v>
      </c>
      <c r="E2345" t="s">
        <v>113</v>
      </c>
      <c r="F2345">
        <v>8192</v>
      </c>
      <c r="G2345">
        <f>MAX(I2341,I2344)</f>
        <v>3157751</v>
      </c>
      <c r="H2345">
        <f>CEILING((dram_access_latency+F2345/dram_bandwidth)*frequency,1)</f>
        <v>228</v>
      </c>
      <c r="I2345">
        <f>G2345+H2345</f>
        <v>3157979</v>
      </c>
      <c r="J2345">
        <f>IF(AND(D2345&lt;&gt;"dram",D2345&lt;&gt;"control"),H2345,0)</f>
        <v>0</v>
      </c>
      <c r="K2345">
        <f>IF(D2345="dram",H2345,0)</f>
        <v>228</v>
      </c>
      <c r="L2345">
        <v>8192</v>
      </c>
      <c r="M2345">
        <v>0</v>
      </c>
    </row>
    <row r="2346" spans="1:13">
      <c r="A2346">
        <v>2344</v>
      </c>
      <c r="B2346" t="s">
        <v>62</v>
      </c>
      <c r="C2346" t="s">
        <v>90</v>
      </c>
      <c r="D2346" t="s">
        <v>108</v>
      </c>
      <c r="E2346" t="s">
        <v>113</v>
      </c>
      <c r="F2346">
        <v>0</v>
      </c>
      <c r="G2346">
        <f>MAX(I2340,I2340,I2342,I2343,I2344,I2345,I2322)</f>
        <v>3161798</v>
      </c>
      <c r="H2346">
        <f>'Operations'!I26</f>
        <v>8452</v>
      </c>
      <c r="I2346">
        <f>G2346+H2346</f>
        <v>3170250</v>
      </c>
      <c r="J2346">
        <f>IF(AND(D2346&lt;&gt;"dram",D2346&lt;&gt;"control"),H2346,0)</f>
        <v>8452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375</v>
      </c>
      <c r="C2347" t="s">
        <v>88</v>
      </c>
      <c r="D2347" t="s">
        <v>89</v>
      </c>
      <c r="E2347" t="s">
        <v>113</v>
      </c>
      <c r="F2347">
        <v>0</v>
      </c>
      <c r="G2347">
        <f>MAX(I2341,I2340)</f>
        <v>3153346</v>
      </c>
      <c r="H2347">
        <f>0</f>
        <v>8452</v>
      </c>
      <c r="I2347">
        <f>G2347+H2347</f>
        <v>3161798</v>
      </c>
      <c r="J2347">
        <f>IF(AND(D2347&lt;&gt;"dram",D2347&lt;&gt;"control"),H2347,0)</f>
        <v>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370</v>
      </c>
      <c r="C2348" t="s">
        <v>82</v>
      </c>
      <c r="D2348" t="s">
        <v>83</v>
      </c>
      <c r="E2348" t="s">
        <v>114</v>
      </c>
      <c r="F2348">
        <v>512</v>
      </c>
      <c r="G2348">
        <f>MAX(I2347,I2345)</f>
        <v>3161798</v>
      </c>
      <c r="H2348">
        <f>CEILING((dram_access_latency+F2348/dram_bandwidth)*frequency,1)</f>
        <v>108</v>
      </c>
      <c r="I2348">
        <f>G2348+H2348</f>
        <v>3161906</v>
      </c>
      <c r="J2348">
        <f>IF(AND(D2348&lt;&gt;"dram",D2348&lt;&gt;"control"),H2348,0)</f>
        <v>0</v>
      </c>
      <c r="K2348">
        <f>IF(D2348="dram",H2348,0)</f>
        <v>108</v>
      </c>
      <c r="L2348">
        <v>512</v>
      </c>
      <c r="M2348">
        <v>0</v>
      </c>
    </row>
    <row r="2349" spans="1:13">
      <c r="A2349">
        <v>2347</v>
      </c>
      <c r="B2349" t="s">
        <v>371</v>
      </c>
      <c r="C2349" t="s">
        <v>82</v>
      </c>
      <c r="D2349" t="s">
        <v>83</v>
      </c>
      <c r="E2349" t="s">
        <v>114</v>
      </c>
      <c r="F2349">
        <v>262144</v>
      </c>
      <c r="G2349">
        <f>MAX(I2347,I2348)</f>
        <v>3161906</v>
      </c>
      <c r="H2349">
        <f>CEILING((dram_access_latency+F2349/dram_bandwidth)*frequency,1)</f>
        <v>4196</v>
      </c>
      <c r="I2349">
        <f>G2349+H2349</f>
        <v>3166102</v>
      </c>
      <c r="J2349">
        <f>IF(AND(D2349&lt;&gt;"dram",D2349&lt;&gt;"control"),H2349,0)</f>
        <v>0</v>
      </c>
      <c r="K2349">
        <f>IF(D2349="dram",H2349,0)</f>
        <v>4196</v>
      </c>
      <c r="L2349">
        <v>262144</v>
      </c>
      <c r="M2349">
        <v>0</v>
      </c>
    </row>
    <row r="2350" spans="1:13">
      <c r="A2350">
        <v>2348</v>
      </c>
      <c r="B2350" t="s">
        <v>372</v>
      </c>
      <c r="C2350" t="s">
        <v>82</v>
      </c>
      <c r="D2350" t="s">
        <v>83</v>
      </c>
      <c r="E2350" t="s">
        <v>114</v>
      </c>
      <c r="F2350">
        <v>16</v>
      </c>
      <c r="G2350">
        <f>MAX(I2347,I2349)</f>
        <v>3166102</v>
      </c>
      <c r="H2350">
        <f>CEILING((dram_access_latency+F2350/dram_bandwidth)*frequency,1)</f>
        <v>101</v>
      </c>
      <c r="I2350">
        <f>G2350+H2350</f>
        <v>3166203</v>
      </c>
      <c r="J2350">
        <f>IF(AND(D2350&lt;&gt;"dram",D2350&lt;&gt;"control"),H2350,0)</f>
        <v>0</v>
      </c>
      <c r="K2350">
        <f>IF(D2350="dram",H2350,0)</f>
        <v>101</v>
      </c>
      <c r="L2350">
        <v>16</v>
      </c>
      <c r="M2350">
        <v>0</v>
      </c>
    </row>
    <row r="2351" spans="1:13">
      <c r="A2351">
        <v>2349</v>
      </c>
      <c r="B2351" t="s">
        <v>373</v>
      </c>
      <c r="C2351" t="s">
        <v>82</v>
      </c>
      <c r="D2351" t="s">
        <v>83</v>
      </c>
      <c r="E2351" t="s">
        <v>114</v>
      </c>
      <c r="F2351">
        <v>8192</v>
      </c>
      <c r="G2351">
        <f>MAX(I2347,I2350)</f>
        <v>3166203</v>
      </c>
      <c r="H2351">
        <f>CEILING((dram_access_latency+F2351/dram_bandwidth)*frequency,1)</f>
        <v>228</v>
      </c>
      <c r="I2351">
        <f>G2351+H2351</f>
        <v>3166431</v>
      </c>
      <c r="J2351">
        <f>IF(AND(D2351&lt;&gt;"dram",D2351&lt;&gt;"control"),H2351,0)</f>
        <v>0</v>
      </c>
      <c r="K2351">
        <f>IF(D2351="dram",H2351,0)</f>
        <v>228</v>
      </c>
      <c r="L2351">
        <v>8192</v>
      </c>
      <c r="M2351">
        <v>0</v>
      </c>
    </row>
    <row r="2352" spans="1:13">
      <c r="A2352">
        <v>2350</v>
      </c>
      <c r="B2352" t="s">
        <v>62</v>
      </c>
      <c r="C2352" t="s">
        <v>90</v>
      </c>
      <c r="D2352" t="s">
        <v>108</v>
      </c>
      <c r="E2352" t="s">
        <v>114</v>
      </c>
      <c r="F2352">
        <v>0</v>
      </c>
      <c r="G2352">
        <f>MAX(I2346,I2346,I2348,I2349,I2350,I2351,I2322)</f>
        <v>3170250</v>
      </c>
      <c r="H2352">
        <f>'Operations'!I26</f>
        <v>8452</v>
      </c>
      <c r="I2352">
        <f>G2352+H2352</f>
        <v>3178702</v>
      </c>
      <c r="J2352">
        <f>IF(AND(D2352&lt;&gt;"dram",D2352&lt;&gt;"control"),H2352,0)</f>
        <v>8452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375</v>
      </c>
      <c r="C2353" t="s">
        <v>88</v>
      </c>
      <c r="D2353" t="s">
        <v>89</v>
      </c>
      <c r="E2353" t="s">
        <v>114</v>
      </c>
      <c r="F2353">
        <v>0</v>
      </c>
      <c r="G2353">
        <f>MAX(I2347,I2346)</f>
        <v>3161798</v>
      </c>
      <c r="H2353">
        <f>0</f>
        <v>8452</v>
      </c>
      <c r="I2353">
        <f>G2353+H2353</f>
        <v>3170250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370</v>
      </c>
      <c r="C2354" t="s">
        <v>82</v>
      </c>
      <c r="D2354" t="s">
        <v>83</v>
      </c>
      <c r="E2354" t="s">
        <v>115</v>
      </c>
      <c r="F2354">
        <v>512</v>
      </c>
      <c r="G2354">
        <f>MAX(I2353,I2351)</f>
        <v>3170250</v>
      </c>
      <c r="H2354">
        <f>CEILING((dram_access_latency+F2354/dram_bandwidth)*frequency,1)</f>
        <v>108</v>
      </c>
      <c r="I2354">
        <f>G2354+H2354</f>
        <v>3170358</v>
      </c>
      <c r="J2354">
        <f>IF(AND(D2354&lt;&gt;"dram",D2354&lt;&gt;"control"),H2354,0)</f>
        <v>0</v>
      </c>
      <c r="K2354">
        <f>IF(D2354="dram",H2354,0)</f>
        <v>108</v>
      </c>
      <c r="L2354">
        <v>512</v>
      </c>
      <c r="M2354">
        <v>0</v>
      </c>
    </row>
    <row r="2355" spans="1:13">
      <c r="A2355">
        <v>2353</v>
      </c>
      <c r="B2355" t="s">
        <v>371</v>
      </c>
      <c r="C2355" t="s">
        <v>82</v>
      </c>
      <c r="D2355" t="s">
        <v>83</v>
      </c>
      <c r="E2355" t="s">
        <v>115</v>
      </c>
      <c r="F2355">
        <v>262144</v>
      </c>
      <c r="G2355">
        <f>MAX(I2353,I2354)</f>
        <v>3170358</v>
      </c>
      <c r="H2355">
        <f>CEILING((dram_access_latency+F2355/dram_bandwidth)*frequency,1)</f>
        <v>4196</v>
      </c>
      <c r="I2355">
        <f>G2355+H2355</f>
        <v>3174554</v>
      </c>
      <c r="J2355">
        <f>IF(AND(D2355&lt;&gt;"dram",D2355&lt;&gt;"control"),H2355,0)</f>
        <v>0</v>
      </c>
      <c r="K2355">
        <f>IF(D2355="dram",H2355,0)</f>
        <v>4196</v>
      </c>
      <c r="L2355">
        <v>262144</v>
      </c>
      <c r="M2355">
        <v>0</v>
      </c>
    </row>
    <row r="2356" spans="1:13">
      <c r="A2356">
        <v>2354</v>
      </c>
      <c r="B2356" t="s">
        <v>372</v>
      </c>
      <c r="C2356" t="s">
        <v>82</v>
      </c>
      <c r="D2356" t="s">
        <v>83</v>
      </c>
      <c r="E2356" t="s">
        <v>115</v>
      </c>
      <c r="F2356">
        <v>16</v>
      </c>
      <c r="G2356">
        <f>MAX(I2353,I2355)</f>
        <v>3174554</v>
      </c>
      <c r="H2356">
        <f>CEILING((dram_access_latency+F2356/dram_bandwidth)*frequency,1)</f>
        <v>101</v>
      </c>
      <c r="I2356">
        <f>G2356+H2356</f>
        <v>3174655</v>
      </c>
      <c r="J2356">
        <f>IF(AND(D2356&lt;&gt;"dram",D2356&lt;&gt;"control"),H2356,0)</f>
        <v>0</v>
      </c>
      <c r="K2356">
        <f>IF(D2356="dram",H2356,0)</f>
        <v>101</v>
      </c>
      <c r="L2356">
        <v>16</v>
      </c>
      <c r="M2356">
        <v>0</v>
      </c>
    </row>
    <row r="2357" spans="1:13">
      <c r="A2357">
        <v>2355</v>
      </c>
      <c r="B2357" t="s">
        <v>373</v>
      </c>
      <c r="C2357" t="s">
        <v>82</v>
      </c>
      <c r="D2357" t="s">
        <v>83</v>
      </c>
      <c r="E2357" t="s">
        <v>115</v>
      </c>
      <c r="F2357">
        <v>8192</v>
      </c>
      <c r="G2357">
        <f>MAX(I2353,I2356)</f>
        <v>3174655</v>
      </c>
      <c r="H2357">
        <f>CEILING((dram_access_latency+F2357/dram_bandwidth)*frequency,1)</f>
        <v>228</v>
      </c>
      <c r="I2357">
        <f>G2357+H2357</f>
        <v>3174883</v>
      </c>
      <c r="J2357">
        <f>IF(AND(D2357&lt;&gt;"dram",D2357&lt;&gt;"control"),H2357,0)</f>
        <v>0</v>
      </c>
      <c r="K2357">
        <f>IF(D2357="dram",H2357,0)</f>
        <v>228</v>
      </c>
      <c r="L2357">
        <v>8192</v>
      </c>
      <c r="M2357">
        <v>0</v>
      </c>
    </row>
    <row r="2358" spans="1:13">
      <c r="A2358">
        <v>2356</v>
      </c>
      <c r="B2358" t="s">
        <v>62</v>
      </c>
      <c r="C2358" t="s">
        <v>90</v>
      </c>
      <c r="D2358" t="s">
        <v>108</v>
      </c>
      <c r="E2358" t="s">
        <v>115</v>
      </c>
      <c r="F2358">
        <v>0</v>
      </c>
      <c r="G2358">
        <f>MAX(I2352,I2352,I2354,I2355,I2356,I2357,I2322)</f>
        <v>3178702</v>
      </c>
      <c r="H2358">
        <f>'Operations'!I26</f>
        <v>8452</v>
      </c>
      <c r="I2358">
        <f>G2358+H2358</f>
        <v>3187154</v>
      </c>
      <c r="J2358">
        <f>IF(AND(D2358&lt;&gt;"dram",D2358&lt;&gt;"control"),H2358,0)</f>
        <v>8452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375</v>
      </c>
      <c r="C2359" t="s">
        <v>88</v>
      </c>
      <c r="D2359" t="s">
        <v>89</v>
      </c>
      <c r="E2359" t="s">
        <v>115</v>
      </c>
      <c r="F2359">
        <v>0</v>
      </c>
      <c r="G2359">
        <f>MAX(I2353,I2352)</f>
        <v>3170250</v>
      </c>
      <c r="H2359">
        <f>0</f>
        <v>8452</v>
      </c>
      <c r="I2359">
        <f>G2359+H2359</f>
        <v>3178702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370</v>
      </c>
      <c r="C2360" t="s">
        <v>82</v>
      </c>
      <c r="D2360" t="s">
        <v>83</v>
      </c>
      <c r="E2360" t="s">
        <v>116</v>
      </c>
      <c r="F2360">
        <v>512</v>
      </c>
      <c r="G2360">
        <f>MAX(I2359,I2357)</f>
        <v>3178702</v>
      </c>
      <c r="H2360">
        <f>CEILING((dram_access_latency+F2360/dram_bandwidth)*frequency,1)</f>
        <v>108</v>
      </c>
      <c r="I2360">
        <f>G2360+H2360</f>
        <v>3178810</v>
      </c>
      <c r="J2360">
        <f>IF(AND(D2360&lt;&gt;"dram",D2360&lt;&gt;"control"),H2360,0)</f>
        <v>0</v>
      </c>
      <c r="K2360">
        <f>IF(D2360="dram",H2360,0)</f>
        <v>108</v>
      </c>
      <c r="L2360">
        <v>512</v>
      </c>
      <c r="M2360">
        <v>0</v>
      </c>
    </row>
    <row r="2361" spans="1:13">
      <c r="A2361">
        <v>2359</v>
      </c>
      <c r="B2361" t="s">
        <v>371</v>
      </c>
      <c r="C2361" t="s">
        <v>82</v>
      </c>
      <c r="D2361" t="s">
        <v>83</v>
      </c>
      <c r="E2361" t="s">
        <v>116</v>
      </c>
      <c r="F2361">
        <v>262144</v>
      </c>
      <c r="G2361">
        <f>MAX(I2359,I2360)</f>
        <v>3178810</v>
      </c>
      <c r="H2361">
        <f>CEILING((dram_access_latency+F2361/dram_bandwidth)*frequency,1)</f>
        <v>4196</v>
      </c>
      <c r="I2361">
        <f>G2361+H2361</f>
        <v>3183006</v>
      </c>
      <c r="J2361">
        <f>IF(AND(D2361&lt;&gt;"dram",D2361&lt;&gt;"control"),H2361,0)</f>
        <v>0</v>
      </c>
      <c r="K2361">
        <f>IF(D2361="dram",H2361,0)</f>
        <v>4196</v>
      </c>
      <c r="L2361">
        <v>262144</v>
      </c>
      <c r="M2361">
        <v>0</v>
      </c>
    </row>
    <row r="2362" spans="1:13">
      <c r="A2362">
        <v>2360</v>
      </c>
      <c r="B2362" t="s">
        <v>372</v>
      </c>
      <c r="C2362" t="s">
        <v>82</v>
      </c>
      <c r="D2362" t="s">
        <v>83</v>
      </c>
      <c r="E2362" t="s">
        <v>116</v>
      </c>
      <c r="F2362">
        <v>16</v>
      </c>
      <c r="G2362">
        <f>MAX(I2359,I2361)</f>
        <v>3183006</v>
      </c>
      <c r="H2362">
        <f>CEILING((dram_access_latency+F2362/dram_bandwidth)*frequency,1)</f>
        <v>101</v>
      </c>
      <c r="I2362">
        <f>G2362+H2362</f>
        <v>3183107</v>
      </c>
      <c r="J2362">
        <f>IF(AND(D2362&lt;&gt;"dram",D2362&lt;&gt;"control"),H2362,0)</f>
        <v>0</v>
      </c>
      <c r="K2362">
        <f>IF(D2362="dram",H2362,0)</f>
        <v>101</v>
      </c>
      <c r="L2362">
        <v>16</v>
      </c>
      <c r="M2362">
        <v>0</v>
      </c>
    </row>
    <row r="2363" spans="1:13">
      <c r="A2363">
        <v>2361</v>
      </c>
      <c r="B2363" t="s">
        <v>373</v>
      </c>
      <c r="C2363" t="s">
        <v>82</v>
      </c>
      <c r="D2363" t="s">
        <v>83</v>
      </c>
      <c r="E2363" t="s">
        <v>116</v>
      </c>
      <c r="F2363">
        <v>8192</v>
      </c>
      <c r="G2363">
        <f>MAX(I2359,I2362)</f>
        <v>3183107</v>
      </c>
      <c r="H2363">
        <f>CEILING((dram_access_latency+F2363/dram_bandwidth)*frequency,1)</f>
        <v>228</v>
      </c>
      <c r="I2363">
        <f>G2363+H2363</f>
        <v>3183335</v>
      </c>
      <c r="J2363">
        <f>IF(AND(D2363&lt;&gt;"dram",D2363&lt;&gt;"control"),H2363,0)</f>
        <v>0</v>
      </c>
      <c r="K2363">
        <f>IF(D2363="dram",H2363,0)</f>
        <v>228</v>
      </c>
      <c r="L2363">
        <v>8192</v>
      </c>
      <c r="M2363">
        <v>0</v>
      </c>
    </row>
    <row r="2364" spans="1:13">
      <c r="A2364">
        <v>2362</v>
      </c>
      <c r="B2364" t="s">
        <v>62</v>
      </c>
      <c r="C2364" t="s">
        <v>90</v>
      </c>
      <c r="D2364" t="s">
        <v>108</v>
      </c>
      <c r="E2364" t="s">
        <v>116</v>
      </c>
      <c r="F2364">
        <v>0</v>
      </c>
      <c r="G2364">
        <f>MAX(I2358,I2358,I2360,I2361,I2362,I2363,I2322)</f>
        <v>3187154</v>
      </c>
      <c r="H2364">
        <f>'Operations'!I26</f>
        <v>8452</v>
      </c>
      <c r="I2364">
        <f>G2364+H2364</f>
        <v>3195606</v>
      </c>
      <c r="J2364">
        <f>IF(AND(D2364&lt;&gt;"dram",D2364&lt;&gt;"control"),H2364,0)</f>
        <v>8452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375</v>
      </c>
      <c r="C2365" t="s">
        <v>88</v>
      </c>
      <c r="D2365" t="s">
        <v>89</v>
      </c>
      <c r="E2365" t="s">
        <v>116</v>
      </c>
      <c r="F2365">
        <v>0</v>
      </c>
      <c r="G2365">
        <f>MAX(I2359,I2358)</f>
        <v>3178702</v>
      </c>
      <c r="H2365">
        <f>0</f>
        <v>8452</v>
      </c>
      <c r="I2365">
        <f>G2365+H2365</f>
        <v>3187154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370</v>
      </c>
      <c r="C2366" t="s">
        <v>82</v>
      </c>
      <c r="D2366" t="s">
        <v>83</v>
      </c>
      <c r="E2366" t="s">
        <v>117</v>
      </c>
      <c r="F2366">
        <v>512</v>
      </c>
      <c r="G2366">
        <f>MAX(I2365,I2363)</f>
        <v>3187154</v>
      </c>
      <c r="H2366">
        <f>CEILING((dram_access_latency+F2366/dram_bandwidth)*frequency,1)</f>
        <v>108</v>
      </c>
      <c r="I2366">
        <f>G2366+H2366</f>
        <v>3187262</v>
      </c>
      <c r="J2366">
        <f>IF(AND(D2366&lt;&gt;"dram",D2366&lt;&gt;"control"),H2366,0)</f>
        <v>0</v>
      </c>
      <c r="K2366">
        <f>IF(D2366="dram",H2366,0)</f>
        <v>108</v>
      </c>
      <c r="L2366">
        <v>512</v>
      </c>
      <c r="M2366">
        <v>0</v>
      </c>
    </row>
    <row r="2367" spans="1:13">
      <c r="A2367">
        <v>2365</v>
      </c>
      <c r="B2367" t="s">
        <v>371</v>
      </c>
      <c r="C2367" t="s">
        <v>82</v>
      </c>
      <c r="D2367" t="s">
        <v>83</v>
      </c>
      <c r="E2367" t="s">
        <v>117</v>
      </c>
      <c r="F2367">
        <v>262144</v>
      </c>
      <c r="G2367">
        <f>MAX(I2365,I2366)</f>
        <v>3187262</v>
      </c>
      <c r="H2367">
        <f>CEILING((dram_access_latency+F2367/dram_bandwidth)*frequency,1)</f>
        <v>4196</v>
      </c>
      <c r="I2367">
        <f>G2367+H2367</f>
        <v>3191458</v>
      </c>
      <c r="J2367">
        <f>IF(AND(D2367&lt;&gt;"dram",D2367&lt;&gt;"control"),H2367,0)</f>
        <v>0</v>
      </c>
      <c r="K2367">
        <f>IF(D2367="dram",H2367,0)</f>
        <v>4196</v>
      </c>
      <c r="L2367">
        <v>262144</v>
      </c>
      <c r="M2367">
        <v>0</v>
      </c>
    </row>
    <row r="2368" spans="1:13">
      <c r="A2368">
        <v>2366</v>
      </c>
      <c r="B2368" t="s">
        <v>372</v>
      </c>
      <c r="C2368" t="s">
        <v>82</v>
      </c>
      <c r="D2368" t="s">
        <v>83</v>
      </c>
      <c r="E2368" t="s">
        <v>117</v>
      </c>
      <c r="F2368">
        <v>16</v>
      </c>
      <c r="G2368">
        <f>MAX(I2365,I2367)</f>
        <v>3191458</v>
      </c>
      <c r="H2368">
        <f>CEILING((dram_access_latency+F2368/dram_bandwidth)*frequency,1)</f>
        <v>101</v>
      </c>
      <c r="I2368">
        <f>G2368+H2368</f>
        <v>3191559</v>
      </c>
      <c r="J2368">
        <f>IF(AND(D2368&lt;&gt;"dram",D2368&lt;&gt;"control"),H2368,0)</f>
        <v>0</v>
      </c>
      <c r="K2368">
        <f>IF(D2368="dram",H2368,0)</f>
        <v>101</v>
      </c>
      <c r="L2368">
        <v>16</v>
      </c>
      <c r="M2368">
        <v>0</v>
      </c>
    </row>
    <row r="2369" spans="1:13">
      <c r="A2369">
        <v>2367</v>
      </c>
      <c r="B2369" t="s">
        <v>373</v>
      </c>
      <c r="C2369" t="s">
        <v>82</v>
      </c>
      <c r="D2369" t="s">
        <v>83</v>
      </c>
      <c r="E2369" t="s">
        <v>117</v>
      </c>
      <c r="F2369">
        <v>8192</v>
      </c>
      <c r="G2369">
        <f>MAX(I2365,I2368)</f>
        <v>3191559</v>
      </c>
      <c r="H2369">
        <f>CEILING((dram_access_latency+F2369/dram_bandwidth)*frequency,1)</f>
        <v>228</v>
      </c>
      <c r="I2369">
        <f>G2369+H2369</f>
        <v>3191787</v>
      </c>
      <c r="J2369">
        <f>IF(AND(D2369&lt;&gt;"dram",D2369&lt;&gt;"control"),H2369,0)</f>
        <v>0</v>
      </c>
      <c r="K2369">
        <f>IF(D2369="dram",H2369,0)</f>
        <v>228</v>
      </c>
      <c r="L2369">
        <v>8192</v>
      </c>
      <c r="M2369">
        <v>0</v>
      </c>
    </row>
    <row r="2370" spans="1:13">
      <c r="A2370">
        <v>2368</v>
      </c>
      <c r="B2370" t="s">
        <v>62</v>
      </c>
      <c r="C2370" t="s">
        <v>90</v>
      </c>
      <c r="D2370" t="s">
        <v>108</v>
      </c>
      <c r="E2370" t="s">
        <v>117</v>
      </c>
      <c r="F2370">
        <v>0</v>
      </c>
      <c r="G2370">
        <f>MAX(I2364,I2364,I2366,I2367,I2368,I2369,I2322)</f>
        <v>3195606</v>
      </c>
      <c r="H2370">
        <f>'Operations'!I26</f>
        <v>8452</v>
      </c>
      <c r="I2370">
        <f>G2370+H2370</f>
        <v>3204058</v>
      </c>
      <c r="J2370">
        <f>IF(AND(D2370&lt;&gt;"dram",D2370&lt;&gt;"control"),H2370,0)</f>
        <v>8452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375</v>
      </c>
      <c r="C2371" t="s">
        <v>88</v>
      </c>
      <c r="D2371" t="s">
        <v>89</v>
      </c>
      <c r="E2371" t="s">
        <v>117</v>
      </c>
      <c r="F2371">
        <v>0</v>
      </c>
      <c r="G2371">
        <f>MAX(I2365,I2364)</f>
        <v>3187154</v>
      </c>
      <c r="H2371">
        <f>0</f>
        <v>8452</v>
      </c>
      <c r="I2371">
        <f>G2371+H2371</f>
        <v>3195606</v>
      </c>
      <c r="J2371">
        <f>IF(AND(D2371&lt;&gt;"dram",D2371&lt;&gt;"control"),H2371,0)</f>
        <v>0</v>
      </c>
      <c r="K2371">
        <f>IF(D2371="dram",H2371,0)</f>
        <v>0</v>
      </c>
      <c r="L2371">
        <v>0</v>
      </c>
      <c r="M2371">
        <v>0</v>
      </c>
    </row>
    <row r="2372" spans="1:13">
      <c r="A2372">
        <v>2370</v>
      </c>
      <c r="B2372" t="s">
        <v>370</v>
      </c>
      <c r="C2372" t="s">
        <v>82</v>
      </c>
      <c r="D2372" t="s">
        <v>83</v>
      </c>
      <c r="E2372" t="s">
        <v>118</v>
      </c>
      <c r="F2372">
        <v>512</v>
      </c>
      <c r="G2372">
        <f>MAX(I2371,I2369)</f>
        <v>3195606</v>
      </c>
      <c r="H2372">
        <f>CEILING((dram_access_latency+F2372/dram_bandwidth)*frequency,1)</f>
        <v>108</v>
      </c>
      <c r="I2372">
        <f>G2372+H2372</f>
        <v>3195714</v>
      </c>
      <c r="J2372">
        <f>IF(AND(D2372&lt;&gt;"dram",D2372&lt;&gt;"control"),H2372,0)</f>
        <v>0</v>
      </c>
      <c r="K2372">
        <f>IF(D2372="dram",H2372,0)</f>
        <v>108</v>
      </c>
      <c r="L2372">
        <v>512</v>
      </c>
      <c r="M2372">
        <v>0</v>
      </c>
    </row>
    <row r="2373" spans="1:13">
      <c r="A2373">
        <v>2371</v>
      </c>
      <c r="B2373" t="s">
        <v>371</v>
      </c>
      <c r="C2373" t="s">
        <v>82</v>
      </c>
      <c r="D2373" t="s">
        <v>83</v>
      </c>
      <c r="E2373" t="s">
        <v>118</v>
      </c>
      <c r="F2373">
        <v>262144</v>
      </c>
      <c r="G2373">
        <f>MAX(I2371,I2372)</f>
        <v>3195714</v>
      </c>
      <c r="H2373">
        <f>CEILING((dram_access_latency+F2373/dram_bandwidth)*frequency,1)</f>
        <v>4196</v>
      </c>
      <c r="I2373">
        <f>G2373+H2373</f>
        <v>3199910</v>
      </c>
      <c r="J2373">
        <f>IF(AND(D2373&lt;&gt;"dram",D2373&lt;&gt;"control"),H2373,0)</f>
        <v>0</v>
      </c>
      <c r="K2373">
        <f>IF(D2373="dram",H2373,0)</f>
        <v>4196</v>
      </c>
      <c r="L2373">
        <v>262144</v>
      </c>
      <c r="M2373">
        <v>0</v>
      </c>
    </row>
    <row r="2374" spans="1:13">
      <c r="A2374">
        <v>2372</v>
      </c>
      <c r="B2374" t="s">
        <v>372</v>
      </c>
      <c r="C2374" t="s">
        <v>82</v>
      </c>
      <c r="D2374" t="s">
        <v>83</v>
      </c>
      <c r="E2374" t="s">
        <v>118</v>
      </c>
      <c r="F2374">
        <v>16</v>
      </c>
      <c r="G2374">
        <f>MAX(I2371,I2373)</f>
        <v>3199910</v>
      </c>
      <c r="H2374">
        <f>CEILING((dram_access_latency+F2374/dram_bandwidth)*frequency,1)</f>
        <v>101</v>
      </c>
      <c r="I2374">
        <f>G2374+H2374</f>
        <v>3200011</v>
      </c>
      <c r="J2374">
        <f>IF(AND(D2374&lt;&gt;"dram",D2374&lt;&gt;"control"),H2374,0)</f>
        <v>0</v>
      </c>
      <c r="K2374">
        <f>IF(D2374="dram",H2374,0)</f>
        <v>101</v>
      </c>
      <c r="L2374">
        <v>16</v>
      </c>
      <c r="M2374">
        <v>0</v>
      </c>
    </row>
    <row r="2375" spans="1:13">
      <c r="A2375">
        <v>2373</v>
      </c>
      <c r="B2375" t="s">
        <v>373</v>
      </c>
      <c r="C2375" t="s">
        <v>82</v>
      </c>
      <c r="D2375" t="s">
        <v>83</v>
      </c>
      <c r="E2375" t="s">
        <v>118</v>
      </c>
      <c r="F2375">
        <v>8192</v>
      </c>
      <c r="G2375">
        <f>MAX(I2371,I2374)</f>
        <v>3200011</v>
      </c>
      <c r="H2375">
        <f>CEILING((dram_access_latency+F2375/dram_bandwidth)*frequency,1)</f>
        <v>228</v>
      </c>
      <c r="I2375">
        <f>G2375+H2375</f>
        <v>3200239</v>
      </c>
      <c r="J2375">
        <f>IF(AND(D2375&lt;&gt;"dram",D2375&lt;&gt;"control"),H2375,0)</f>
        <v>0</v>
      </c>
      <c r="K2375">
        <f>IF(D2375="dram",H2375,0)</f>
        <v>228</v>
      </c>
      <c r="L2375">
        <v>8192</v>
      </c>
      <c r="M2375">
        <v>0</v>
      </c>
    </row>
    <row r="2376" spans="1:13">
      <c r="A2376">
        <v>2374</v>
      </c>
      <c r="B2376" t="s">
        <v>62</v>
      </c>
      <c r="C2376" t="s">
        <v>90</v>
      </c>
      <c r="D2376" t="s">
        <v>108</v>
      </c>
      <c r="E2376" t="s">
        <v>118</v>
      </c>
      <c r="F2376">
        <v>0</v>
      </c>
      <c r="G2376">
        <f>MAX(I2370,I2370,I2372,I2373,I2374,I2375,I2322)</f>
        <v>3204058</v>
      </c>
      <c r="H2376">
        <f>'Operations'!I26</f>
        <v>8452</v>
      </c>
      <c r="I2376">
        <f>G2376+H2376</f>
        <v>3212510</v>
      </c>
      <c r="J2376">
        <f>IF(AND(D2376&lt;&gt;"dram",D2376&lt;&gt;"control"),H2376,0)</f>
        <v>8452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375</v>
      </c>
      <c r="C2377" t="s">
        <v>88</v>
      </c>
      <c r="D2377" t="s">
        <v>89</v>
      </c>
      <c r="E2377" t="s">
        <v>118</v>
      </c>
      <c r="F2377">
        <v>0</v>
      </c>
      <c r="G2377">
        <f>MAX(I2371,I2370)</f>
        <v>3195606</v>
      </c>
      <c r="H2377">
        <f>0</f>
        <v>8452</v>
      </c>
      <c r="I2377">
        <f>G2377+H2377</f>
        <v>3204058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370</v>
      </c>
      <c r="C2378" t="s">
        <v>82</v>
      </c>
      <c r="D2378" t="s">
        <v>83</v>
      </c>
      <c r="E2378" t="s">
        <v>119</v>
      </c>
      <c r="F2378">
        <v>512</v>
      </c>
      <c r="G2378">
        <f>MAX(I2377,I2375)</f>
        <v>3204058</v>
      </c>
      <c r="H2378">
        <f>CEILING((dram_access_latency+F2378/dram_bandwidth)*frequency,1)</f>
        <v>108</v>
      </c>
      <c r="I2378">
        <f>G2378+H2378</f>
        <v>3204166</v>
      </c>
      <c r="J2378">
        <f>IF(AND(D2378&lt;&gt;"dram",D2378&lt;&gt;"control"),H2378,0)</f>
        <v>0</v>
      </c>
      <c r="K2378">
        <f>IF(D2378="dram",H2378,0)</f>
        <v>108</v>
      </c>
      <c r="L2378">
        <v>512</v>
      </c>
      <c r="M2378">
        <v>0</v>
      </c>
    </row>
    <row r="2379" spans="1:13">
      <c r="A2379">
        <v>2377</v>
      </c>
      <c r="B2379" t="s">
        <v>371</v>
      </c>
      <c r="C2379" t="s">
        <v>82</v>
      </c>
      <c r="D2379" t="s">
        <v>83</v>
      </c>
      <c r="E2379" t="s">
        <v>119</v>
      </c>
      <c r="F2379">
        <v>262144</v>
      </c>
      <c r="G2379">
        <f>MAX(I2377,I2378)</f>
        <v>3204166</v>
      </c>
      <c r="H2379">
        <f>CEILING((dram_access_latency+F2379/dram_bandwidth)*frequency,1)</f>
        <v>4196</v>
      </c>
      <c r="I2379">
        <f>G2379+H2379</f>
        <v>3208362</v>
      </c>
      <c r="J2379">
        <f>IF(AND(D2379&lt;&gt;"dram",D2379&lt;&gt;"control"),H2379,0)</f>
        <v>0</v>
      </c>
      <c r="K2379">
        <f>IF(D2379="dram",H2379,0)</f>
        <v>4196</v>
      </c>
      <c r="L2379">
        <v>262144</v>
      </c>
      <c r="M2379">
        <v>0</v>
      </c>
    </row>
    <row r="2380" spans="1:13">
      <c r="A2380">
        <v>2378</v>
      </c>
      <c r="B2380" t="s">
        <v>372</v>
      </c>
      <c r="C2380" t="s">
        <v>82</v>
      </c>
      <c r="D2380" t="s">
        <v>83</v>
      </c>
      <c r="E2380" t="s">
        <v>119</v>
      </c>
      <c r="F2380">
        <v>16</v>
      </c>
      <c r="G2380">
        <f>MAX(I2377,I2379)</f>
        <v>3208362</v>
      </c>
      <c r="H2380">
        <f>CEILING((dram_access_latency+F2380/dram_bandwidth)*frequency,1)</f>
        <v>101</v>
      </c>
      <c r="I2380">
        <f>G2380+H2380</f>
        <v>3208463</v>
      </c>
      <c r="J2380">
        <f>IF(AND(D2380&lt;&gt;"dram",D2380&lt;&gt;"control"),H2380,0)</f>
        <v>0</v>
      </c>
      <c r="K2380">
        <f>IF(D2380="dram",H2380,0)</f>
        <v>101</v>
      </c>
      <c r="L2380">
        <v>16</v>
      </c>
      <c r="M2380">
        <v>0</v>
      </c>
    </row>
    <row r="2381" spans="1:13">
      <c r="A2381">
        <v>2379</v>
      </c>
      <c r="B2381" t="s">
        <v>373</v>
      </c>
      <c r="C2381" t="s">
        <v>82</v>
      </c>
      <c r="D2381" t="s">
        <v>83</v>
      </c>
      <c r="E2381" t="s">
        <v>119</v>
      </c>
      <c r="F2381">
        <v>8192</v>
      </c>
      <c r="G2381">
        <f>MAX(I2377,I2380)</f>
        <v>3208463</v>
      </c>
      <c r="H2381">
        <f>CEILING((dram_access_latency+F2381/dram_bandwidth)*frequency,1)</f>
        <v>228</v>
      </c>
      <c r="I2381">
        <f>G2381+H2381</f>
        <v>3208691</v>
      </c>
      <c r="J2381">
        <f>IF(AND(D2381&lt;&gt;"dram",D2381&lt;&gt;"control"),H2381,0)</f>
        <v>0</v>
      </c>
      <c r="K2381">
        <f>IF(D2381="dram",H2381,0)</f>
        <v>228</v>
      </c>
      <c r="L2381">
        <v>8192</v>
      </c>
      <c r="M2381">
        <v>0</v>
      </c>
    </row>
    <row r="2382" spans="1:13">
      <c r="A2382">
        <v>2380</v>
      </c>
      <c r="B2382" t="s">
        <v>62</v>
      </c>
      <c r="C2382" t="s">
        <v>90</v>
      </c>
      <c r="D2382" t="s">
        <v>108</v>
      </c>
      <c r="E2382" t="s">
        <v>119</v>
      </c>
      <c r="F2382">
        <v>0</v>
      </c>
      <c r="G2382">
        <f>MAX(I2376,I2376,I2378,I2379,I2380,I2381,I2322)</f>
        <v>3212510</v>
      </c>
      <c r="H2382">
        <f>'Operations'!I26</f>
        <v>8452</v>
      </c>
      <c r="I2382">
        <f>G2382+H2382</f>
        <v>3220962</v>
      </c>
      <c r="J2382">
        <f>IF(AND(D2382&lt;&gt;"dram",D2382&lt;&gt;"control"),H2382,0)</f>
        <v>8452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375</v>
      </c>
      <c r="C2383" t="s">
        <v>88</v>
      </c>
      <c r="D2383" t="s">
        <v>89</v>
      </c>
      <c r="E2383" t="s">
        <v>119</v>
      </c>
      <c r="F2383">
        <v>0</v>
      </c>
      <c r="G2383">
        <f>MAX(I2377,I2376)</f>
        <v>3204058</v>
      </c>
      <c r="H2383">
        <f>0</f>
        <v>8452</v>
      </c>
      <c r="I2383">
        <f>G2383+H2383</f>
        <v>3212510</v>
      </c>
      <c r="J2383">
        <f>IF(AND(D2383&lt;&gt;"dram",D2383&lt;&gt;"control"),H2383,0)</f>
        <v>0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370</v>
      </c>
      <c r="C2384" t="s">
        <v>82</v>
      </c>
      <c r="D2384" t="s">
        <v>83</v>
      </c>
      <c r="E2384" t="s">
        <v>120</v>
      </c>
      <c r="F2384">
        <v>512</v>
      </c>
      <c r="G2384">
        <f>MAX(I2383,I2381)</f>
        <v>3212510</v>
      </c>
      <c r="H2384">
        <f>CEILING((dram_access_latency+F2384/dram_bandwidth)*frequency,1)</f>
        <v>108</v>
      </c>
      <c r="I2384">
        <f>G2384+H2384</f>
        <v>3212618</v>
      </c>
      <c r="J2384">
        <f>IF(AND(D2384&lt;&gt;"dram",D2384&lt;&gt;"control"),H2384,0)</f>
        <v>0</v>
      </c>
      <c r="K2384">
        <f>IF(D2384="dram",H2384,0)</f>
        <v>108</v>
      </c>
      <c r="L2384">
        <v>512</v>
      </c>
      <c r="M2384">
        <v>0</v>
      </c>
    </row>
    <row r="2385" spans="1:13">
      <c r="A2385">
        <v>2383</v>
      </c>
      <c r="B2385" t="s">
        <v>371</v>
      </c>
      <c r="C2385" t="s">
        <v>82</v>
      </c>
      <c r="D2385" t="s">
        <v>83</v>
      </c>
      <c r="E2385" t="s">
        <v>120</v>
      </c>
      <c r="F2385">
        <v>262144</v>
      </c>
      <c r="G2385">
        <f>MAX(I2383,I2384)</f>
        <v>3212618</v>
      </c>
      <c r="H2385">
        <f>CEILING((dram_access_latency+F2385/dram_bandwidth)*frequency,1)</f>
        <v>4196</v>
      </c>
      <c r="I2385">
        <f>G2385+H2385</f>
        <v>3216814</v>
      </c>
      <c r="J2385">
        <f>IF(AND(D2385&lt;&gt;"dram",D2385&lt;&gt;"control"),H2385,0)</f>
        <v>0</v>
      </c>
      <c r="K2385">
        <f>IF(D2385="dram",H2385,0)</f>
        <v>4196</v>
      </c>
      <c r="L2385">
        <v>262144</v>
      </c>
      <c r="M2385">
        <v>0</v>
      </c>
    </row>
    <row r="2386" spans="1:13">
      <c r="A2386">
        <v>2384</v>
      </c>
      <c r="B2386" t="s">
        <v>372</v>
      </c>
      <c r="C2386" t="s">
        <v>82</v>
      </c>
      <c r="D2386" t="s">
        <v>83</v>
      </c>
      <c r="E2386" t="s">
        <v>120</v>
      </c>
      <c r="F2386">
        <v>16</v>
      </c>
      <c r="G2386">
        <f>MAX(I2383,I2385)</f>
        <v>3216814</v>
      </c>
      <c r="H2386">
        <f>CEILING((dram_access_latency+F2386/dram_bandwidth)*frequency,1)</f>
        <v>101</v>
      </c>
      <c r="I2386">
        <f>G2386+H2386</f>
        <v>3216915</v>
      </c>
      <c r="J2386">
        <f>IF(AND(D2386&lt;&gt;"dram",D2386&lt;&gt;"control"),H2386,0)</f>
        <v>0</v>
      </c>
      <c r="K2386">
        <f>IF(D2386="dram",H2386,0)</f>
        <v>101</v>
      </c>
      <c r="L2386">
        <v>16</v>
      </c>
      <c r="M2386">
        <v>0</v>
      </c>
    </row>
    <row r="2387" spans="1:13">
      <c r="A2387">
        <v>2385</v>
      </c>
      <c r="B2387" t="s">
        <v>373</v>
      </c>
      <c r="C2387" t="s">
        <v>82</v>
      </c>
      <c r="D2387" t="s">
        <v>83</v>
      </c>
      <c r="E2387" t="s">
        <v>120</v>
      </c>
      <c r="F2387">
        <v>8192</v>
      </c>
      <c r="G2387">
        <f>MAX(I2383,I2386)</f>
        <v>3216915</v>
      </c>
      <c r="H2387">
        <f>CEILING((dram_access_latency+F2387/dram_bandwidth)*frequency,1)</f>
        <v>228</v>
      </c>
      <c r="I2387">
        <f>G2387+H2387</f>
        <v>3217143</v>
      </c>
      <c r="J2387">
        <f>IF(AND(D2387&lt;&gt;"dram",D2387&lt;&gt;"control"),H2387,0)</f>
        <v>0</v>
      </c>
      <c r="K2387">
        <f>IF(D2387="dram",H2387,0)</f>
        <v>228</v>
      </c>
      <c r="L2387">
        <v>8192</v>
      </c>
      <c r="M2387">
        <v>0</v>
      </c>
    </row>
    <row r="2388" spans="1:13">
      <c r="A2388">
        <v>2386</v>
      </c>
      <c r="B2388" t="s">
        <v>62</v>
      </c>
      <c r="C2388" t="s">
        <v>90</v>
      </c>
      <c r="D2388" t="s">
        <v>108</v>
      </c>
      <c r="E2388" t="s">
        <v>120</v>
      </c>
      <c r="F2388">
        <v>0</v>
      </c>
      <c r="G2388">
        <f>MAX(I2382,I2382,I2384,I2385,I2386,I2387,I2322)</f>
        <v>3220962</v>
      </c>
      <c r="H2388">
        <f>'Operations'!I26</f>
        <v>8452</v>
      </c>
      <c r="I2388">
        <f>G2388+H2388</f>
        <v>3229414</v>
      </c>
      <c r="J2388">
        <f>IF(AND(D2388&lt;&gt;"dram",D2388&lt;&gt;"control"),H2388,0)</f>
        <v>8452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375</v>
      </c>
      <c r="C2389" t="s">
        <v>88</v>
      </c>
      <c r="D2389" t="s">
        <v>89</v>
      </c>
      <c r="E2389" t="s">
        <v>120</v>
      </c>
      <c r="F2389">
        <v>0</v>
      </c>
      <c r="G2389">
        <f>MAX(I2383,I2382)</f>
        <v>3212510</v>
      </c>
      <c r="H2389">
        <f>0</f>
        <v>8452</v>
      </c>
      <c r="I2389">
        <f>G2389+H2389</f>
        <v>3220962</v>
      </c>
      <c r="J2389">
        <f>IF(AND(D2389&lt;&gt;"dram",D2389&lt;&gt;"control"),H2389,0)</f>
        <v>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370</v>
      </c>
      <c r="C2390" t="s">
        <v>82</v>
      </c>
      <c r="D2390" t="s">
        <v>83</v>
      </c>
      <c r="E2390" t="s">
        <v>121</v>
      </c>
      <c r="F2390">
        <v>512</v>
      </c>
      <c r="G2390">
        <f>MAX(I2389,I2387)</f>
        <v>3220962</v>
      </c>
      <c r="H2390">
        <f>CEILING((dram_access_latency+F2390/dram_bandwidth)*frequency,1)</f>
        <v>108</v>
      </c>
      <c r="I2390">
        <f>G2390+H2390</f>
        <v>3221070</v>
      </c>
      <c r="J2390">
        <f>IF(AND(D2390&lt;&gt;"dram",D2390&lt;&gt;"control"),H2390,0)</f>
        <v>0</v>
      </c>
      <c r="K2390">
        <f>IF(D2390="dram",H2390,0)</f>
        <v>108</v>
      </c>
      <c r="L2390">
        <v>512</v>
      </c>
      <c r="M2390">
        <v>0</v>
      </c>
    </row>
    <row r="2391" spans="1:13">
      <c r="A2391">
        <v>2389</v>
      </c>
      <c r="B2391" t="s">
        <v>371</v>
      </c>
      <c r="C2391" t="s">
        <v>82</v>
      </c>
      <c r="D2391" t="s">
        <v>83</v>
      </c>
      <c r="E2391" t="s">
        <v>121</v>
      </c>
      <c r="F2391">
        <v>262144</v>
      </c>
      <c r="G2391">
        <f>MAX(I2389,I2390)</f>
        <v>3221070</v>
      </c>
      <c r="H2391">
        <f>CEILING((dram_access_latency+F2391/dram_bandwidth)*frequency,1)</f>
        <v>4196</v>
      </c>
      <c r="I2391">
        <f>G2391+H2391</f>
        <v>3225266</v>
      </c>
      <c r="J2391">
        <f>IF(AND(D2391&lt;&gt;"dram",D2391&lt;&gt;"control"),H2391,0)</f>
        <v>0</v>
      </c>
      <c r="K2391">
        <f>IF(D2391="dram",H2391,0)</f>
        <v>4196</v>
      </c>
      <c r="L2391">
        <v>262144</v>
      </c>
      <c r="M2391">
        <v>0</v>
      </c>
    </row>
    <row r="2392" spans="1:13">
      <c r="A2392">
        <v>2390</v>
      </c>
      <c r="B2392" t="s">
        <v>372</v>
      </c>
      <c r="C2392" t="s">
        <v>82</v>
      </c>
      <c r="D2392" t="s">
        <v>83</v>
      </c>
      <c r="E2392" t="s">
        <v>121</v>
      </c>
      <c r="F2392">
        <v>16</v>
      </c>
      <c r="G2392">
        <f>MAX(I2389,I2391)</f>
        <v>3225266</v>
      </c>
      <c r="H2392">
        <f>CEILING((dram_access_latency+F2392/dram_bandwidth)*frequency,1)</f>
        <v>101</v>
      </c>
      <c r="I2392">
        <f>G2392+H2392</f>
        <v>3225367</v>
      </c>
      <c r="J2392">
        <f>IF(AND(D2392&lt;&gt;"dram",D2392&lt;&gt;"control"),H2392,0)</f>
        <v>0</v>
      </c>
      <c r="K2392">
        <f>IF(D2392="dram",H2392,0)</f>
        <v>101</v>
      </c>
      <c r="L2392">
        <v>16</v>
      </c>
      <c r="M2392">
        <v>0</v>
      </c>
    </row>
    <row r="2393" spans="1:13">
      <c r="A2393">
        <v>2391</v>
      </c>
      <c r="B2393" t="s">
        <v>373</v>
      </c>
      <c r="C2393" t="s">
        <v>82</v>
      </c>
      <c r="D2393" t="s">
        <v>83</v>
      </c>
      <c r="E2393" t="s">
        <v>121</v>
      </c>
      <c r="F2393">
        <v>8192</v>
      </c>
      <c r="G2393">
        <f>MAX(I2389,I2392)</f>
        <v>3225367</v>
      </c>
      <c r="H2393">
        <f>CEILING((dram_access_latency+F2393/dram_bandwidth)*frequency,1)</f>
        <v>228</v>
      </c>
      <c r="I2393">
        <f>G2393+H2393</f>
        <v>3225595</v>
      </c>
      <c r="J2393">
        <f>IF(AND(D2393&lt;&gt;"dram",D2393&lt;&gt;"control"),H2393,0)</f>
        <v>0</v>
      </c>
      <c r="K2393">
        <f>IF(D2393="dram",H2393,0)</f>
        <v>228</v>
      </c>
      <c r="L2393">
        <v>8192</v>
      </c>
      <c r="M2393">
        <v>0</v>
      </c>
    </row>
    <row r="2394" spans="1:13">
      <c r="A2394">
        <v>2392</v>
      </c>
      <c r="B2394" t="s">
        <v>62</v>
      </c>
      <c r="C2394" t="s">
        <v>90</v>
      </c>
      <c r="D2394" t="s">
        <v>108</v>
      </c>
      <c r="E2394" t="s">
        <v>121</v>
      </c>
      <c r="F2394">
        <v>0</v>
      </c>
      <c r="G2394">
        <f>MAX(I2388,I2388,I2390,I2391,I2392,I2393,I2322)</f>
        <v>3229414</v>
      </c>
      <c r="H2394">
        <f>'Operations'!I26</f>
        <v>8452</v>
      </c>
      <c r="I2394">
        <f>G2394+H2394</f>
        <v>3237866</v>
      </c>
      <c r="J2394">
        <f>IF(AND(D2394&lt;&gt;"dram",D2394&lt;&gt;"control"),H2394,0)</f>
        <v>8452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375</v>
      </c>
      <c r="C2395" t="s">
        <v>88</v>
      </c>
      <c r="D2395" t="s">
        <v>89</v>
      </c>
      <c r="E2395" t="s">
        <v>121</v>
      </c>
      <c r="F2395">
        <v>0</v>
      </c>
      <c r="G2395">
        <f>MAX(I2389,I2388)</f>
        <v>3220962</v>
      </c>
      <c r="H2395">
        <f>0</f>
        <v>8452</v>
      </c>
      <c r="I2395">
        <f>G2395+H2395</f>
        <v>3229414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370</v>
      </c>
      <c r="C2396" t="s">
        <v>82</v>
      </c>
      <c r="D2396" t="s">
        <v>83</v>
      </c>
      <c r="E2396" t="s">
        <v>122</v>
      </c>
      <c r="F2396">
        <v>512</v>
      </c>
      <c r="G2396">
        <f>MAX(I2395,I2393)</f>
        <v>3229414</v>
      </c>
      <c r="H2396">
        <f>CEILING((dram_access_latency+F2396/dram_bandwidth)*frequency,1)</f>
        <v>108</v>
      </c>
      <c r="I2396">
        <f>G2396+H2396</f>
        <v>3229522</v>
      </c>
      <c r="J2396">
        <f>IF(AND(D2396&lt;&gt;"dram",D2396&lt;&gt;"control"),H2396,0)</f>
        <v>0</v>
      </c>
      <c r="K2396">
        <f>IF(D2396="dram",H2396,0)</f>
        <v>108</v>
      </c>
      <c r="L2396">
        <v>512</v>
      </c>
      <c r="M2396">
        <v>0</v>
      </c>
    </row>
    <row r="2397" spans="1:13">
      <c r="A2397">
        <v>2395</v>
      </c>
      <c r="B2397" t="s">
        <v>371</v>
      </c>
      <c r="C2397" t="s">
        <v>82</v>
      </c>
      <c r="D2397" t="s">
        <v>83</v>
      </c>
      <c r="E2397" t="s">
        <v>122</v>
      </c>
      <c r="F2397">
        <v>262144</v>
      </c>
      <c r="G2397">
        <f>MAX(I2395,I2396)</f>
        <v>3229522</v>
      </c>
      <c r="H2397">
        <f>CEILING((dram_access_latency+F2397/dram_bandwidth)*frequency,1)</f>
        <v>4196</v>
      </c>
      <c r="I2397">
        <f>G2397+H2397</f>
        <v>3233718</v>
      </c>
      <c r="J2397">
        <f>IF(AND(D2397&lt;&gt;"dram",D2397&lt;&gt;"control"),H2397,0)</f>
        <v>0</v>
      </c>
      <c r="K2397">
        <f>IF(D2397="dram",H2397,0)</f>
        <v>4196</v>
      </c>
      <c r="L2397">
        <v>262144</v>
      </c>
      <c r="M2397">
        <v>0</v>
      </c>
    </row>
    <row r="2398" spans="1:13">
      <c r="A2398">
        <v>2396</v>
      </c>
      <c r="B2398" t="s">
        <v>372</v>
      </c>
      <c r="C2398" t="s">
        <v>82</v>
      </c>
      <c r="D2398" t="s">
        <v>83</v>
      </c>
      <c r="E2398" t="s">
        <v>122</v>
      </c>
      <c r="F2398">
        <v>16</v>
      </c>
      <c r="G2398">
        <f>MAX(I2395,I2397)</f>
        <v>3233718</v>
      </c>
      <c r="H2398">
        <f>CEILING((dram_access_latency+F2398/dram_bandwidth)*frequency,1)</f>
        <v>101</v>
      </c>
      <c r="I2398">
        <f>G2398+H2398</f>
        <v>3233819</v>
      </c>
      <c r="J2398">
        <f>IF(AND(D2398&lt;&gt;"dram",D2398&lt;&gt;"control"),H2398,0)</f>
        <v>0</v>
      </c>
      <c r="K2398">
        <f>IF(D2398="dram",H2398,0)</f>
        <v>101</v>
      </c>
      <c r="L2398">
        <v>16</v>
      </c>
      <c r="M2398">
        <v>0</v>
      </c>
    </row>
    <row r="2399" spans="1:13">
      <c r="A2399">
        <v>2397</v>
      </c>
      <c r="B2399" t="s">
        <v>373</v>
      </c>
      <c r="C2399" t="s">
        <v>82</v>
      </c>
      <c r="D2399" t="s">
        <v>83</v>
      </c>
      <c r="E2399" t="s">
        <v>122</v>
      </c>
      <c r="F2399">
        <v>8192</v>
      </c>
      <c r="G2399">
        <f>MAX(I2395,I2398)</f>
        <v>3233819</v>
      </c>
      <c r="H2399">
        <f>CEILING((dram_access_latency+F2399/dram_bandwidth)*frequency,1)</f>
        <v>228</v>
      </c>
      <c r="I2399">
        <f>G2399+H2399</f>
        <v>3234047</v>
      </c>
      <c r="J2399">
        <f>IF(AND(D2399&lt;&gt;"dram",D2399&lt;&gt;"control"),H2399,0)</f>
        <v>0</v>
      </c>
      <c r="K2399">
        <f>IF(D2399="dram",H2399,0)</f>
        <v>228</v>
      </c>
      <c r="L2399">
        <v>8192</v>
      </c>
      <c r="M2399">
        <v>0</v>
      </c>
    </row>
    <row r="2400" spans="1:13">
      <c r="A2400">
        <v>2398</v>
      </c>
      <c r="B2400" t="s">
        <v>62</v>
      </c>
      <c r="C2400" t="s">
        <v>90</v>
      </c>
      <c r="D2400" t="s">
        <v>108</v>
      </c>
      <c r="E2400" t="s">
        <v>122</v>
      </c>
      <c r="F2400">
        <v>0</v>
      </c>
      <c r="G2400">
        <f>MAX(I2394,I2394,I2396,I2397,I2398,I2399,I2322)</f>
        <v>3237866</v>
      </c>
      <c r="H2400">
        <f>'Operations'!I26</f>
        <v>8452</v>
      </c>
      <c r="I2400">
        <f>G2400+H2400</f>
        <v>3246318</v>
      </c>
      <c r="J2400">
        <f>IF(AND(D2400&lt;&gt;"dram",D2400&lt;&gt;"control"),H2400,0)</f>
        <v>8452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375</v>
      </c>
      <c r="C2401" t="s">
        <v>88</v>
      </c>
      <c r="D2401" t="s">
        <v>89</v>
      </c>
      <c r="E2401" t="s">
        <v>122</v>
      </c>
      <c r="F2401">
        <v>0</v>
      </c>
      <c r="G2401">
        <f>MAX(I2395,I2394)</f>
        <v>3229414</v>
      </c>
      <c r="H2401">
        <f>0</f>
        <v>8452</v>
      </c>
      <c r="I2401">
        <f>G2401+H2401</f>
        <v>3237866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370</v>
      </c>
      <c r="C2402" t="s">
        <v>82</v>
      </c>
      <c r="D2402" t="s">
        <v>83</v>
      </c>
      <c r="E2402" t="s">
        <v>123</v>
      </c>
      <c r="F2402">
        <v>512</v>
      </c>
      <c r="G2402">
        <f>MAX(I2401,I2399)</f>
        <v>3237866</v>
      </c>
      <c r="H2402">
        <f>CEILING((dram_access_latency+F2402/dram_bandwidth)*frequency,1)</f>
        <v>108</v>
      </c>
      <c r="I2402">
        <f>G2402+H2402</f>
        <v>3237974</v>
      </c>
      <c r="J2402">
        <f>IF(AND(D2402&lt;&gt;"dram",D2402&lt;&gt;"control"),H2402,0)</f>
        <v>0</v>
      </c>
      <c r="K2402">
        <f>IF(D2402="dram",H2402,0)</f>
        <v>108</v>
      </c>
      <c r="L2402">
        <v>512</v>
      </c>
      <c r="M2402">
        <v>0</v>
      </c>
    </row>
    <row r="2403" spans="1:13">
      <c r="A2403">
        <v>2401</v>
      </c>
      <c r="B2403" t="s">
        <v>371</v>
      </c>
      <c r="C2403" t="s">
        <v>82</v>
      </c>
      <c r="D2403" t="s">
        <v>83</v>
      </c>
      <c r="E2403" t="s">
        <v>123</v>
      </c>
      <c r="F2403">
        <v>262144</v>
      </c>
      <c r="G2403">
        <f>MAX(I2401,I2402)</f>
        <v>3237974</v>
      </c>
      <c r="H2403">
        <f>CEILING((dram_access_latency+F2403/dram_bandwidth)*frequency,1)</f>
        <v>4196</v>
      </c>
      <c r="I2403">
        <f>G2403+H2403</f>
        <v>3242170</v>
      </c>
      <c r="J2403">
        <f>IF(AND(D2403&lt;&gt;"dram",D2403&lt;&gt;"control"),H2403,0)</f>
        <v>0</v>
      </c>
      <c r="K2403">
        <f>IF(D2403="dram",H2403,0)</f>
        <v>4196</v>
      </c>
      <c r="L2403">
        <v>262144</v>
      </c>
      <c r="M2403">
        <v>0</v>
      </c>
    </row>
    <row r="2404" spans="1:13">
      <c r="A2404">
        <v>2402</v>
      </c>
      <c r="B2404" t="s">
        <v>372</v>
      </c>
      <c r="C2404" t="s">
        <v>82</v>
      </c>
      <c r="D2404" t="s">
        <v>83</v>
      </c>
      <c r="E2404" t="s">
        <v>123</v>
      </c>
      <c r="F2404">
        <v>16</v>
      </c>
      <c r="G2404">
        <f>MAX(I2401,I2403)</f>
        <v>3242170</v>
      </c>
      <c r="H2404">
        <f>CEILING((dram_access_latency+F2404/dram_bandwidth)*frequency,1)</f>
        <v>101</v>
      </c>
      <c r="I2404">
        <f>G2404+H2404</f>
        <v>3242271</v>
      </c>
      <c r="J2404">
        <f>IF(AND(D2404&lt;&gt;"dram",D2404&lt;&gt;"control"),H2404,0)</f>
        <v>0</v>
      </c>
      <c r="K2404">
        <f>IF(D2404="dram",H2404,0)</f>
        <v>101</v>
      </c>
      <c r="L2404">
        <v>16</v>
      </c>
      <c r="M2404">
        <v>0</v>
      </c>
    </row>
    <row r="2405" spans="1:13">
      <c r="A2405">
        <v>2403</v>
      </c>
      <c r="B2405" t="s">
        <v>373</v>
      </c>
      <c r="C2405" t="s">
        <v>82</v>
      </c>
      <c r="D2405" t="s">
        <v>83</v>
      </c>
      <c r="E2405" t="s">
        <v>123</v>
      </c>
      <c r="F2405">
        <v>8192</v>
      </c>
      <c r="G2405">
        <f>MAX(I2401,I2404)</f>
        <v>3242271</v>
      </c>
      <c r="H2405">
        <f>CEILING((dram_access_latency+F2405/dram_bandwidth)*frequency,1)</f>
        <v>228</v>
      </c>
      <c r="I2405">
        <f>G2405+H2405</f>
        <v>3242499</v>
      </c>
      <c r="J2405">
        <f>IF(AND(D2405&lt;&gt;"dram",D2405&lt;&gt;"control"),H2405,0)</f>
        <v>0</v>
      </c>
      <c r="K2405">
        <f>IF(D2405="dram",H2405,0)</f>
        <v>228</v>
      </c>
      <c r="L2405">
        <v>8192</v>
      </c>
      <c r="M2405">
        <v>0</v>
      </c>
    </row>
    <row r="2406" spans="1:13">
      <c r="A2406">
        <v>2404</v>
      </c>
      <c r="B2406" t="s">
        <v>62</v>
      </c>
      <c r="C2406" t="s">
        <v>90</v>
      </c>
      <c r="D2406" t="s">
        <v>108</v>
      </c>
      <c r="E2406" t="s">
        <v>123</v>
      </c>
      <c r="F2406">
        <v>0</v>
      </c>
      <c r="G2406">
        <f>MAX(I2400,I2400,I2402,I2403,I2404,I2405,I2322)</f>
        <v>3246318</v>
      </c>
      <c r="H2406">
        <f>'Operations'!I26</f>
        <v>8452</v>
      </c>
      <c r="I2406">
        <f>G2406+H2406</f>
        <v>3254770</v>
      </c>
      <c r="J2406">
        <f>IF(AND(D2406&lt;&gt;"dram",D2406&lt;&gt;"control"),H2406,0)</f>
        <v>8452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375</v>
      </c>
      <c r="C2407" t="s">
        <v>88</v>
      </c>
      <c r="D2407" t="s">
        <v>89</v>
      </c>
      <c r="E2407" t="s">
        <v>123</v>
      </c>
      <c r="F2407">
        <v>0</v>
      </c>
      <c r="G2407">
        <f>MAX(I2401,I2400)</f>
        <v>3237866</v>
      </c>
      <c r="H2407">
        <f>0</f>
        <v>8452</v>
      </c>
      <c r="I2407">
        <f>G2407+H2407</f>
        <v>3246318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370</v>
      </c>
      <c r="C2408" t="s">
        <v>82</v>
      </c>
      <c r="D2408" t="s">
        <v>83</v>
      </c>
      <c r="E2408" t="s">
        <v>124</v>
      </c>
      <c r="F2408">
        <v>512</v>
      </c>
      <c r="G2408">
        <f>MAX(I2407,I2405)</f>
        <v>3246318</v>
      </c>
      <c r="H2408">
        <f>CEILING((dram_access_latency+F2408/dram_bandwidth)*frequency,1)</f>
        <v>108</v>
      </c>
      <c r="I2408">
        <f>G2408+H2408</f>
        <v>3246426</v>
      </c>
      <c r="J2408">
        <f>IF(AND(D2408&lt;&gt;"dram",D2408&lt;&gt;"control"),H2408,0)</f>
        <v>0</v>
      </c>
      <c r="K2408">
        <f>IF(D2408="dram",H2408,0)</f>
        <v>108</v>
      </c>
      <c r="L2408">
        <v>512</v>
      </c>
      <c r="M2408">
        <v>0</v>
      </c>
    </row>
    <row r="2409" spans="1:13">
      <c r="A2409">
        <v>2407</v>
      </c>
      <c r="B2409" t="s">
        <v>371</v>
      </c>
      <c r="C2409" t="s">
        <v>82</v>
      </c>
      <c r="D2409" t="s">
        <v>83</v>
      </c>
      <c r="E2409" t="s">
        <v>124</v>
      </c>
      <c r="F2409">
        <v>262144</v>
      </c>
      <c r="G2409">
        <f>MAX(I2407,I2408)</f>
        <v>3246426</v>
      </c>
      <c r="H2409">
        <f>CEILING((dram_access_latency+F2409/dram_bandwidth)*frequency,1)</f>
        <v>4196</v>
      </c>
      <c r="I2409">
        <f>G2409+H2409</f>
        <v>3250622</v>
      </c>
      <c r="J2409">
        <f>IF(AND(D2409&lt;&gt;"dram",D2409&lt;&gt;"control"),H2409,0)</f>
        <v>0</v>
      </c>
      <c r="K2409">
        <f>IF(D2409="dram",H2409,0)</f>
        <v>4196</v>
      </c>
      <c r="L2409">
        <v>262144</v>
      </c>
      <c r="M2409">
        <v>0</v>
      </c>
    </row>
    <row r="2410" spans="1:13">
      <c r="A2410">
        <v>2408</v>
      </c>
      <c r="B2410" t="s">
        <v>372</v>
      </c>
      <c r="C2410" t="s">
        <v>82</v>
      </c>
      <c r="D2410" t="s">
        <v>83</v>
      </c>
      <c r="E2410" t="s">
        <v>124</v>
      </c>
      <c r="F2410">
        <v>16</v>
      </c>
      <c r="G2410">
        <f>MAX(I2407,I2409)</f>
        <v>3250622</v>
      </c>
      <c r="H2410">
        <f>CEILING((dram_access_latency+F2410/dram_bandwidth)*frequency,1)</f>
        <v>101</v>
      </c>
      <c r="I2410">
        <f>G2410+H2410</f>
        <v>3250723</v>
      </c>
      <c r="J2410">
        <f>IF(AND(D2410&lt;&gt;"dram",D2410&lt;&gt;"control"),H2410,0)</f>
        <v>0</v>
      </c>
      <c r="K2410">
        <f>IF(D2410="dram",H2410,0)</f>
        <v>101</v>
      </c>
      <c r="L2410">
        <v>16</v>
      </c>
      <c r="M2410">
        <v>0</v>
      </c>
    </row>
    <row r="2411" spans="1:13">
      <c r="A2411">
        <v>2409</v>
      </c>
      <c r="B2411" t="s">
        <v>373</v>
      </c>
      <c r="C2411" t="s">
        <v>82</v>
      </c>
      <c r="D2411" t="s">
        <v>83</v>
      </c>
      <c r="E2411" t="s">
        <v>124</v>
      </c>
      <c r="F2411">
        <v>8192</v>
      </c>
      <c r="G2411">
        <f>MAX(I2407,I2410)</f>
        <v>3250723</v>
      </c>
      <c r="H2411">
        <f>CEILING((dram_access_latency+F2411/dram_bandwidth)*frequency,1)</f>
        <v>228</v>
      </c>
      <c r="I2411">
        <f>G2411+H2411</f>
        <v>3250951</v>
      </c>
      <c r="J2411">
        <f>IF(AND(D2411&lt;&gt;"dram",D2411&lt;&gt;"control"),H2411,0)</f>
        <v>0</v>
      </c>
      <c r="K2411">
        <f>IF(D2411="dram",H2411,0)</f>
        <v>228</v>
      </c>
      <c r="L2411">
        <v>8192</v>
      </c>
      <c r="M2411">
        <v>0</v>
      </c>
    </row>
    <row r="2412" spans="1:13">
      <c r="A2412">
        <v>2410</v>
      </c>
      <c r="B2412" t="s">
        <v>62</v>
      </c>
      <c r="C2412" t="s">
        <v>90</v>
      </c>
      <c r="D2412" t="s">
        <v>108</v>
      </c>
      <c r="E2412" t="s">
        <v>124</v>
      </c>
      <c r="F2412">
        <v>0</v>
      </c>
      <c r="G2412">
        <f>MAX(I2406,I2406,I2408,I2409,I2410,I2411,I2322)</f>
        <v>3254770</v>
      </c>
      <c r="H2412">
        <f>'Operations'!I26</f>
        <v>8452</v>
      </c>
      <c r="I2412">
        <f>G2412+H2412</f>
        <v>3263222</v>
      </c>
      <c r="J2412">
        <f>IF(AND(D2412&lt;&gt;"dram",D2412&lt;&gt;"control"),H2412,0)</f>
        <v>8452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375</v>
      </c>
      <c r="C2413" t="s">
        <v>88</v>
      </c>
      <c r="D2413" t="s">
        <v>89</v>
      </c>
      <c r="E2413" t="s">
        <v>124</v>
      </c>
      <c r="F2413">
        <v>0</v>
      </c>
      <c r="G2413">
        <f>MAX(I2407,I2406)</f>
        <v>3246318</v>
      </c>
      <c r="H2413">
        <f>0</f>
        <v>8452</v>
      </c>
      <c r="I2413">
        <f>G2413+H2413</f>
        <v>3254770</v>
      </c>
      <c r="J2413">
        <f>IF(AND(D2413&lt;&gt;"dram",D2413&lt;&gt;"control"),H2413,0)</f>
        <v>0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370</v>
      </c>
      <c r="C2414" t="s">
        <v>82</v>
      </c>
      <c r="D2414" t="s">
        <v>83</v>
      </c>
      <c r="E2414" t="s">
        <v>125</v>
      </c>
      <c r="F2414">
        <v>512</v>
      </c>
      <c r="G2414">
        <f>MAX(I2413,I2411)</f>
        <v>3254770</v>
      </c>
      <c r="H2414">
        <f>CEILING((dram_access_latency+F2414/dram_bandwidth)*frequency,1)</f>
        <v>108</v>
      </c>
      <c r="I2414">
        <f>G2414+H2414</f>
        <v>3254878</v>
      </c>
      <c r="J2414">
        <f>IF(AND(D2414&lt;&gt;"dram",D2414&lt;&gt;"control"),H2414,0)</f>
        <v>0</v>
      </c>
      <c r="K2414">
        <f>IF(D2414="dram",H2414,0)</f>
        <v>108</v>
      </c>
      <c r="L2414">
        <v>512</v>
      </c>
      <c r="M2414">
        <v>0</v>
      </c>
    </row>
    <row r="2415" spans="1:13">
      <c r="A2415">
        <v>2413</v>
      </c>
      <c r="B2415" t="s">
        <v>371</v>
      </c>
      <c r="C2415" t="s">
        <v>82</v>
      </c>
      <c r="D2415" t="s">
        <v>83</v>
      </c>
      <c r="E2415" t="s">
        <v>125</v>
      </c>
      <c r="F2415">
        <v>262144</v>
      </c>
      <c r="G2415">
        <f>MAX(I2413,I2414)</f>
        <v>3254878</v>
      </c>
      <c r="H2415">
        <f>CEILING((dram_access_latency+F2415/dram_bandwidth)*frequency,1)</f>
        <v>4196</v>
      </c>
      <c r="I2415">
        <f>G2415+H2415</f>
        <v>3259074</v>
      </c>
      <c r="J2415">
        <f>IF(AND(D2415&lt;&gt;"dram",D2415&lt;&gt;"control"),H2415,0)</f>
        <v>0</v>
      </c>
      <c r="K2415">
        <f>IF(D2415="dram",H2415,0)</f>
        <v>4196</v>
      </c>
      <c r="L2415">
        <v>262144</v>
      </c>
      <c r="M2415">
        <v>0</v>
      </c>
    </row>
    <row r="2416" spans="1:13">
      <c r="A2416">
        <v>2414</v>
      </c>
      <c r="B2416" t="s">
        <v>372</v>
      </c>
      <c r="C2416" t="s">
        <v>82</v>
      </c>
      <c r="D2416" t="s">
        <v>83</v>
      </c>
      <c r="E2416" t="s">
        <v>125</v>
      </c>
      <c r="F2416">
        <v>16</v>
      </c>
      <c r="G2416">
        <f>MAX(I2413,I2415)</f>
        <v>3259074</v>
      </c>
      <c r="H2416">
        <f>CEILING((dram_access_latency+F2416/dram_bandwidth)*frequency,1)</f>
        <v>101</v>
      </c>
      <c r="I2416">
        <f>G2416+H2416</f>
        <v>3259175</v>
      </c>
      <c r="J2416">
        <f>IF(AND(D2416&lt;&gt;"dram",D2416&lt;&gt;"control"),H2416,0)</f>
        <v>0</v>
      </c>
      <c r="K2416">
        <f>IF(D2416="dram",H2416,0)</f>
        <v>101</v>
      </c>
      <c r="L2416">
        <v>16</v>
      </c>
      <c r="M2416">
        <v>0</v>
      </c>
    </row>
    <row r="2417" spans="1:13">
      <c r="A2417">
        <v>2415</v>
      </c>
      <c r="B2417" t="s">
        <v>373</v>
      </c>
      <c r="C2417" t="s">
        <v>82</v>
      </c>
      <c r="D2417" t="s">
        <v>83</v>
      </c>
      <c r="E2417" t="s">
        <v>125</v>
      </c>
      <c r="F2417">
        <v>8192</v>
      </c>
      <c r="G2417">
        <f>MAX(I2413,I2416)</f>
        <v>3259175</v>
      </c>
      <c r="H2417">
        <f>CEILING((dram_access_latency+F2417/dram_bandwidth)*frequency,1)</f>
        <v>228</v>
      </c>
      <c r="I2417">
        <f>G2417+H2417</f>
        <v>3259403</v>
      </c>
      <c r="J2417">
        <f>IF(AND(D2417&lt;&gt;"dram",D2417&lt;&gt;"control"),H2417,0)</f>
        <v>0</v>
      </c>
      <c r="K2417">
        <f>IF(D2417="dram",H2417,0)</f>
        <v>228</v>
      </c>
      <c r="L2417">
        <v>8192</v>
      </c>
      <c r="M2417">
        <v>0</v>
      </c>
    </row>
    <row r="2418" spans="1:13">
      <c r="A2418">
        <v>2416</v>
      </c>
      <c r="B2418" t="s">
        <v>62</v>
      </c>
      <c r="C2418" t="s">
        <v>90</v>
      </c>
      <c r="D2418" t="s">
        <v>108</v>
      </c>
      <c r="E2418" t="s">
        <v>125</v>
      </c>
      <c r="F2418">
        <v>0</v>
      </c>
      <c r="G2418">
        <f>MAX(I2412,I2412,I2414,I2415,I2416,I2417,I2322)</f>
        <v>3263222</v>
      </c>
      <c r="H2418">
        <f>'Operations'!I26</f>
        <v>8452</v>
      </c>
      <c r="I2418">
        <f>G2418+H2418</f>
        <v>3271674</v>
      </c>
      <c r="J2418">
        <f>IF(AND(D2418&lt;&gt;"dram",D2418&lt;&gt;"control"),H2418,0)</f>
        <v>8452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375</v>
      </c>
      <c r="C2419" t="s">
        <v>88</v>
      </c>
      <c r="D2419" t="s">
        <v>89</v>
      </c>
      <c r="E2419" t="s">
        <v>125</v>
      </c>
      <c r="F2419">
        <v>0</v>
      </c>
      <c r="G2419">
        <f>MAX(I2413,I2412)</f>
        <v>3254770</v>
      </c>
      <c r="H2419">
        <f>0</f>
        <v>8452</v>
      </c>
      <c r="I2419">
        <f>G2419+H2419</f>
        <v>3263222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370</v>
      </c>
      <c r="C2420" t="s">
        <v>82</v>
      </c>
      <c r="D2420" t="s">
        <v>83</v>
      </c>
      <c r="E2420" t="s">
        <v>126</v>
      </c>
      <c r="F2420">
        <v>512</v>
      </c>
      <c r="G2420">
        <f>MAX(I2419,I2417)</f>
        <v>3263222</v>
      </c>
      <c r="H2420">
        <f>CEILING((dram_access_latency+F2420/dram_bandwidth)*frequency,1)</f>
        <v>108</v>
      </c>
      <c r="I2420">
        <f>G2420+H2420</f>
        <v>3263330</v>
      </c>
      <c r="J2420">
        <f>IF(AND(D2420&lt;&gt;"dram",D2420&lt;&gt;"control"),H2420,0)</f>
        <v>0</v>
      </c>
      <c r="K2420">
        <f>IF(D2420="dram",H2420,0)</f>
        <v>108</v>
      </c>
      <c r="L2420">
        <v>512</v>
      </c>
      <c r="M2420">
        <v>0</v>
      </c>
    </row>
    <row r="2421" spans="1:13">
      <c r="A2421">
        <v>2419</v>
      </c>
      <c r="B2421" t="s">
        <v>371</v>
      </c>
      <c r="C2421" t="s">
        <v>82</v>
      </c>
      <c r="D2421" t="s">
        <v>83</v>
      </c>
      <c r="E2421" t="s">
        <v>126</v>
      </c>
      <c r="F2421">
        <v>262144</v>
      </c>
      <c r="G2421">
        <f>MAX(I2419,I2420)</f>
        <v>3263330</v>
      </c>
      <c r="H2421">
        <f>CEILING((dram_access_latency+F2421/dram_bandwidth)*frequency,1)</f>
        <v>4196</v>
      </c>
      <c r="I2421">
        <f>G2421+H2421</f>
        <v>3267526</v>
      </c>
      <c r="J2421">
        <f>IF(AND(D2421&lt;&gt;"dram",D2421&lt;&gt;"control"),H2421,0)</f>
        <v>0</v>
      </c>
      <c r="K2421">
        <f>IF(D2421="dram",H2421,0)</f>
        <v>4196</v>
      </c>
      <c r="L2421">
        <v>262144</v>
      </c>
      <c r="M2421">
        <v>0</v>
      </c>
    </row>
    <row r="2422" spans="1:13">
      <c r="A2422">
        <v>2420</v>
      </c>
      <c r="B2422" t="s">
        <v>372</v>
      </c>
      <c r="C2422" t="s">
        <v>82</v>
      </c>
      <c r="D2422" t="s">
        <v>83</v>
      </c>
      <c r="E2422" t="s">
        <v>126</v>
      </c>
      <c r="F2422">
        <v>16</v>
      </c>
      <c r="G2422">
        <f>MAX(I2419,I2421)</f>
        <v>3267526</v>
      </c>
      <c r="H2422">
        <f>CEILING((dram_access_latency+F2422/dram_bandwidth)*frequency,1)</f>
        <v>101</v>
      </c>
      <c r="I2422">
        <f>G2422+H2422</f>
        <v>3267627</v>
      </c>
      <c r="J2422">
        <f>IF(AND(D2422&lt;&gt;"dram",D2422&lt;&gt;"control"),H2422,0)</f>
        <v>0</v>
      </c>
      <c r="K2422">
        <f>IF(D2422="dram",H2422,0)</f>
        <v>101</v>
      </c>
      <c r="L2422">
        <v>16</v>
      </c>
      <c r="M2422">
        <v>0</v>
      </c>
    </row>
    <row r="2423" spans="1:13">
      <c r="A2423">
        <v>2421</v>
      </c>
      <c r="B2423" t="s">
        <v>373</v>
      </c>
      <c r="C2423" t="s">
        <v>82</v>
      </c>
      <c r="D2423" t="s">
        <v>83</v>
      </c>
      <c r="E2423" t="s">
        <v>126</v>
      </c>
      <c r="F2423">
        <v>8192</v>
      </c>
      <c r="G2423">
        <f>MAX(I2419,I2422)</f>
        <v>3267627</v>
      </c>
      <c r="H2423">
        <f>CEILING((dram_access_latency+F2423/dram_bandwidth)*frequency,1)</f>
        <v>228</v>
      </c>
      <c r="I2423">
        <f>G2423+H2423</f>
        <v>3267855</v>
      </c>
      <c r="J2423">
        <f>IF(AND(D2423&lt;&gt;"dram",D2423&lt;&gt;"control"),H2423,0)</f>
        <v>0</v>
      </c>
      <c r="K2423">
        <f>IF(D2423="dram",H2423,0)</f>
        <v>228</v>
      </c>
      <c r="L2423">
        <v>8192</v>
      </c>
      <c r="M2423">
        <v>0</v>
      </c>
    </row>
    <row r="2424" spans="1:13">
      <c r="A2424">
        <v>2422</v>
      </c>
      <c r="B2424" t="s">
        <v>62</v>
      </c>
      <c r="C2424" t="s">
        <v>90</v>
      </c>
      <c r="D2424" t="s">
        <v>108</v>
      </c>
      <c r="E2424" t="s">
        <v>126</v>
      </c>
      <c r="F2424">
        <v>0</v>
      </c>
      <c r="G2424">
        <f>MAX(I2418,I2418,I2420,I2421,I2422,I2423,I2322)</f>
        <v>3271674</v>
      </c>
      <c r="H2424">
        <f>'Operations'!I26</f>
        <v>8452</v>
      </c>
      <c r="I2424">
        <f>G2424+H2424</f>
        <v>3280126</v>
      </c>
      <c r="J2424">
        <f>IF(AND(D2424&lt;&gt;"dram",D2424&lt;&gt;"control"),H2424,0)</f>
        <v>8452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375</v>
      </c>
      <c r="C2425" t="s">
        <v>88</v>
      </c>
      <c r="D2425" t="s">
        <v>89</v>
      </c>
      <c r="E2425" t="s">
        <v>126</v>
      </c>
      <c r="F2425">
        <v>0</v>
      </c>
      <c r="G2425">
        <f>MAX(I2419,I2418)</f>
        <v>3263222</v>
      </c>
      <c r="H2425">
        <f>0</f>
        <v>8452</v>
      </c>
      <c r="I2425">
        <f>G2425+H2425</f>
        <v>3271674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370</v>
      </c>
      <c r="C2426" t="s">
        <v>82</v>
      </c>
      <c r="D2426" t="s">
        <v>83</v>
      </c>
      <c r="E2426" t="s">
        <v>127</v>
      </c>
      <c r="F2426">
        <v>512</v>
      </c>
      <c r="G2426">
        <f>MAX(I2425,I2423)</f>
        <v>3271674</v>
      </c>
      <c r="H2426">
        <f>CEILING((dram_access_latency+F2426/dram_bandwidth)*frequency,1)</f>
        <v>108</v>
      </c>
      <c r="I2426">
        <f>G2426+H2426</f>
        <v>3271782</v>
      </c>
      <c r="J2426">
        <f>IF(AND(D2426&lt;&gt;"dram",D2426&lt;&gt;"control"),H2426,0)</f>
        <v>0</v>
      </c>
      <c r="K2426">
        <f>IF(D2426="dram",H2426,0)</f>
        <v>108</v>
      </c>
      <c r="L2426">
        <v>512</v>
      </c>
      <c r="M2426">
        <v>0</v>
      </c>
    </row>
    <row r="2427" spans="1:13">
      <c r="A2427">
        <v>2425</v>
      </c>
      <c r="B2427" t="s">
        <v>371</v>
      </c>
      <c r="C2427" t="s">
        <v>82</v>
      </c>
      <c r="D2427" t="s">
        <v>83</v>
      </c>
      <c r="E2427" t="s">
        <v>127</v>
      </c>
      <c r="F2427">
        <v>262144</v>
      </c>
      <c r="G2427">
        <f>MAX(I2425,I2426)</f>
        <v>3271782</v>
      </c>
      <c r="H2427">
        <f>CEILING((dram_access_latency+F2427/dram_bandwidth)*frequency,1)</f>
        <v>4196</v>
      </c>
      <c r="I2427">
        <f>G2427+H2427</f>
        <v>3275978</v>
      </c>
      <c r="J2427">
        <f>IF(AND(D2427&lt;&gt;"dram",D2427&lt;&gt;"control"),H2427,0)</f>
        <v>0</v>
      </c>
      <c r="K2427">
        <f>IF(D2427="dram",H2427,0)</f>
        <v>4196</v>
      </c>
      <c r="L2427">
        <v>262144</v>
      </c>
      <c r="M2427">
        <v>0</v>
      </c>
    </row>
    <row r="2428" spans="1:13">
      <c r="A2428">
        <v>2426</v>
      </c>
      <c r="B2428" t="s">
        <v>372</v>
      </c>
      <c r="C2428" t="s">
        <v>82</v>
      </c>
      <c r="D2428" t="s">
        <v>83</v>
      </c>
      <c r="E2428" t="s">
        <v>127</v>
      </c>
      <c r="F2428">
        <v>16</v>
      </c>
      <c r="G2428">
        <f>MAX(I2425,I2427)</f>
        <v>3275978</v>
      </c>
      <c r="H2428">
        <f>CEILING((dram_access_latency+F2428/dram_bandwidth)*frequency,1)</f>
        <v>101</v>
      </c>
      <c r="I2428">
        <f>G2428+H2428</f>
        <v>3276079</v>
      </c>
      <c r="J2428">
        <f>IF(AND(D2428&lt;&gt;"dram",D2428&lt;&gt;"control"),H2428,0)</f>
        <v>0</v>
      </c>
      <c r="K2428">
        <f>IF(D2428="dram",H2428,0)</f>
        <v>101</v>
      </c>
      <c r="L2428">
        <v>16</v>
      </c>
      <c r="M2428">
        <v>0</v>
      </c>
    </row>
    <row r="2429" spans="1:13">
      <c r="A2429">
        <v>2427</v>
      </c>
      <c r="B2429" t="s">
        <v>373</v>
      </c>
      <c r="C2429" t="s">
        <v>82</v>
      </c>
      <c r="D2429" t="s">
        <v>83</v>
      </c>
      <c r="E2429" t="s">
        <v>127</v>
      </c>
      <c r="F2429">
        <v>8192</v>
      </c>
      <c r="G2429">
        <f>MAX(I2425,I2428)</f>
        <v>3276079</v>
      </c>
      <c r="H2429">
        <f>CEILING((dram_access_latency+F2429/dram_bandwidth)*frequency,1)</f>
        <v>228</v>
      </c>
      <c r="I2429">
        <f>G2429+H2429</f>
        <v>3276307</v>
      </c>
      <c r="J2429">
        <f>IF(AND(D2429&lt;&gt;"dram",D2429&lt;&gt;"control"),H2429,0)</f>
        <v>0</v>
      </c>
      <c r="K2429">
        <f>IF(D2429="dram",H2429,0)</f>
        <v>228</v>
      </c>
      <c r="L2429">
        <v>8192</v>
      </c>
      <c r="M2429">
        <v>0</v>
      </c>
    </row>
    <row r="2430" spans="1:13">
      <c r="A2430">
        <v>2428</v>
      </c>
      <c r="B2430" t="s">
        <v>62</v>
      </c>
      <c r="C2430" t="s">
        <v>90</v>
      </c>
      <c r="D2430" t="s">
        <v>108</v>
      </c>
      <c r="E2430" t="s">
        <v>127</v>
      </c>
      <c r="F2430">
        <v>0</v>
      </c>
      <c r="G2430">
        <f>MAX(I2424,I2424,I2426,I2427,I2428,I2429,I2322)</f>
        <v>3280126</v>
      </c>
      <c r="H2430">
        <f>'Operations'!I26</f>
        <v>8452</v>
      </c>
      <c r="I2430">
        <f>G2430+H2430</f>
        <v>3288578</v>
      </c>
      <c r="J2430">
        <f>IF(AND(D2430&lt;&gt;"dram",D2430&lt;&gt;"control"),H2430,0)</f>
        <v>8452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375</v>
      </c>
      <c r="C2431" t="s">
        <v>88</v>
      </c>
      <c r="D2431" t="s">
        <v>89</v>
      </c>
      <c r="E2431" t="s">
        <v>127</v>
      </c>
      <c r="F2431">
        <v>0</v>
      </c>
      <c r="G2431">
        <f>MAX(I2425,I2424)</f>
        <v>3271674</v>
      </c>
      <c r="H2431">
        <f>0</f>
        <v>8452</v>
      </c>
      <c r="I2431">
        <f>G2431+H2431</f>
        <v>3280126</v>
      </c>
      <c r="J2431">
        <f>IF(AND(D2431&lt;&gt;"dram",D2431&lt;&gt;"control"),H2431,0)</f>
        <v>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370</v>
      </c>
      <c r="C2432" t="s">
        <v>82</v>
      </c>
      <c r="D2432" t="s">
        <v>83</v>
      </c>
      <c r="E2432" t="s">
        <v>128</v>
      </c>
      <c r="F2432">
        <v>512</v>
      </c>
      <c r="G2432">
        <f>MAX(I2431,I2429)</f>
        <v>3280126</v>
      </c>
      <c r="H2432">
        <f>CEILING((dram_access_latency+F2432/dram_bandwidth)*frequency,1)</f>
        <v>108</v>
      </c>
      <c r="I2432">
        <f>G2432+H2432</f>
        <v>3280234</v>
      </c>
      <c r="J2432">
        <f>IF(AND(D2432&lt;&gt;"dram",D2432&lt;&gt;"control"),H2432,0)</f>
        <v>0</v>
      </c>
      <c r="K2432">
        <f>IF(D2432="dram",H2432,0)</f>
        <v>108</v>
      </c>
      <c r="L2432">
        <v>512</v>
      </c>
      <c r="M2432">
        <v>0</v>
      </c>
    </row>
    <row r="2433" spans="1:13">
      <c r="A2433">
        <v>2431</v>
      </c>
      <c r="B2433" t="s">
        <v>371</v>
      </c>
      <c r="C2433" t="s">
        <v>82</v>
      </c>
      <c r="D2433" t="s">
        <v>83</v>
      </c>
      <c r="E2433" t="s">
        <v>128</v>
      </c>
      <c r="F2433">
        <v>262144</v>
      </c>
      <c r="G2433">
        <f>MAX(I2431,I2432)</f>
        <v>3280234</v>
      </c>
      <c r="H2433">
        <f>CEILING((dram_access_latency+F2433/dram_bandwidth)*frequency,1)</f>
        <v>4196</v>
      </c>
      <c r="I2433">
        <f>G2433+H2433</f>
        <v>3284430</v>
      </c>
      <c r="J2433">
        <f>IF(AND(D2433&lt;&gt;"dram",D2433&lt;&gt;"control"),H2433,0)</f>
        <v>0</v>
      </c>
      <c r="K2433">
        <f>IF(D2433="dram",H2433,0)</f>
        <v>4196</v>
      </c>
      <c r="L2433">
        <v>262144</v>
      </c>
      <c r="M2433">
        <v>0</v>
      </c>
    </row>
    <row r="2434" spans="1:13">
      <c r="A2434">
        <v>2432</v>
      </c>
      <c r="B2434" t="s">
        <v>372</v>
      </c>
      <c r="C2434" t="s">
        <v>82</v>
      </c>
      <c r="D2434" t="s">
        <v>83</v>
      </c>
      <c r="E2434" t="s">
        <v>128</v>
      </c>
      <c r="F2434">
        <v>16</v>
      </c>
      <c r="G2434">
        <f>MAX(I2431,I2433)</f>
        <v>3284430</v>
      </c>
      <c r="H2434">
        <f>CEILING((dram_access_latency+F2434/dram_bandwidth)*frequency,1)</f>
        <v>101</v>
      </c>
      <c r="I2434">
        <f>G2434+H2434</f>
        <v>3284531</v>
      </c>
      <c r="J2434">
        <f>IF(AND(D2434&lt;&gt;"dram",D2434&lt;&gt;"control"),H2434,0)</f>
        <v>0</v>
      </c>
      <c r="K2434">
        <f>IF(D2434="dram",H2434,0)</f>
        <v>101</v>
      </c>
      <c r="L2434">
        <v>16</v>
      </c>
      <c r="M2434">
        <v>0</v>
      </c>
    </row>
    <row r="2435" spans="1:13">
      <c r="A2435">
        <v>2433</v>
      </c>
      <c r="B2435" t="s">
        <v>373</v>
      </c>
      <c r="C2435" t="s">
        <v>82</v>
      </c>
      <c r="D2435" t="s">
        <v>83</v>
      </c>
      <c r="E2435" t="s">
        <v>128</v>
      </c>
      <c r="F2435">
        <v>8192</v>
      </c>
      <c r="G2435">
        <f>MAX(I2431,I2434)</f>
        <v>3284531</v>
      </c>
      <c r="H2435">
        <f>CEILING((dram_access_latency+F2435/dram_bandwidth)*frequency,1)</f>
        <v>228</v>
      </c>
      <c r="I2435">
        <f>G2435+H2435</f>
        <v>3284759</v>
      </c>
      <c r="J2435">
        <f>IF(AND(D2435&lt;&gt;"dram",D2435&lt;&gt;"control"),H2435,0)</f>
        <v>0</v>
      </c>
      <c r="K2435">
        <f>IF(D2435="dram",H2435,0)</f>
        <v>228</v>
      </c>
      <c r="L2435">
        <v>8192</v>
      </c>
      <c r="M2435">
        <v>0</v>
      </c>
    </row>
    <row r="2436" spans="1:13">
      <c r="A2436">
        <v>2434</v>
      </c>
      <c r="B2436" t="s">
        <v>62</v>
      </c>
      <c r="C2436" t="s">
        <v>90</v>
      </c>
      <c r="D2436" t="s">
        <v>108</v>
      </c>
      <c r="E2436" t="s">
        <v>128</v>
      </c>
      <c r="F2436">
        <v>0</v>
      </c>
      <c r="G2436">
        <f>MAX(I2430,I2430,I2432,I2433,I2434,I2435,I2322)</f>
        <v>3288578</v>
      </c>
      <c r="H2436">
        <f>'Operations'!I26</f>
        <v>8452</v>
      </c>
      <c r="I2436">
        <f>G2436+H2436</f>
        <v>3297030</v>
      </c>
      <c r="J2436">
        <f>IF(AND(D2436&lt;&gt;"dram",D2436&lt;&gt;"control"),H2436,0)</f>
        <v>8452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375</v>
      </c>
      <c r="C2437" t="s">
        <v>88</v>
      </c>
      <c r="D2437" t="s">
        <v>89</v>
      </c>
      <c r="E2437" t="s">
        <v>128</v>
      </c>
      <c r="F2437">
        <v>0</v>
      </c>
      <c r="G2437">
        <f>MAX(I2431,I2430)</f>
        <v>3280126</v>
      </c>
      <c r="H2437">
        <f>0</f>
        <v>8452</v>
      </c>
      <c r="I2437">
        <f>G2437+H2437</f>
        <v>3288578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370</v>
      </c>
      <c r="C2438" t="s">
        <v>82</v>
      </c>
      <c r="D2438" t="s">
        <v>83</v>
      </c>
      <c r="E2438" t="s">
        <v>129</v>
      </c>
      <c r="F2438">
        <v>512</v>
      </c>
      <c r="G2438">
        <f>MAX(I2437,I2435)</f>
        <v>3288578</v>
      </c>
      <c r="H2438">
        <f>CEILING((dram_access_latency+F2438/dram_bandwidth)*frequency,1)</f>
        <v>108</v>
      </c>
      <c r="I2438">
        <f>G2438+H2438</f>
        <v>3288686</v>
      </c>
      <c r="J2438">
        <f>IF(AND(D2438&lt;&gt;"dram",D2438&lt;&gt;"control"),H2438,0)</f>
        <v>0</v>
      </c>
      <c r="K2438">
        <f>IF(D2438="dram",H2438,0)</f>
        <v>108</v>
      </c>
      <c r="L2438">
        <v>512</v>
      </c>
      <c r="M2438">
        <v>0</v>
      </c>
    </row>
    <row r="2439" spans="1:13">
      <c r="A2439">
        <v>2437</v>
      </c>
      <c r="B2439" t="s">
        <v>371</v>
      </c>
      <c r="C2439" t="s">
        <v>82</v>
      </c>
      <c r="D2439" t="s">
        <v>83</v>
      </c>
      <c r="E2439" t="s">
        <v>129</v>
      </c>
      <c r="F2439">
        <v>262144</v>
      </c>
      <c r="G2439">
        <f>MAX(I2437,I2438)</f>
        <v>3288686</v>
      </c>
      <c r="H2439">
        <f>CEILING((dram_access_latency+F2439/dram_bandwidth)*frequency,1)</f>
        <v>4196</v>
      </c>
      <c r="I2439">
        <f>G2439+H2439</f>
        <v>3292882</v>
      </c>
      <c r="J2439">
        <f>IF(AND(D2439&lt;&gt;"dram",D2439&lt;&gt;"control"),H2439,0)</f>
        <v>0</v>
      </c>
      <c r="K2439">
        <f>IF(D2439="dram",H2439,0)</f>
        <v>4196</v>
      </c>
      <c r="L2439">
        <v>262144</v>
      </c>
      <c r="M2439">
        <v>0</v>
      </c>
    </row>
    <row r="2440" spans="1:13">
      <c r="A2440">
        <v>2438</v>
      </c>
      <c r="B2440" t="s">
        <v>372</v>
      </c>
      <c r="C2440" t="s">
        <v>82</v>
      </c>
      <c r="D2440" t="s">
        <v>83</v>
      </c>
      <c r="E2440" t="s">
        <v>129</v>
      </c>
      <c r="F2440">
        <v>16</v>
      </c>
      <c r="G2440">
        <f>MAX(I2437,I2439)</f>
        <v>3292882</v>
      </c>
      <c r="H2440">
        <f>CEILING((dram_access_latency+F2440/dram_bandwidth)*frequency,1)</f>
        <v>101</v>
      </c>
      <c r="I2440">
        <f>G2440+H2440</f>
        <v>3292983</v>
      </c>
      <c r="J2440">
        <f>IF(AND(D2440&lt;&gt;"dram",D2440&lt;&gt;"control"),H2440,0)</f>
        <v>0</v>
      </c>
      <c r="K2440">
        <f>IF(D2440="dram",H2440,0)</f>
        <v>101</v>
      </c>
      <c r="L2440">
        <v>16</v>
      </c>
      <c r="M2440">
        <v>0</v>
      </c>
    </row>
    <row r="2441" spans="1:13">
      <c r="A2441">
        <v>2439</v>
      </c>
      <c r="B2441" t="s">
        <v>373</v>
      </c>
      <c r="C2441" t="s">
        <v>82</v>
      </c>
      <c r="D2441" t="s">
        <v>83</v>
      </c>
      <c r="E2441" t="s">
        <v>129</v>
      </c>
      <c r="F2441">
        <v>8192</v>
      </c>
      <c r="G2441">
        <f>MAX(I2437,I2440)</f>
        <v>3292983</v>
      </c>
      <c r="H2441">
        <f>CEILING((dram_access_latency+F2441/dram_bandwidth)*frequency,1)</f>
        <v>228</v>
      </c>
      <c r="I2441">
        <f>G2441+H2441</f>
        <v>3293211</v>
      </c>
      <c r="J2441">
        <f>IF(AND(D2441&lt;&gt;"dram",D2441&lt;&gt;"control"),H2441,0)</f>
        <v>0</v>
      </c>
      <c r="K2441">
        <f>IF(D2441="dram",H2441,0)</f>
        <v>228</v>
      </c>
      <c r="L2441">
        <v>8192</v>
      </c>
      <c r="M2441">
        <v>0</v>
      </c>
    </row>
    <row r="2442" spans="1:13">
      <c r="A2442">
        <v>2440</v>
      </c>
      <c r="B2442" t="s">
        <v>62</v>
      </c>
      <c r="C2442" t="s">
        <v>90</v>
      </c>
      <c r="D2442" t="s">
        <v>108</v>
      </c>
      <c r="E2442" t="s">
        <v>129</v>
      </c>
      <c r="F2442">
        <v>0</v>
      </c>
      <c r="G2442">
        <f>MAX(I2436,I2436,I2438,I2439,I2440,I2441,I2322)</f>
        <v>3297030</v>
      </c>
      <c r="H2442">
        <f>'Operations'!I26</f>
        <v>8452</v>
      </c>
      <c r="I2442">
        <f>G2442+H2442</f>
        <v>3305482</v>
      </c>
      <c r="J2442">
        <f>IF(AND(D2442&lt;&gt;"dram",D2442&lt;&gt;"control"),H2442,0)</f>
        <v>8452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375</v>
      </c>
      <c r="C2443" t="s">
        <v>88</v>
      </c>
      <c r="D2443" t="s">
        <v>89</v>
      </c>
      <c r="E2443" t="s">
        <v>129</v>
      </c>
      <c r="F2443">
        <v>0</v>
      </c>
      <c r="G2443">
        <f>MAX(I2437,I2436)</f>
        <v>3288578</v>
      </c>
      <c r="H2443">
        <f>0</f>
        <v>8452</v>
      </c>
      <c r="I2443">
        <f>G2443+H2443</f>
        <v>3297030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370</v>
      </c>
      <c r="C2444" t="s">
        <v>82</v>
      </c>
      <c r="D2444" t="s">
        <v>83</v>
      </c>
      <c r="E2444" t="s">
        <v>130</v>
      </c>
      <c r="F2444">
        <v>512</v>
      </c>
      <c r="G2444">
        <f>MAX(I2443,I2441)</f>
        <v>3297030</v>
      </c>
      <c r="H2444">
        <f>CEILING((dram_access_latency+F2444/dram_bandwidth)*frequency,1)</f>
        <v>108</v>
      </c>
      <c r="I2444">
        <f>G2444+H2444</f>
        <v>3297138</v>
      </c>
      <c r="J2444">
        <f>IF(AND(D2444&lt;&gt;"dram",D2444&lt;&gt;"control"),H2444,0)</f>
        <v>0</v>
      </c>
      <c r="K2444">
        <f>IF(D2444="dram",H2444,0)</f>
        <v>108</v>
      </c>
      <c r="L2444">
        <v>512</v>
      </c>
      <c r="M2444">
        <v>0</v>
      </c>
    </row>
    <row r="2445" spans="1:13">
      <c r="A2445">
        <v>2443</v>
      </c>
      <c r="B2445" t="s">
        <v>371</v>
      </c>
      <c r="C2445" t="s">
        <v>82</v>
      </c>
      <c r="D2445" t="s">
        <v>83</v>
      </c>
      <c r="E2445" t="s">
        <v>130</v>
      </c>
      <c r="F2445">
        <v>262144</v>
      </c>
      <c r="G2445">
        <f>MAX(I2443,I2444)</f>
        <v>3297138</v>
      </c>
      <c r="H2445">
        <f>CEILING((dram_access_latency+F2445/dram_bandwidth)*frequency,1)</f>
        <v>4196</v>
      </c>
      <c r="I2445">
        <f>G2445+H2445</f>
        <v>3301334</v>
      </c>
      <c r="J2445">
        <f>IF(AND(D2445&lt;&gt;"dram",D2445&lt;&gt;"control"),H2445,0)</f>
        <v>0</v>
      </c>
      <c r="K2445">
        <f>IF(D2445="dram",H2445,0)</f>
        <v>4196</v>
      </c>
      <c r="L2445">
        <v>262144</v>
      </c>
      <c r="M2445">
        <v>0</v>
      </c>
    </row>
    <row r="2446" spans="1:13">
      <c r="A2446">
        <v>2444</v>
      </c>
      <c r="B2446" t="s">
        <v>372</v>
      </c>
      <c r="C2446" t="s">
        <v>82</v>
      </c>
      <c r="D2446" t="s">
        <v>83</v>
      </c>
      <c r="E2446" t="s">
        <v>130</v>
      </c>
      <c r="F2446">
        <v>16</v>
      </c>
      <c r="G2446">
        <f>MAX(I2443,I2445)</f>
        <v>3301334</v>
      </c>
      <c r="H2446">
        <f>CEILING((dram_access_latency+F2446/dram_bandwidth)*frequency,1)</f>
        <v>101</v>
      </c>
      <c r="I2446">
        <f>G2446+H2446</f>
        <v>3301435</v>
      </c>
      <c r="J2446">
        <f>IF(AND(D2446&lt;&gt;"dram",D2446&lt;&gt;"control"),H2446,0)</f>
        <v>0</v>
      </c>
      <c r="K2446">
        <f>IF(D2446="dram",H2446,0)</f>
        <v>101</v>
      </c>
      <c r="L2446">
        <v>16</v>
      </c>
      <c r="M2446">
        <v>0</v>
      </c>
    </row>
    <row r="2447" spans="1:13">
      <c r="A2447">
        <v>2445</v>
      </c>
      <c r="B2447" t="s">
        <v>373</v>
      </c>
      <c r="C2447" t="s">
        <v>82</v>
      </c>
      <c r="D2447" t="s">
        <v>83</v>
      </c>
      <c r="E2447" t="s">
        <v>130</v>
      </c>
      <c r="F2447">
        <v>8192</v>
      </c>
      <c r="G2447">
        <f>MAX(I2443,I2446)</f>
        <v>3301435</v>
      </c>
      <c r="H2447">
        <f>CEILING((dram_access_latency+F2447/dram_bandwidth)*frequency,1)</f>
        <v>228</v>
      </c>
      <c r="I2447">
        <f>G2447+H2447</f>
        <v>3301663</v>
      </c>
      <c r="J2447">
        <f>IF(AND(D2447&lt;&gt;"dram",D2447&lt;&gt;"control"),H2447,0)</f>
        <v>0</v>
      </c>
      <c r="K2447">
        <f>IF(D2447="dram",H2447,0)</f>
        <v>228</v>
      </c>
      <c r="L2447">
        <v>8192</v>
      </c>
      <c r="M2447">
        <v>0</v>
      </c>
    </row>
    <row r="2448" spans="1:13">
      <c r="A2448">
        <v>2446</v>
      </c>
      <c r="B2448" t="s">
        <v>62</v>
      </c>
      <c r="C2448" t="s">
        <v>90</v>
      </c>
      <c r="D2448" t="s">
        <v>108</v>
      </c>
      <c r="E2448" t="s">
        <v>130</v>
      </c>
      <c r="F2448">
        <v>0</v>
      </c>
      <c r="G2448">
        <f>MAX(I2442,I2442,I2444,I2445,I2446,I2447,I2322)</f>
        <v>3305482</v>
      </c>
      <c r="H2448">
        <f>'Operations'!I26</f>
        <v>8452</v>
      </c>
      <c r="I2448">
        <f>G2448+H2448</f>
        <v>3313934</v>
      </c>
      <c r="J2448">
        <f>IF(AND(D2448&lt;&gt;"dram",D2448&lt;&gt;"control"),H2448,0)</f>
        <v>8452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375</v>
      </c>
      <c r="C2449" t="s">
        <v>88</v>
      </c>
      <c r="D2449" t="s">
        <v>89</v>
      </c>
      <c r="E2449" t="s">
        <v>130</v>
      </c>
      <c r="F2449">
        <v>0</v>
      </c>
      <c r="G2449">
        <f>MAX(I2443,I2442)</f>
        <v>3297030</v>
      </c>
      <c r="H2449">
        <f>0</f>
        <v>8452</v>
      </c>
      <c r="I2449">
        <f>G2449+H2449</f>
        <v>3305482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370</v>
      </c>
      <c r="C2450" t="s">
        <v>82</v>
      </c>
      <c r="D2450" t="s">
        <v>83</v>
      </c>
      <c r="E2450" t="s">
        <v>131</v>
      </c>
      <c r="F2450">
        <v>512</v>
      </c>
      <c r="G2450">
        <f>MAX(I2449,I2447)</f>
        <v>3305482</v>
      </c>
      <c r="H2450">
        <f>CEILING((dram_access_latency+F2450/dram_bandwidth)*frequency,1)</f>
        <v>108</v>
      </c>
      <c r="I2450">
        <f>G2450+H2450</f>
        <v>3305590</v>
      </c>
      <c r="J2450">
        <f>IF(AND(D2450&lt;&gt;"dram",D2450&lt;&gt;"control"),H2450,0)</f>
        <v>0</v>
      </c>
      <c r="K2450">
        <f>IF(D2450="dram",H2450,0)</f>
        <v>108</v>
      </c>
      <c r="L2450">
        <v>512</v>
      </c>
      <c r="M2450">
        <v>0</v>
      </c>
    </row>
    <row r="2451" spans="1:13">
      <c r="A2451">
        <v>2449</v>
      </c>
      <c r="B2451" t="s">
        <v>371</v>
      </c>
      <c r="C2451" t="s">
        <v>82</v>
      </c>
      <c r="D2451" t="s">
        <v>83</v>
      </c>
      <c r="E2451" t="s">
        <v>131</v>
      </c>
      <c r="F2451">
        <v>262144</v>
      </c>
      <c r="G2451">
        <f>MAX(I2449,I2450)</f>
        <v>3305590</v>
      </c>
      <c r="H2451">
        <f>CEILING((dram_access_latency+F2451/dram_bandwidth)*frequency,1)</f>
        <v>4196</v>
      </c>
      <c r="I2451">
        <f>G2451+H2451</f>
        <v>3309786</v>
      </c>
      <c r="J2451">
        <f>IF(AND(D2451&lt;&gt;"dram",D2451&lt;&gt;"control"),H2451,0)</f>
        <v>0</v>
      </c>
      <c r="K2451">
        <f>IF(D2451="dram",H2451,0)</f>
        <v>4196</v>
      </c>
      <c r="L2451">
        <v>262144</v>
      </c>
      <c r="M2451">
        <v>0</v>
      </c>
    </row>
    <row r="2452" spans="1:13">
      <c r="A2452">
        <v>2450</v>
      </c>
      <c r="B2452" t="s">
        <v>372</v>
      </c>
      <c r="C2452" t="s">
        <v>82</v>
      </c>
      <c r="D2452" t="s">
        <v>83</v>
      </c>
      <c r="E2452" t="s">
        <v>131</v>
      </c>
      <c r="F2452">
        <v>16</v>
      </c>
      <c r="G2452">
        <f>MAX(I2449,I2451)</f>
        <v>3309786</v>
      </c>
      <c r="H2452">
        <f>CEILING((dram_access_latency+F2452/dram_bandwidth)*frequency,1)</f>
        <v>101</v>
      </c>
      <c r="I2452">
        <f>G2452+H2452</f>
        <v>3309887</v>
      </c>
      <c r="J2452">
        <f>IF(AND(D2452&lt;&gt;"dram",D2452&lt;&gt;"control"),H2452,0)</f>
        <v>0</v>
      </c>
      <c r="K2452">
        <f>IF(D2452="dram",H2452,0)</f>
        <v>101</v>
      </c>
      <c r="L2452">
        <v>16</v>
      </c>
      <c r="M2452">
        <v>0</v>
      </c>
    </row>
    <row r="2453" spans="1:13">
      <c r="A2453">
        <v>2451</v>
      </c>
      <c r="B2453" t="s">
        <v>373</v>
      </c>
      <c r="C2453" t="s">
        <v>82</v>
      </c>
      <c r="D2453" t="s">
        <v>83</v>
      </c>
      <c r="E2453" t="s">
        <v>131</v>
      </c>
      <c r="F2453">
        <v>8192</v>
      </c>
      <c r="G2453">
        <f>MAX(I2449,I2452)</f>
        <v>3309887</v>
      </c>
      <c r="H2453">
        <f>CEILING((dram_access_latency+F2453/dram_bandwidth)*frequency,1)</f>
        <v>228</v>
      </c>
      <c r="I2453">
        <f>G2453+H2453</f>
        <v>3310115</v>
      </c>
      <c r="J2453">
        <f>IF(AND(D2453&lt;&gt;"dram",D2453&lt;&gt;"control"),H2453,0)</f>
        <v>0</v>
      </c>
      <c r="K2453">
        <f>IF(D2453="dram",H2453,0)</f>
        <v>228</v>
      </c>
      <c r="L2453">
        <v>8192</v>
      </c>
      <c r="M2453">
        <v>0</v>
      </c>
    </row>
    <row r="2454" spans="1:13">
      <c r="A2454">
        <v>2452</v>
      </c>
      <c r="B2454" t="s">
        <v>62</v>
      </c>
      <c r="C2454" t="s">
        <v>90</v>
      </c>
      <c r="D2454" t="s">
        <v>108</v>
      </c>
      <c r="E2454" t="s">
        <v>131</v>
      </c>
      <c r="F2454">
        <v>0</v>
      </c>
      <c r="G2454">
        <f>MAX(I2448,I2448,I2450,I2451,I2452,I2453,I2322)</f>
        <v>3313934</v>
      </c>
      <c r="H2454">
        <f>'Operations'!I26</f>
        <v>8452</v>
      </c>
      <c r="I2454">
        <f>G2454+H2454</f>
        <v>3322386</v>
      </c>
      <c r="J2454">
        <f>IF(AND(D2454&lt;&gt;"dram",D2454&lt;&gt;"control"),H2454,0)</f>
        <v>8452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375</v>
      </c>
      <c r="C2455" t="s">
        <v>88</v>
      </c>
      <c r="D2455" t="s">
        <v>89</v>
      </c>
      <c r="E2455" t="s">
        <v>131</v>
      </c>
      <c r="F2455">
        <v>0</v>
      </c>
      <c r="G2455">
        <f>MAX(I2449,I2448)</f>
        <v>3305482</v>
      </c>
      <c r="H2455">
        <f>0</f>
        <v>8452</v>
      </c>
      <c r="I2455">
        <f>G2455+H2455</f>
        <v>3313934</v>
      </c>
      <c r="J2455">
        <f>IF(AND(D2455&lt;&gt;"dram",D2455&lt;&gt;"control"),H2455,0)</f>
        <v>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370</v>
      </c>
      <c r="C2456" t="s">
        <v>82</v>
      </c>
      <c r="D2456" t="s">
        <v>83</v>
      </c>
      <c r="E2456" t="s">
        <v>132</v>
      </c>
      <c r="F2456">
        <v>512</v>
      </c>
      <c r="G2456">
        <f>MAX(I2455,I2453)</f>
        <v>3313934</v>
      </c>
      <c r="H2456">
        <f>CEILING((dram_access_latency+F2456/dram_bandwidth)*frequency,1)</f>
        <v>108</v>
      </c>
      <c r="I2456">
        <f>G2456+H2456</f>
        <v>3314042</v>
      </c>
      <c r="J2456">
        <f>IF(AND(D2456&lt;&gt;"dram",D2456&lt;&gt;"control"),H2456,0)</f>
        <v>0</v>
      </c>
      <c r="K2456">
        <f>IF(D2456="dram",H2456,0)</f>
        <v>108</v>
      </c>
      <c r="L2456">
        <v>512</v>
      </c>
      <c r="M2456">
        <v>0</v>
      </c>
    </row>
    <row r="2457" spans="1:13">
      <c r="A2457">
        <v>2455</v>
      </c>
      <c r="B2457" t="s">
        <v>371</v>
      </c>
      <c r="C2457" t="s">
        <v>82</v>
      </c>
      <c r="D2457" t="s">
        <v>83</v>
      </c>
      <c r="E2457" t="s">
        <v>132</v>
      </c>
      <c r="F2457">
        <v>262144</v>
      </c>
      <c r="G2457">
        <f>MAX(I2455,I2456)</f>
        <v>3314042</v>
      </c>
      <c r="H2457">
        <f>CEILING((dram_access_latency+F2457/dram_bandwidth)*frequency,1)</f>
        <v>4196</v>
      </c>
      <c r="I2457">
        <f>G2457+H2457</f>
        <v>3318238</v>
      </c>
      <c r="J2457">
        <f>IF(AND(D2457&lt;&gt;"dram",D2457&lt;&gt;"control"),H2457,0)</f>
        <v>0</v>
      </c>
      <c r="K2457">
        <f>IF(D2457="dram",H2457,0)</f>
        <v>4196</v>
      </c>
      <c r="L2457">
        <v>262144</v>
      </c>
      <c r="M2457">
        <v>0</v>
      </c>
    </row>
    <row r="2458" spans="1:13">
      <c r="A2458">
        <v>2456</v>
      </c>
      <c r="B2458" t="s">
        <v>372</v>
      </c>
      <c r="C2458" t="s">
        <v>82</v>
      </c>
      <c r="D2458" t="s">
        <v>83</v>
      </c>
      <c r="E2458" t="s">
        <v>132</v>
      </c>
      <c r="F2458">
        <v>16</v>
      </c>
      <c r="G2458">
        <f>MAX(I2455,I2457)</f>
        <v>3318238</v>
      </c>
      <c r="H2458">
        <f>CEILING((dram_access_latency+F2458/dram_bandwidth)*frequency,1)</f>
        <v>101</v>
      </c>
      <c r="I2458">
        <f>G2458+H2458</f>
        <v>3318339</v>
      </c>
      <c r="J2458">
        <f>IF(AND(D2458&lt;&gt;"dram",D2458&lt;&gt;"control"),H2458,0)</f>
        <v>0</v>
      </c>
      <c r="K2458">
        <f>IF(D2458="dram",H2458,0)</f>
        <v>101</v>
      </c>
      <c r="L2458">
        <v>16</v>
      </c>
      <c r="M2458">
        <v>0</v>
      </c>
    </row>
    <row r="2459" spans="1:13">
      <c r="A2459">
        <v>2457</v>
      </c>
      <c r="B2459" t="s">
        <v>373</v>
      </c>
      <c r="C2459" t="s">
        <v>82</v>
      </c>
      <c r="D2459" t="s">
        <v>83</v>
      </c>
      <c r="E2459" t="s">
        <v>132</v>
      </c>
      <c r="F2459">
        <v>8192</v>
      </c>
      <c r="G2459">
        <f>MAX(I2455,I2458)</f>
        <v>3318339</v>
      </c>
      <c r="H2459">
        <f>CEILING((dram_access_latency+F2459/dram_bandwidth)*frequency,1)</f>
        <v>228</v>
      </c>
      <c r="I2459">
        <f>G2459+H2459</f>
        <v>3318567</v>
      </c>
      <c r="J2459">
        <f>IF(AND(D2459&lt;&gt;"dram",D2459&lt;&gt;"control"),H2459,0)</f>
        <v>0</v>
      </c>
      <c r="K2459">
        <f>IF(D2459="dram",H2459,0)</f>
        <v>228</v>
      </c>
      <c r="L2459">
        <v>8192</v>
      </c>
      <c r="M2459">
        <v>0</v>
      </c>
    </row>
    <row r="2460" spans="1:13">
      <c r="A2460">
        <v>2458</v>
      </c>
      <c r="B2460" t="s">
        <v>62</v>
      </c>
      <c r="C2460" t="s">
        <v>90</v>
      </c>
      <c r="D2460" t="s">
        <v>108</v>
      </c>
      <c r="E2460" t="s">
        <v>132</v>
      </c>
      <c r="F2460">
        <v>0</v>
      </c>
      <c r="G2460">
        <f>MAX(I2454,I2454,I2456,I2457,I2458,I2459,I2322)</f>
        <v>3322386</v>
      </c>
      <c r="H2460">
        <f>'Operations'!I26</f>
        <v>8452</v>
      </c>
      <c r="I2460">
        <f>G2460+H2460</f>
        <v>3330838</v>
      </c>
      <c r="J2460">
        <f>IF(AND(D2460&lt;&gt;"dram",D2460&lt;&gt;"control"),H2460,0)</f>
        <v>8452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375</v>
      </c>
      <c r="C2461" t="s">
        <v>88</v>
      </c>
      <c r="D2461" t="s">
        <v>89</v>
      </c>
      <c r="E2461" t="s">
        <v>132</v>
      </c>
      <c r="F2461">
        <v>0</v>
      </c>
      <c r="G2461">
        <f>MAX(I2455,I2454)</f>
        <v>3313934</v>
      </c>
      <c r="H2461">
        <f>0</f>
        <v>8452</v>
      </c>
      <c r="I2461">
        <f>G2461+H2461</f>
        <v>3322386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370</v>
      </c>
      <c r="C2462" t="s">
        <v>82</v>
      </c>
      <c r="D2462" t="s">
        <v>83</v>
      </c>
      <c r="E2462" t="s">
        <v>133</v>
      </c>
      <c r="F2462">
        <v>512</v>
      </c>
      <c r="G2462">
        <f>MAX(I2461,I2459)</f>
        <v>3322386</v>
      </c>
      <c r="H2462">
        <f>CEILING((dram_access_latency+F2462/dram_bandwidth)*frequency,1)</f>
        <v>108</v>
      </c>
      <c r="I2462">
        <f>G2462+H2462</f>
        <v>3322494</v>
      </c>
      <c r="J2462">
        <f>IF(AND(D2462&lt;&gt;"dram",D2462&lt;&gt;"control"),H2462,0)</f>
        <v>0</v>
      </c>
      <c r="K2462">
        <f>IF(D2462="dram",H2462,0)</f>
        <v>108</v>
      </c>
      <c r="L2462">
        <v>512</v>
      </c>
      <c r="M2462">
        <v>0</v>
      </c>
    </row>
    <row r="2463" spans="1:13">
      <c r="A2463">
        <v>2461</v>
      </c>
      <c r="B2463" t="s">
        <v>371</v>
      </c>
      <c r="C2463" t="s">
        <v>82</v>
      </c>
      <c r="D2463" t="s">
        <v>83</v>
      </c>
      <c r="E2463" t="s">
        <v>133</v>
      </c>
      <c r="F2463">
        <v>262144</v>
      </c>
      <c r="G2463">
        <f>MAX(I2461,I2462)</f>
        <v>3322494</v>
      </c>
      <c r="H2463">
        <f>CEILING((dram_access_latency+F2463/dram_bandwidth)*frequency,1)</f>
        <v>4196</v>
      </c>
      <c r="I2463">
        <f>G2463+H2463</f>
        <v>3326690</v>
      </c>
      <c r="J2463">
        <f>IF(AND(D2463&lt;&gt;"dram",D2463&lt;&gt;"control"),H2463,0)</f>
        <v>0</v>
      </c>
      <c r="K2463">
        <f>IF(D2463="dram",H2463,0)</f>
        <v>4196</v>
      </c>
      <c r="L2463">
        <v>262144</v>
      </c>
      <c r="M2463">
        <v>0</v>
      </c>
    </row>
    <row r="2464" spans="1:13">
      <c r="A2464">
        <v>2462</v>
      </c>
      <c r="B2464" t="s">
        <v>372</v>
      </c>
      <c r="C2464" t="s">
        <v>82</v>
      </c>
      <c r="D2464" t="s">
        <v>83</v>
      </c>
      <c r="E2464" t="s">
        <v>133</v>
      </c>
      <c r="F2464">
        <v>16</v>
      </c>
      <c r="G2464">
        <f>MAX(I2461,I2463)</f>
        <v>3326690</v>
      </c>
      <c r="H2464">
        <f>CEILING((dram_access_latency+F2464/dram_bandwidth)*frequency,1)</f>
        <v>101</v>
      </c>
      <c r="I2464">
        <f>G2464+H2464</f>
        <v>3326791</v>
      </c>
      <c r="J2464">
        <f>IF(AND(D2464&lt;&gt;"dram",D2464&lt;&gt;"control"),H2464,0)</f>
        <v>0</v>
      </c>
      <c r="K2464">
        <f>IF(D2464="dram",H2464,0)</f>
        <v>101</v>
      </c>
      <c r="L2464">
        <v>16</v>
      </c>
      <c r="M2464">
        <v>0</v>
      </c>
    </row>
    <row r="2465" spans="1:13">
      <c r="A2465">
        <v>2463</v>
      </c>
      <c r="B2465" t="s">
        <v>373</v>
      </c>
      <c r="C2465" t="s">
        <v>82</v>
      </c>
      <c r="D2465" t="s">
        <v>83</v>
      </c>
      <c r="E2465" t="s">
        <v>133</v>
      </c>
      <c r="F2465">
        <v>8192</v>
      </c>
      <c r="G2465">
        <f>MAX(I2461,I2464)</f>
        <v>3326791</v>
      </c>
      <c r="H2465">
        <f>CEILING((dram_access_latency+F2465/dram_bandwidth)*frequency,1)</f>
        <v>228</v>
      </c>
      <c r="I2465">
        <f>G2465+H2465</f>
        <v>3327019</v>
      </c>
      <c r="J2465">
        <f>IF(AND(D2465&lt;&gt;"dram",D2465&lt;&gt;"control"),H2465,0)</f>
        <v>0</v>
      </c>
      <c r="K2465">
        <f>IF(D2465="dram",H2465,0)</f>
        <v>228</v>
      </c>
      <c r="L2465">
        <v>8192</v>
      </c>
      <c r="M2465">
        <v>0</v>
      </c>
    </row>
    <row r="2466" spans="1:13">
      <c r="A2466">
        <v>2464</v>
      </c>
      <c r="B2466" t="s">
        <v>62</v>
      </c>
      <c r="C2466" t="s">
        <v>90</v>
      </c>
      <c r="D2466" t="s">
        <v>108</v>
      </c>
      <c r="E2466" t="s">
        <v>133</v>
      </c>
      <c r="F2466">
        <v>0</v>
      </c>
      <c r="G2466">
        <f>MAX(I2460,I2460,I2462,I2463,I2464,I2465,I2322)</f>
        <v>3330838</v>
      </c>
      <c r="H2466">
        <f>'Operations'!I26</f>
        <v>8452</v>
      </c>
      <c r="I2466">
        <f>G2466+H2466</f>
        <v>3339290</v>
      </c>
      <c r="J2466">
        <f>IF(AND(D2466&lt;&gt;"dram",D2466&lt;&gt;"control"),H2466,0)</f>
        <v>8452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375</v>
      </c>
      <c r="C2467" t="s">
        <v>88</v>
      </c>
      <c r="D2467" t="s">
        <v>89</v>
      </c>
      <c r="E2467" t="s">
        <v>133</v>
      </c>
      <c r="F2467">
        <v>0</v>
      </c>
      <c r="G2467">
        <f>MAX(I2461,I2460)</f>
        <v>3322386</v>
      </c>
      <c r="H2467">
        <f>0</f>
        <v>8452</v>
      </c>
      <c r="I2467">
        <f>G2467+H2467</f>
        <v>3330838</v>
      </c>
      <c r="J2467">
        <f>IF(AND(D2467&lt;&gt;"dram",D2467&lt;&gt;"control"),H2467,0)</f>
        <v>0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370</v>
      </c>
      <c r="C2468" t="s">
        <v>82</v>
      </c>
      <c r="D2468" t="s">
        <v>83</v>
      </c>
      <c r="E2468" t="s">
        <v>134</v>
      </c>
      <c r="F2468">
        <v>512</v>
      </c>
      <c r="G2468">
        <f>MAX(I2467,I2465)</f>
        <v>3330838</v>
      </c>
      <c r="H2468">
        <f>CEILING((dram_access_latency+F2468/dram_bandwidth)*frequency,1)</f>
        <v>108</v>
      </c>
      <c r="I2468">
        <f>G2468+H2468</f>
        <v>3330946</v>
      </c>
      <c r="J2468">
        <f>IF(AND(D2468&lt;&gt;"dram",D2468&lt;&gt;"control"),H2468,0)</f>
        <v>0</v>
      </c>
      <c r="K2468">
        <f>IF(D2468="dram",H2468,0)</f>
        <v>108</v>
      </c>
      <c r="L2468">
        <v>512</v>
      </c>
      <c r="M2468">
        <v>0</v>
      </c>
    </row>
    <row r="2469" spans="1:13">
      <c r="A2469">
        <v>2467</v>
      </c>
      <c r="B2469" t="s">
        <v>371</v>
      </c>
      <c r="C2469" t="s">
        <v>82</v>
      </c>
      <c r="D2469" t="s">
        <v>83</v>
      </c>
      <c r="E2469" t="s">
        <v>134</v>
      </c>
      <c r="F2469">
        <v>262144</v>
      </c>
      <c r="G2469">
        <f>MAX(I2467,I2468)</f>
        <v>3330946</v>
      </c>
      <c r="H2469">
        <f>CEILING((dram_access_latency+F2469/dram_bandwidth)*frequency,1)</f>
        <v>4196</v>
      </c>
      <c r="I2469">
        <f>G2469+H2469</f>
        <v>3335142</v>
      </c>
      <c r="J2469">
        <f>IF(AND(D2469&lt;&gt;"dram",D2469&lt;&gt;"control"),H2469,0)</f>
        <v>0</v>
      </c>
      <c r="K2469">
        <f>IF(D2469="dram",H2469,0)</f>
        <v>4196</v>
      </c>
      <c r="L2469">
        <v>262144</v>
      </c>
      <c r="M2469">
        <v>0</v>
      </c>
    </row>
    <row r="2470" spans="1:13">
      <c r="A2470">
        <v>2468</v>
      </c>
      <c r="B2470" t="s">
        <v>372</v>
      </c>
      <c r="C2470" t="s">
        <v>82</v>
      </c>
      <c r="D2470" t="s">
        <v>83</v>
      </c>
      <c r="E2470" t="s">
        <v>134</v>
      </c>
      <c r="F2470">
        <v>16</v>
      </c>
      <c r="G2470">
        <f>MAX(I2467,I2469)</f>
        <v>3335142</v>
      </c>
      <c r="H2470">
        <f>CEILING((dram_access_latency+F2470/dram_bandwidth)*frequency,1)</f>
        <v>101</v>
      </c>
      <c r="I2470">
        <f>G2470+H2470</f>
        <v>3335243</v>
      </c>
      <c r="J2470">
        <f>IF(AND(D2470&lt;&gt;"dram",D2470&lt;&gt;"control"),H2470,0)</f>
        <v>0</v>
      </c>
      <c r="K2470">
        <f>IF(D2470="dram",H2470,0)</f>
        <v>101</v>
      </c>
      <c r="L2470">
        <v>16</v>
      </c>
      <c r="M2470">
        <v>0</v>
      </c>
    </row>
    <row r="2471" spans="1:13">
      <c r="A2471">
        <v>2469</v>
      </c>
      <c r="B2471" t="s">
        <v>373</v>
      </c>
      <c r="C2471" t="s">
        <v>82</v>
      </c>
      <c r="D2471" t="s">
        <v>83</v>
      </c>
      <c r="E2471" t="s">
        <v>134</v>
      </c>
      <c r="F2471">
        <v>8192</v>
      </c>
      <c r="G2471">
        <f>MAX(I2467,I2470)</f>
        <v>3335243</v>
      </c>
      <c r="H2471">
        <f>CEILING((dram_access_latency+F2471/dram_bandwidth)*frequency,1)</f>
        <v>228</v>
      </c>
      <c r="I2471">
        <f>G2471+H2471</f>
        <v>3335471</v>
      </c>
      <c r="J2471">
        <f>IF(AND(D2471&lt;&gt;"dram",D2471&lt;&gt;"control"),H2471,0)</f>
        <v>0</v>
      </c>
      <c r="K2471">
        <f>IF(D2471="dram",H2471,0)</f>
        <v>228</v>
      </c>
      <c r="L2471">
        <v>8192</v>
      </c>
      <c r="M2471">
        <v>0</v>
      </c>
    </row>
    <row r="2472" spans="1:13">
      <c r="A2472">
        <v>2470</v>
      </c>
      <c r="B2472" t="s">
        <v>62</v>
      </c>
      <c r="C2472" t="s">
        <v>90</v>
      </c>
      <c r="D2472" t="s">
        <v>108</v>
      </c>
      <c r="E2472" t="s">
        <v>134</v>
      </c>
      <c r="F2472">
        <v>0</v>
      </c>
      <c r="G2472">
        <f>MAX(I2466,I2466,I2468,I2469,I2470,I2471,I2322)</f>
        <v>3339290</v>
      </c>
      <c r="H2472">
        <f>'Operations'!I26</f>
        <v>8452</v>
      </c>
      <c r="I2472">
        <f>G2472+H2472</f>
        <v>3347742</v>
      </c>
      <c r="J2472">
        <f>IF(AND(D2472&lt;&gt;"dram",D2472&lt;&gt;"control"),H2472,0)</f>
        <v>8452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375</v>
      </c>
      <c r="C2473" t="s">
        <v>88</v>
      </c>
      <c r="D2473" t="s">
        <v>89</v>
      </c>
      <c r="E2473" t="s">
        <v>134</v>
      </c>
      <c r="F2473">
        <v>0</v>
      </c>
      <c r="G2473">
        <f>MAX(I2467,I2466)</f>
        <v>3330838</v>
      </c>
      <c r="H2473">
        <f>0</f>
        <v>8452</v>
      </c>
      <c r="I2473">
        <f>G2473+H2473</f>
        <v>3339290</v>
      </c>
      <c r="J2473">
        <f>IF(AND(D2473&lt;&gt;"dram",D2473&lt;&gt;"control"),H2473,0)</f>
        <v>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370</v>
      </c>
      <c r="C2474" t="s">
        <v>82</v>
      </c>
      <c r="D2474" t="s">
        <v>83</v>
      </c>
      <c r="E2474" t="s">
        <v>135</v>
      </c>
      <c r="F2474">
        <v>512</v>
      </c>
      <c r="G2474">
        <f>MAX(I2473,I2471)</f>
        <v>3339290</v>
      </c>
      <c r="H2474">
        <f>CEILING((dram_access_latency+F2474/dram_bandwidth)*frequency,1)</f>
        <v>108</v>
      </c>
      <c r="I2474">
        <f>G2474+H2474</f>
        <v>3339398</v>
      </c>
      <c r="J2474">
        <f>IF(AND(D2474&lt;&gt;"dram",D2474&lt;&gt;"control"),H2474,0)</f>
        <v>0</v>
      </c>
      <c r="K2474">
        <f>IF(D2474="dram",H2474,0)</f>
        <v>108</v>
      </c>
      <c r="L2474">
        <v>512</v>
      </c>
      <c r="M2474">
        <v>0</v>
      </c>
    </row>
    <row r="2475" spans="1:13">
      <c r="A2475">
        <v>2473</v>
      </c>
      <c r="B2475" t="s">
        <v>371</v>
      </c>
      <c r="C2475" t="s">
        <v>82</v>
      </c>
      <c r="D2475" t="s">
        <v>83</v>
      </c>
      <c r="E2475" t="s">
        <v>135</v>
      </c>
      <c r="F2475">
        <v>262144</v>
      </c>
      <c r="G2475">
        <f>MAX(I2473,I2474)</f>
        <v>3339398</v>
      </c>
      <c r="H2475">
        <f>CEILING((dram_access_latency+F2475/dram_bandwidth)*frequency,1)</f>
        <v>4196</v>
      </c>
      <c r="I2475">
        <f>G2475+H2475</f>
        <v>3343594</v>
      </c>
      <c r="J2475">
        <f>IF(AND(D2475&lt;&gt;"dram",D2475&lt;&gt;"control"),H2475,0)</f>
        <v>0</v>
      </c>
      <c r="K2475">
        <f>IF(D2475="dram",H2475,0)</f>
        <v>4196</v>
      </c>
      <c r="L2475">
        <v>262144</v>
      </c>
      <c r="M2475">
        <v>0</v>
      </c>
    </row>
    <row r="2476" spans="1:13">
      <c r="A2476">
        <v>2474</v>
      </c>
      <c r="B2476" t="s">
        <v>372</v>
      </c>
      <c r="C2476" t="s">
        <v>82</v>
      </c>
      <c r="D2476" t="s">
        <v>83</v>
      </c>
      <c r="E2476" t="s">
        <v>135</v>
      </c>
      <c r="F2476">
        <v>16</v>
      </c>
      <c r="G2476">
        <f>MAX(I2473,I2475)</f>
        <v>3343594</v>
      </c>
      <c r="H2476">
        <f>CEILING((dram_access_latency+F2476/dram_bandwidth)*frequency,1)</f>
        <v>101</v>
      </c>
      <c r="I2476">
        <f>G2476+H2476</f>
        <v>3343695</v>
      </c>
      <c r="J2476">
        <f>IF(AND(D2476&lt;&gt;"dram",D2476&lt;&gt;"control"),H2476,0)</f>
        <v>0</v>
      </c>
      <c r="K2476">
        <f>IF(D2476="dram",H2476,0)</f>
        <v>101</v>
      </c>
      <c r="L2476">
        <v>16</v>
      </c>
      <c r="M2476">
        <v>0</v>
      </c>
    </row>
    <row r="2477" spans="1:13">
      <c r="A2477">
        <v>2475</v>
      </c>
      <c r="B2477" t="s">
        <v>373</v>
      </c>
      <c r="C2477" t="s">
        <v>82</v>
      </c>
      <c r="D2477" t="s">
        <v>83</v>
      </c>
      <c r="E2477" t="s">
        <v>135</v>
      </c>
      <c r="F2477">
        <v>8192</v>
      </c>
      <c r="G2477">
        <f>MAX(I2473,I2476)</f>
        <v>3343695</v>
      </c>
      <c r="H2477">
        <f>CEILING((dram_access_latency+F2477/dram_bandwidth)*frequency,1)</f>
        <v>228</v>
      </c>
      <c r="I2477">
        <f>G2477+H2477</f>
        <v>3343923</v>
      </c>
      <c r="J2477">
        <f>IF(AND(D2477&lt;&gt;"dram",D2477&lt;&gt;"control"),H2477,0)</f>
        <v>0</v>
      </c>
      <c r="K2477">
        <f>IF(D2477="dram",H2477,0)</f>
        <v>228</v>
      </c>
      <c r="L2477">
        <v>8192</v>
      </c>
      <c r="M2477">
        <v>0</v>
      </c>
    </row>
    <row r="2478" spans="1:13">
      <c r="A2478">
        <v>2476</v>
      </c>
      <c r="B2478" t="s">
        <v>62</v>
      </c>
      <c r="C2478" t="s">
        <v>90</v>
      </c>
      <c r="D2478" t="s">
        <v>108</v>
      </c>
      <c r="E2478" t="s">
        <v>135</v>
      </c>
      <c r="F2478">
        <v>0</v>
      </c>
      <c r="G2478">
        <f>MAX(I2472,I2472,I2474,I2475,I2476,I2477,I2322)</f>
        <v>3347742</v>
      </c>
      <c r="H2478">
        <f>'Operations'!I26</f>
        <v>8452</v>
      </c>
      <c r="I2478">
        <f>G2478+H2478</f>
        <v>3356194</v>
      </c>
      <c r="J2478">
        <f>IF(AND(D2478&lt;&gt;"dram",D2478&lt;&gt;"control"),H2478,0)</f>
        <v>8452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375</v>
      </c>
      <c r="C2479" t="s">
        <v>88</v>
      </c>
      <c r="D2479" t="s">
        <v>89</v>
      </c>
      <c r="E2479" t="s">
        <v>135</v>
      </c>
      <c r="F2479">
        <v>0</v>
      </c>
      <c r="G2479">
        <f>MAX(I2473,I2472)</f>
        <v>3339290</v>
      </c>
      <c r="H2479">
        <f>0</f>
        <v>8452</v>
      </c>
      <c r="I2479">
        <f>G2479+H2479</f>
        <v>3347742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370</v>
      </c>
      <c r="C2480" t="s">
        <v>82</v>
      </c>
      <c r="D2480" t="s">
        <v>83</v>
      </c>
      <c r="E2480" t="s">
        <v>136</v>
      </c>
      <c r="F2480">
        <v>512</v>
      </c>
      <c r="G2480">
        <f>MAX(I2479,I2477)</f>
        <v>3347742</v>
      </c>
      <c r="H2480">
        <f>CEILING((dram_access_latency+F2480/dram_bandwidth)*frequency,1)</f>
        <v>108</v>
      </c>
      <c r="I2480">
        <f>G2480+H2480</f>
        <v>3347850</v>
      </c>
      <c r="J2480">
        <f>IF(AND(D2480&lt;&gt;"dram",D2480&lt;&gt;"control"),H2480,0)</f>
        <v>0</v>
      </c>
      <c r="K2480">
        <f>IF(D2480="dram",H2480,0)</f>
        <v>108</v>
      </c>
      <c r="L2480">
        <v>512</v>
      </c>
      <c r="M2480">
        <v>0</v>
      </c>
    </row>
    <row r="2481" spans="1:13">
      <c r="A2481">
        <v>2479</v>
      </c>
      <c r="B2481" t="s">
        <v>371</v>
      </c>
      <c r="C2481" t="s">
        <v>82</v>
      </c>
      <c r="D2481" t="s">
        <v>83</v>
      </c>
      <c r="E2481" t="s">
        <v>136</v>
      </c>
      <c r="F2481">
        <v>262144</v>
      </c>
      <c r="G2481">
        <f>MAX(I2479,I2480)</f>
        <v>3347850</v>
      </c>
      <c r="H2481">
        <f>CEILING((dram_access_latency+F2481/dram_bandwidth)*frequency,1)</f>
        <v>4196</v>
      </c>
      <c r="I2481">
        <f>G2481+H2481</f>
        <v>3352046</v>
      </c>
      <c r="J2481">
        <f>IF(AND(D2481&lt;&gt;"dram",D2481&lt;&gt;"control"),H2481,0)</f>
        <v>0</v>
      </c>
      <c r="K2481">
        <f>IF(D2481="dram",H2481,0)</f>
        <v>4196</v>
      </c>
      <c r="L2481">
        <v>262144</v>
      </c>
      <c r="M2481">
        <v>0</v>
      </c>
    </row>
    <row r="2482" spans="1:13">
      <c r="A2482">
        <v>2480</v>
      </c>
      <c r="B2482" t="s">
        <v>372</v>
      </c>
      <c r="C2482" t="s">
        <v>82</v>
      </c>
      <c r="D2482" t="s">
        <v>83</v>
      </c>
      <c r="E2482" t="s">
        <v>136</v>
      </c>
      <c r="F2482">
        <v>16</v>
      </c>
      <c r="G2482">
        <f>MAX(I2479,I2481)</f>
        <v>3352046</v>
      </c>
      <c r="H2482">
        <f>CEILING((dram_access_latency+F2482/dram_bandwidth)*frequency,1)</f>
        <v>101</v>
      </c>
      <c r="I2482">
        <f>G2482+H2482</f>
        <v>3352147</v>
      </c>
      <c r="J2482">
        <f>IF(AND(D2482&lt;&gt;"dram",D2482&lt;&gt;"control"),H2482,0)</f>
        <v>0</v>
      </c>
      <c r="K2482">
        <f>IF(D2482="dram",H2482,0)</f>
        <v>101</v>
      </c>
      <c r="L2482">
        <v>16</v>
      </c>
      <c r="M2482">
        <v>0</v>
      </c>
    </row>
    <row r="2483" spans="1:13">
      <c r="A2483">
        <v>2481</v>
      </c>
      <c r="B2483" t="s">
        <v>373</v>
      </c>
      <c r="C2483" t="s">
        <v>82</v>
      </c>
      <c r="D2483" t="s">
        <v>83</v>
      </c>
      <c r="E2483" t="s">
        <v>136</v>
      </c>
      <c r="F2483">
        <v>8192</v>
      </c>
      <c r="G2483">
        <f>MAX(I2479,I2482)</f>
        <v>3352147</v>
      </c>
      <c r="H2483">
        <f>CEILING((dram_access_latency+F2483/dram_bandwidth)*frequency,1)</f>
        <v>228</v>
      </c>
      <c r="I2483">
        <f>G2483+H2483</f>
        <v>3352375</v>
      </c>
      <c r="J2483">
        <f>IF(AND(D2483&lt;&gt;"dram",D2483&lt;&gt;"control"),H2483,0)</f>
        <v>0</v>
      </c>
      <c r="K2483">
        <f>IF(D2483="dram",H2483,0)</f>
        <v>228</v>
      </c>
      <c r="L2483">
        <v>8192</v>
      </c>
      <c r="M2483">
        <v>0</v>
      </c>
    </row>
    <row r="2484" spans="1:13">
      <c r="A2484">
        <v>2482</v>
      </c>
      <c r="B2484" t="s">
        <v>62</v>
      </c>
      <c r="C2484" t="s">
        <v>90</v>
      </c>
      <c r="D2484" t="s">
        <v>108</v>
      </c>
      <c r="E2484" t="s">
        <v>136</v>
      </c>
      <c r="F2484">
        <v>0</v>
      </c>
      <c r="G2484">
        <f>MAX(I2478,I2478,I2480,I2481,I2482,I2483,I2322)</f>
        <v>3356194</v>
      </c>
      <c r="H2484">
        <f>'Operations'!I26</f>
        <v>8452</v>
      </c>
      <c r="I2484">
        <f>G2484+H2484</f>
        <v>3364646</v>
      </c>
      <c r="J2484">
        <f>IF(AND(D2484&lt;&gt;"dram",D2484&lt;&gt;"control"),H2484,0)</f>
        <v>8452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375</v>
      </c>
      <c r="C2485" t="s">
        <v>88</v>
      </c>
      <c r="D2485" t="s">
        <v>89</v>
      </c>
      <c r="E2485" t="s">
        <v>136</v>
      </c>
      <c r="F2485">
        <v>0</v>
      </c>
      <c r="G2485">
        <f>MAX(I2479,I2478)</f>
        <v>3347742</v>
      </c>
      <c r="H2485">
        <f>0</f>
        <v>8452</v>
      </c>
      <c r="I2485">
        <f>G2485+H2485</f>
        <v>3356194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370</v>
      </c>
      <c r="C2486" t="s">
        <v>82</v>
      </c>
      <c r="D2486" t="s">
        <v>83</v>
      </c>
      <c r="E2486" t="s">
        <v>137</v>
      </c>
      <c r="F2486">
        <v>512</v>
      </c>
      <c r="G2486">
        <f>MAX(I2485,I2483)</f>
        <v>3356194</v>
      </c>
      <c r="H2486">
        <f>CEILING((dram_access_latency+F2486/dram_bandwidth)*frequency,1)</f>
        <v>108</v>
      </c>
      <c r="I2486">
        <f>G2486+H2486</f>
        <v>3356302</v>
      </c>
      <c r="J2486">
        <f>IF(AND(D2486&lt;&gt;"dram",D2486&lt;&gt;"control"),H2486,0)</f>
        <v>0</v>
      </c>
      <c r="K2486">
        <f>IF(D2486="dram",H2486,0)</f>
        <v>108</v>
      </c>
      <c r="L2486">
        <v>512</v>
      </c>
      <c r="M2486">
        <v>0</v>
      </c>
    </row>
    <row r="2487" spans="1:13">
      <c r="A2487">
        <v>2485</v>
      </c>
      <c r="B2487" t="s">
        <v>371</v>
      </c>
      <c r="C2487" t="s">
        <v>82</v>
      </c>
      <c r="D2487" t="s">
        <v>83</v>
      </c>
      <c r="E2487" t="s">
        <v>137</v>
      </c>
      <c r="F2487">
        <v>262144</v>
      </c>
      <c r="G2487">
        <f>MAX(I2485,I2486)</f>
        <v>3356302</v>
      </c>
      <c r="H2487">
        <f>CEILING((dram_access_latency+F2487/dram_bandwidth)*frequency,1)</f>
        <v>4196</v>
      </c>
      <c r="I2487">
        <f>G2487+H2487</f>
        <v>3360498</v>
      </c>
      <c r="J2487">
        <f>IF(AND(D2487&lt;&gt;"dram",D2487&lt;&gt;"control"),H2487,0)</f>
        <v>0</v>
      </c>
      <c r="K2487">
        <f>IF(D2487="dram",H2487,0)</f>
        <v>4196</v>
      </c>
      <c r="L2487">
        <v>262144</v>
      </c>
      <c r="M2487">
        <v>0</v>
      </c>
    </row>
    <row r="2488" spans="1:13">
      <c r="A2488">
        <v>2486</v>
      </c>
      <c r="B2488" t="s">
        <v>372</v>
      </c>
      <c r="C2488" t="s">
        <v>82</v>
      </c>
      <c r="D2488" t="s">
        <v>83</v>
      </c>
      <c r="E2488" t="s">
        <v>137</v>
      </c>
      <c r="F2488">
        <v>16</v>
      </c>
      <c r="G2488">
        <f>MAX(I2485,I2487)</f>
        <v>3360498</v>
      </c>
      <c r="H2488">
        <f>CEILING((dram_access_latency+F2488/dram_bandwidth)*frequency,1)</f>
        <v>101</v>
      </c>
      <c r="I2488">
        <f>G2488+H2488</f>
        <v>3360599</v>
      </c>
      <c r="J2488">
        <f>IF(AND(D2488&lt;&gt;"dram",D2488&lt;&gt;"control"),H2488,0)</f>
        <v>0</v>
      </c>
      <c r="K2488">
        <f>IF(D2488="dram",H2488,0)</f>
        <v>101</v>
      </c>
      <c r="L2488">
        <v>16</v>
      </c>
      <c r="M2488">
        <v>0</v>
      </c>
    </row>
    <row r="2489" spans="1:13">
      <c r="A2489">
        <v>2487</v>
      </c>
      <c r="B2489" t="s">
        <v>373</v>
      </c>
      <c r="C2489" t="s">
        <v>82</v>
      </c>
      <c r="D2489" t="s">
        <v>83</v>
      </c>
      <c r="E2489" t="s">
        <v>137</v>
      </c>
      <c r="F2489">
        <v>8192</v>
      </c>
      <c r="G2489">
        <f>MAX(I2485,I2488)</f>
        <v>3360599</v>
      </c>
      <c r="H2489">
        <f>CEILING((dram_access_latency+F2489/dram_bandwidth)*frequency,1)</f>
        <v>228</v>
      </c>
      <c r="I2489">
        <f>G2489+H2489</f>
        <v>3360827</v>
      </c>
      <c r="J2489">
        <f>IF(AND(D2489&lt;&gt;"dram",D2489&lt;&gt;"control"),H2489,0)</f>
        <v>0</v>
      </c>
      <c r="K2489">
        <f>IF(D2489="dram",H2489,0)</f>
        <v>228</v>
      </c>
      <c r="L2489">
        <v>8192</v>
      </c>
      <c r="M2489">
        <v>0</v>
      </c>
    </row>
    <row r="2490" spans="1:13">
      <c r="A2490">
        <v>2488</v>
      </c>
      <c r="B2490" t="s">
        <v>62</v>
      </c>
      <c r="C2490" t="s">
        <v>90</v>
      </c>
      <c r="D2490" t="s">
        <v>108</v>
      </c>
      <c r="E2490" t="s">
        <v>137</v>
      </c>
      <c r="F2490">
        <v>0</v>
      </c>
      <c r="G2490">
        <f>MAX(I2484,I2484,I2486,I2487,I2488,I2489,I2322)</f>
        <v>3364646</v>
      </c>
      <c r="H2490">
        <f>'Operations'!I26</f>
        <v>8452</v>
      </c>
      <c r="I2490">
        <f>G2490+H2490</f>
        <v>3373098</v>
      </c>
      <c r="J2490">
        <f>IF(AND(D2490&lt;&gt;"dram",D2490&lt;&gt;"control"),H2490,0)</f>
        <v>8452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375</v>
      </c>
      <c r="C2491" t="s">
        <v>88</v>
      </c>
      <c r="D2491" t="s">
        <v>89</v>
      </c>
      <c r="E2491" t="s">
        <v>137</v>
      </c>
      <c r="F2491">
        <v>0</v>
      </c>
      <c r="G2491">
        <f>MAX(I2485,I2484)</f>
        <v>3356194</v>
      </c>
      <c r="H2491">
        <f>0</f>
        <v>8452</v>
      </c>
      <c r="I2491">
        <f>G2491+H2491</f>
        <v>3364646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370</v>
      </c>
      <c r="C2492" t="s">
        <v>82</v>
      </c>
      <c r="D2492" t="s">
        <v>83</v>
      </c>
      <c r="E2492" t="s">
        <v>138</v>
      </c>
      <c r="F2492">
        <v>512</v>
      </c>
      <c r="G2492">
        <f>MAX(I2491,I2489)</f>
        <v>3364646</v>
      </c>
      <c r="H2492">
        <f>CEILING((dram_access_latency+F2492/dram_bandwidth)*frequency,1)</f>
        <v>108</v>
      </c>
      <c r="I2492">
        <f>G2492+H2492</f>
        <v>3364754</v>
      </c>
      <c r="J2492">
        <f>IF(AND(D2492&lt;&gt;"dram",D2492&lt;&gt;"control"),H2492,0)</f>
        <v>0</v>
      </c>
      <c r="K2492">
        <f>IF(D2492="dram",H2492,0)</f>
        <v>108</v>
      </c>
      <c r="L2492">
        <v>512</v>
      </c>
      <c r="M2492">
        <v>0</v>
      </c>
    </row>
    <row r="2493" spans="1:13">
      <c r="A2493">
        <v>2491</v>
      </c>
      <c r="B2493" t="s">
        <v>371</v>
      </c>
      <c r="C2493" t="s">
        <v>82</v>
      </c>
      <c r="D2493" t="s">
        <v>83</v>
      </c>
      <c r="E2493" t="s">
        <v>138</v>
      </c>
      <c r="F2493">
        <v>262144</v>
      </c>
      <c r="G2493">
        <f>MAX(I2491,I2492)</f>
        <v>3364754</v>
      </c>
      <c r="H2493">
        <f>CEILING((dram_access_latency+F2493/dram_bandwidth)*frequency,1)</f>
        <v>4196</v>
      </c>
      <c r="I2493">
        <f>G2493+H2493</f>
        <v>3368950</v>
      </c>
      <c r="J2493">
        <f>IF(AND(D2493&lt;&gt;"dram",D2493&lt;&gt;"control"),H2493,0)</f>
        <v>0</v>
      </c>
      <c r="K2493">
        <f>IF(D2493="dram",H2493,0)</f>
        <v>4196</v>
      </c>
      <c r="L2493">
        <v>262144</v>
      </c>
      <c r="M2493">
        <v>0</v>
      </c>
    </row>
    <row r="2494" spans="1:13">
      <c r="A2494">
        <v>2492</v>
      </c>
      <c r="B2494" t="s">
        <v>372</v>
      </c>
      <c r="C2494" t="s">
        <v>82</v>
      </c>
      <c r="D2494" t="s">
        <v>83</v>
      </c>
      <c r="E2494" t="s">
        <v>138</v>
      </c>
      <c r="F2494">
        <v>16</v>
      </c>
      <c r="G2494">
        <f>MAX(I2491,I2493)</f>
        <v>3368950</v>
      </c>
      <c r="H2494">
        <f>CEILING((dram_access_latency+F2494/dram_bandwidth)*frequency,1)</f>
        <v>101</v>
      </c>
      <c r="I2494">
        <f>G2494+H2494</f>
        <v>3369051</v>
      </c>
      <c r="J2494">
        <f>IF(AND(D2494&lt;&gt;"dram",D2494&lt;&gt;"control"),H2494,0)</f>
        <v>0</v>
      </c>
      <c r="K2494">
        <f>IF(D2494="dram",H2494,0)</f>
        <v>101</v>
      </c>
      <c r="L2494">
        <v>16</v>
      </c>
      <c r="M2494">
        <v>0</v>
      </c>
    </row>
    <row r="2495" spans="1:13">
      <c r="A2495">
        <v>2493</v>
      </c>
      <c r="B2495" t="s">
        <v>373</v>
      </c>
      <c r="C2495" t="s">
        <v>82</v>
      </c>
      <c r="D2495" t="s">
        <v>83</v>
      </c>
      <c r="E2495" t="s">
        <v>138</v>
      </c>
      <c r="F2495">
        <v>8192</v>
      </c>
      <c r="G2495">
        <f>MAX(I2491,I2494)</f>
        <v>3369051</v>
      </c>
      <c r="H2495">
        <f>CEILING((dram_access_latency+F2495/dram_bandwidth)*frequency,1)</f>
        <v>228</v>
      </c>
      <c r="I2495">
        <f>G2495+H2495</f>
        <v>3369279</v>
      </c>
      <c r="J2495">
        <f>IF(AND(D2495&lt;&gt;"dram",D2495&lt;&gt;"control"),H2495,0)</f>
        <v>0</v>
      </c>
      <c r="K2495">
        <f>IF(D2495="dram",H2495,0)</f>
        <v>228</v>
      </c>
      <c r="L2495">
        <v>8192</v>
      </c>
      <c r="M2495">
        <v>0</v>
      </c>
    </row>
    <row r="2496" spans="1:13">
      <c r="A2496">
        <v>2494</v>
      </c>
      <c r="B2496" t="s">
        <v>62</v>
      </c>
      <c r="C2496" t="s">
        <v>90</v>
      </c>
      <c r="D2496" t="s">
        <v>108</v>
      </c>
      <c r="E2496" t="s">
        <v>138</v>
      </c>
      <c r="F2496">
        <v>0</v>
      </c>
      <c r="G2496">
        <f>MAX(I2490,I2490,I2492,I2493,I2494,I2495,I2322)</f>
        <v>3373098</v>
      </c>
      <c r="H2496">
        <f>'Operations'!I26</f>
        <v>8452</v>
      </c>
      <c r="I2496">
        <f>G2496+H2496</f>
        <v>3381550</v>
      </c>
      <c r="J2496">
        <f>IF(AND(D2496&lt;&gt;"dram",D2496&lt;&gt;"control"),H2496,0)</f>
        <v>8452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375</v>
      </c>
      <c r="C2497" t="s">
        <v>88</v>
      </c>
      <c r="D2497" t="s">
        <v>89</v>
      </c>
      <c r="E2497" t="s">
        <v>138</v>
      </c>
      <c r="F2497">
        <v>0</v>
      </c>
      <c r="G2497">
        <f>MAX(I2491,I2490)</f>
        <v>3364646</v>
      </c>
      <c r="H2497">
        <f>0</f>
        <v>8452</v>
      </c>
      <c r="I2497">
        <f>G2497+H2497</f>
        <v>3373098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370</v>
      </c>
      <c r="C2498" t="s">
        <v>82</v>
      </c>
      <c r="D2498" t="s">
        <v>83</v>
      </c>
      <c r="E2498" t="s">
        <v>139</v>
      </c>
      <c r="F2498">
        <v>512</v>
      </c>
      <c r="G2498">
        <f>MAX(I2497,I2495)</f>
        <v>3373098</v>
      </c>
      <c r="H2498">
        <f>CEILING((dram_access_latency+F2498/dram_bandwidth)*frequency,1)</f>
        <v>108</v>
      </c>
      <c r="I2498">
        <f>G2498+H2498</f>
        <v>3373206</v>
      </c>
      <c r="J2498">
        <f>IF(AND(D2498&lt;&gt;"dram",D2498&lt;&gt;"control"),H2498,0)</f>
        <v>0</v>
      </c>
      <c r="K2498">
        <f>IF(D2498="dram",H2498,0)</f>
        <v>108</v>
      </c>
      <c r="L2498">
        <v>512</v>
      </c>
      <c r="M2498">
        <v>0</v>
      </c>
    </row>
    <row r="2499" spans="1:13">
      <c r="A2499">
        <v>2497</v>
      </c>
      <c r="B2499" t="s">
        <v>371</v>
      </c>
      <c r="C2499" t="s">
        <v>82</v>
      </c>
      <c r="D2499" t="s">
        <v>83</v>
      </c>
      <c r="E2499" t="s">
        <v>139</v>
      </c>
      <c r="F2499">
        <v>262144</v>
      </c>
      <c r="G2499">
        <f>MAX(I2497,I2498)</f>
        <v>3373206</v>
      </c>
      <c r="H2499">
        <f>CEILING((dram_access_latency+F2499/dram_bandwidth)*frequency,1)</f>
        <v>4196</v>
      </c>
      <c r="I2499">
        <f>G2499+H2499</f>
        <v>3377402</v>
      </c>
      <c r="J2499">
        <f>IF(AND(D2499&lt;&gt;"dram",D2499&lt;&gt;"control"),H2499,0)</f>
        <v>0</v>
      </c>
      <c r="K2499">
        <f>IF(D2499="dram",H2499,0)</f>
        <v>4196</v>
      </c>
      <c r="L2499">
        <v>262144</v>
      </c>
      <c r="M2499">
        <v>0</v>
      </c>
    </row>
    <row r="2500" spans="1:13">
      <c r="A2500">
        <v>2498</v>
      </c>
      <c r="B2500" t="s">
        <v>372</v>
      </c>
      <c r="C2500" t="s">
        <v>82</v>
      </c>
      <c r="D2500" t="s">
        <v>83</v>
      </c>
      <c r="E2500" t="s">
        <v>139</v>
      </c>
      <c r="F2500">
        <v>16</v>
      </c>
      <c r="G2500">
        <f>MAX(I2497,I2499)</f>
        <v>3377402</v>
      </c>
      <c r="H2500">
        <f>CEILING((dram_access_latency+F2500/dram_bandwidth)*frequency,1)</f>
        <v>101</v>
      </c>
      <c r="I2500">
        <f>G2500+H2500</f>
        <v>3377503</v>
      </c>
      <c r="J2500">
        <f>IF(AND(D2500&lt;&gt;"dram",D2500&lt;&gt;"control"),H2500,0)</f>
        <v>0</v>
      </c>
      <c r="K2500">
        <f>IF(D2500="dram",H2500,0)</f>
        <v>101</v>
      </c>
      <c r="L2500">
        <v>16</v>
      </c>
      <c r="M2500">
        <v>0</v>
      </c>
    </row>
    <row r="2501" spans="1:13">
      <c r="A2501">
        <v>2499</v>
      </c>
      <c r="B2501" t="s">
        <v>373</v>
      </c>
      <c r="C2501" t="s">
        <v>82</v>
      </c>
      <c r="D2501" t="s">
        <v>83</v>
      </c>
      <c r="E2501" t="s">
        <v>139</v>
      </c>
      <c r="F2501">
        <v>8192</v>
      </c>
      <c r="G2501">
        <f>MAX(I2497,I2500)</f>
        <v>3377503</v>
      </c>
      <c r="H2501">
        <f>CEILING((dram_access_latency+F2501/dram_bandwidth)*frequency,1)</f>
        <v>228</v>
      </c>
      <c r="I2501">
        <f>G2501+H2501</f>
        <v>3377731</v>
      </c>
      <c r="J2501">
        <f>IF(AND(D2501&lt;&gt;"dram",D2501&lt;&gt;"control"),H2501,0)</f>
        <v>0</v>
      </c>
      <c r="K2501">
        <f>IF(D2501="dram",H2501,0)</f>
        <v>228</v>
      </c>
      <c r="L2501">
        <v>8192</v>
      </c>
      <c r="M2501">
        <v>0</v>
      </c>
    </row>
    <row r="2502" spans="1:13">
      <c r="A2502">
        <v>2500</v>
      </c>
      <c r="B2502" t="s">
        <v>62</v>
      </c>
      <c r="C2502" t="s">
        <v>90</v>
      </c>
      <c r="D2502" t="s">
        <v>108</v>
      </c>
      <c r="E2502" t="s">
        <v>139</v>
      </c>
      <c r="F2502">
        <v>0</v>
      </c>
      <c r="G2502">
        <f>MAX(I2496,I2496,I2498,I2499,I2500,I2501,I2322)</f>
        <v>3381550</v>
      </c>
      <c r="H2502">
        <f>'Operations'!I26</f>
        <v>8452</v>
      </c>
      <c r="I2502">
        <f>G2502+H2502</f>
        <v>3390002</v>
      </c>
      <c r="J2502">
        <f>IF(AND(D2502&lt;&gt;"dram",D2502&lt;&gt;"control"),H2502,0)</f>
        <v>8452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375</v>
      </c>
      <c r="C2503" t="s">
        <v>88</v>
      </c>
      <c r="D2503" t="s">
        <v>89</v>
      </c>
      <c r="E2503" t="s">
        <v>139</v>
      </c>
      <c r="F2503">
        <v>0</v>
      </c>
      <c r="G2503">
        <f>MAX(I2497,I2496)</f>
        <v>3373098</v>
      </c>
      <c r="H2503">
        <f>0</f>
        <v>8452</v>
      </c>
      <c r="I2503">
        <f>G2503+H2503</f>
        <v>3381550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370</v>
      </c>
      <c r="C2504" t="s">
        <v>82</v>
      </c>
      <c r="D2504" t="s">
        <v>83</v>
      </c>
      <c r="E2504" t="s">
        <v>140</v>
      </c>
      <c r="F2504">
        <v>512</v>
      </c>
      <c r="G2504">
        <f>MAX(I2503,I2501)</f>
        <v>3381550</v>
      </c>
      <c r="H2504">
        <f>CEILING((dram_access_latency+F2504/dram_bandwidth)*frequency,1)</f>
        <v>108</v>
      </c>
      <c r="I2504">
        <f>G2504+H2504</f>
        <v>3381658</v>
      </c>
      <c r="J2504">
        <f>IF(AND(D2504&lt;&gt;"dram",D2504&lt;&gt;"control"),H2504,0)</f>
        <v>0</v>
      </c>
      <c r="K2504">
        <f>IF(D2504="dram",H2504,0)</f>
        <v>108</v>
      </c>
      <c r="L2504">
        <v>512</v>
      </c>
      <c r="M2504">
        <v>0</v>
      </c>
    </row>
    <row r="2505" spans="1:13">
      <c r="A2505">
        <v>2503</v>
      </c>
      <c r="B2505" t="s">
        <v>371</v>
      </c>
      <c r="C2505" t="s">
        <v>82</v>
      </c>
      <c r="D2505" t="s">
        <v>83</v>
      </c>
      <c r="E2505" t="s">
        <v>140</v>
      </c>
      <c r="F2505">
        <v>262144</v>
      </c>
      <c r="G2505">
        <f>MAX(I2503,I2504)</f>
        <v>3381658</v>
      </c>
      <c r="H2505">
        <f>CEILING((dram_access_latency+F2505/dram_bandwidth)*frequency,1)</f>
        <v>4196</v>
      </c>
      <c r="I2505">
        <f>G2505+H2505</f>
        <v>3385854</v>
      </c>
      <c r="J2505">
        <f>IF(AND(D2505&lt;&gt;"dram",D2505&lt;&gt;"control"),H2505,0)</f>
        <v>0</v>
      </c>
      <c r="K2505">
        <f>IF(D2505="dram",H2505,0)</f>
        <v>4196</v>
      </c>
      <c r="L2505">
        <v>262144</v>
      </c>
      <c r="M2505">
        <v>0</v>
      </c>
    </row>
    <row r="2506" spans="1:13">
      <c r="A2506">
        <v>2504</v>
      </c>
      <c r="B2506" t="s">
        <v>372</v>
      </c>
      <c r="C2506" t="s">
        <v>82</v>
      </c>
      <c r="D2506" t="s">
        <v>83</v>
      </c>
      <c r="E2506" t="s">
        <v>140</v>
      </c>
      <c r="F2506">
        <v>16</v>
      </c>
      <c r="G2506">
        <f>MAX(I2503,I2505)</f>
        <v>3385854</v>
      </c>
      <c r="H2506">
        <f>CEILING((dram_access_latency+F2506/dram_bandwidth)*frequency,1)</f>
        <v>101</v>
      </c>
      <c r="I2506">
        <f>G2506+H2506</f>
        <v>3385955</v>
      </c>
      <c r="J2506">
        <f>IF(AND(D2506&lt;&gt;"dram",D2506&lt;&gt;"control"),H2506,0)</f>
        <v>0</v>
      </c>
      <c r="K2506">
        <f>IF(D2506="dram",H2506,0)</f>
        <v>101</v>
      </c>
      <c r="L2506">
        <v>16</v>
      </c>
      <c r="M2506">
        <v>0</v>
      </c>
    </row>
    <row r="2507" spans="1:13">
      <c r="A2507">
        <v>2505</v>
      </c>
      <c r="B2507" t="s">
        <v>373</v>
      </c>
      <c r="C2507" t="s">
        <v>82</v>
      </c>
      <c r="D2507" t="s">
        <v>83</v>
      </c>
      <c r="E2507" t="s">
        <v>140</v>
      </c>
      <c r="F2507">
        <v>8192</v>
      </c>
      <c r="G2507">
        <f>MAX(I2503,I2506)</f>
        <v>3385955</v>
      </c>
      <c r="H2507">
        <f>CEILING((dram_access_latency+F2507/dram_bandwidth)*frequency,1)</f>
        <v>228</v>
      </c>
      <c r="I2507">
        <f>G2507+H2507</f>
        <v>3386183</v>
      </c>
      <c r="J2507">
        <f>IF(AND(D2507&lt;&gt;"dram",D2507&lt;&gt;"control"),H2507,0)</f>
        <v>0</v>
      </c>
      <c r="K2507">
        <f>IF(D2507="dram",H2507,0)</f>
        <v>228</v>
      </c>
      <c r="L2507">
        <v>8192</v>
      </c>
      <c r="M2507">
        <v>0</v>
      </c>
    </row>
    <row r="2508" spans="1:13">
      <c r="A2508">
        <v>2506</v>
      </c>
      <c r="B2508" t="s">
        <v>62</v>
      </c>
      <c r="C2508" t="s">
        <v>90</v>
      </c>
      <c r="D2508" t="s">
        <v>108</v>
      </c>
      <c r="E2508" t="s">
        <v>140</v>
      </c>
      <c r="F2508">
        <v>0</v>
      </c>
      <c r="G2508">
        <f>MAX(I2502,I2502,I2504,I2505,I2506,I2507,I2322)</f>
        <v>3390002</v>
      </c>
      <c r="H2508">
        <f>'Operations'!I26</f>
        <v>8452</v>
      </c>
      <c r="I2508">
        <f>G2508+H2508</f>
        <v>3398454</v>
      </c>
      <c r="J2508">
        <f>IF(AND(D2508&lt;&gt;"dram",D2508&lt;&gt;"control"),H2508,0)</f>
        <v>8452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375</v>
      </c>
      <c r="C2509" t="s">
        <v>88</v>
      </c>
      <c r="D2509" t="s">
        <v>89</v>
      </c>
      <c r="E2509" t="s">
        <v>140</v>
      </c>
      <c r="F2509">
        <v>0</v>
      </c>
      <c r="G2509">
        <f>MAX(I2503,I2502)</f>
        <v>3381550</v>
      </c>
      <c r="H2509">
        <f>0</f>
        <v>8452</v>
      </c>
      <c r="I2509">
        <f>G2509+H2509</f>
        <v>3390002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370</v>
      </c>
      <c r="C2510" t="s">
        <v>82</v>
      </c>
      <c r="D2510" t="s">
        <v>83</v>
      </c>
      <c r="E2510" t="s">
        <v>340</v>
      </c>
      <c r="F2510">
        <v>512</v>
      </c>
      <c r="G2510">
        <f>MAX(I2509,I2507)</f>
        <v>3390002</v>
      </c>
      <c r="H2510">
        <f>CEILING((dram_access_latency+F2510/dram_bandwidth)*frequency,1)</f>
        <v>108</v>
      </c>
      <c r="I2510">
        <f>G2510+H2510</f>
        <v>3390110</v>
      </c>
      <c r="J2510">
        <f>IF(AND(D2510&lt;&gt;"dram",D2510&lt;&gt;"control"),H2510,0)</f>
        <v>0</v>
      </c>
      <c r="K2510">
        <f>IF(D2510="dram",H2510,0)</f>
        <v>108</v>
      </c>
      <c r="L2510">
        <v>512</v>
      </c>
      <c r="M2510">
        <v>0</v>
      </c>
    </row>
    <row r="2511" spans="1:13">
      <c r="A2511">
        <v>2509</v>
      </c>
      <c r="B2511" t="s">
        <v>371</v>
      </c>
      <c r="C2511" t="s">
        <v>82</v>
      </c>
      <c r="D2511" t="s">
        <v>83</v>
      </c>
      <c r="E2511" t="s">
        <v>340</v>
      </c>
      <c r="F2511">
        <v>262144</v>
      </c>
      <c r="G2511">
        <f>MAX(I2509,I2510)</f>
        <v>3390110</v>
      </c>
      <c r="H2511">
        <f>CEILING((dram_access_latency+F2511/dram_bandwidth)*frequency,1)</f>
        <v>4196</v>
      </c>
      <c r="I2511">
        <f>G2511+H2511</f>
        <v>3394306</v>
      </c>
      <c r="J2511">
        <f>IF(AND(D2511&lt;&gt;"dram",D2511&lt;&gt;"control"),H2511,0)</f>
        <v>0</v>
      </c>
      <c r="K2511">
        <f>IF(D2511="dram",H2511,0)</f>
        <v>4196</v>
      </c>
      <c r="L2511">
        <v>262144</v>
      </c>
      <c r="M2511">
        <v>0</v>
      </c>
    </row>
    <row r="2512" spans="1:13">
      <c r="A2512">
        <v>2510</v>
      </c>
      <c r="B2512" t="s">
        <v>372</v>
      </c>
      <c r="C2512" t="s">
        <v>82</v>
      </c>
      <c r="D2512" t="s">
        <v>83</v>
      </c>
      <c r="E2512" t="s">
        <v>340</v>
      </c>
      <c r="F2512">
        <v>16</v>
      </c>
      <c r="G2512">
        <f>MAX(I2509,I2511)</f>
        <v>3394306</v>
      </c>
      <c r="H2512">
        <f>CEILING((dram_access_latency+F2512/dram_bandwidth)*frequency,1)</f>
        <v>101</v>
      </c>
      <c r="I2512">
        <f>G2512+H2512</f>
        <v>3394407</v>
      </c>
      <c r="J2512">
        <f>IF(AND(D2512&lt;&gt;"dram",D2512&lt;&gt;"control"),H2512,0)</f>
        <v>0</v>
      </c>
      <c r="K2512">
        <f>IF(D2512="dram",H2512,0)</f>
        <v>101</v>
      </c>
      <c r="L2512">
        <v>16</v>
      </c>
      <c r="M2512">
        <v>0</v>
      </c>
    </row>
    <row r="2513" spans="1:13">
      <c r="A2513">
        <v>2511</v>
      </c>
      <c r="B2513" t="s">
        <v>373</v>
      </c>
      <c r="C2513" t="s">
        <v>82</v>
      </c>
      <c r="D2513" t="s">
        <v>83</v>
      </c>
      <c r="E2513" t="s">
        <v>340</v>
      </c>
      <c r="F2513">
        <v>8192</v>
      </c>
      <c r="G2513">
        <f>MAX(I2509,I2512)</f>
        <v>3394407</v>
      </c>
      <c r="H2513">
        <f>CEILING((dram_access_latency+F2513/dram_bandwidth)*frequency,1)</f>
        <v>228</v>
      </c>
      <c r="I2513">
        <f>G2513+H2513</f>
        <v>3394635</v>
      </c>
      <c r="J2513">
        <f>IF(AND(D2513&lt;&gt;"dram",D2513&lt;&gt;"control"),H2513,0)</f>
        <v>0</v>
      </c>
      <c r="K2513">
        <f>IF(D2513="dram",H2513,0)</f>
        <v>228</v>
      </c>
      <c r="L2513">
        <v>8192</v>
      </c>
      <c r="M2513">
        <v>0</v>
      </c>
    </row>
    <row r="2514" spans="1:13">
      <c r="A2514">
        <v>2512</v>
      </c>
      <c r="B2514" t="s">
        <v>62</v>
      </c>
      <c r="C2514" t="s">
        <v>90</v>
      </c>
      <c r="D2514" t="s">
        <v>108</v>
      </c>
      <c r="E2514" t="s">
        <v>340</v>
      </c>
      <c r="F2514">
        <v>0</v>
      </c>
      <c r="G2514">
        <f>MAX(I2508,I2508,I2510,I2511,I2512,I2513,I2322)</f>
        <v>3398454</v>
      </c>
      <c r="H2514">
        <f>'Operations'!I26</f>
        <v>8452</v>
      </c>
      <c r="I2514">
        <f>G2514+H2514</f>
        <v>3406906</v>
      </c>
      <c r="J2514">
        <f>IF(AND(D2514&lt;&gt;"dram",D2514&lt;&gt;"control"),H2514,0)</f>
        <v>8452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375</v>
      </c>
      <c r="C2515" t="s">
        <v>88</v>
      </c>
      <c r="D2515" t="s">
        <v>89</v>
      </c>
      <c r="E2515" t="s">
        <v>340</v>
      </c>
      <c r="F2515">
        <v>0</v>
      </c>
      <c r="G2515">
        <f>MAX(I2509,I2508)</f>
        <v>3390002</v>
      </c>
      <c r="H2515">
        <f>0</f>
        <v>8452</v>
      </c>
      <c r="I2515">
        <f>G2515+H2515</f>
        <v>3398454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370</v>
      </c>
      <c r="C2516" t="s">
        <v>82</v>
      </c>
      <c r="D2516" t="s">
        <v>83</v>
      </c>
      <c r="E2516" t="s">
        <v>341</v>
      </c>
      <c r="F2516">
        <v>512</v>
      </c>
      <c r="G2516">
        <f>MAX(I2515,I2513)</f>
        <v>3398454</v>
      </c>
      <c r="H2516">
        <f>CEILING((dram_access_latency+F2516/dram_bandwidth)*frequency,1)</f>
        <v>108</v>
      </c>
      <c r="I2516">
        <f>G2516+H2516</f>
        <v>3398562</v>
      </c>
      <c r="J2516">
        <f>IF(AND(D2516&lt;&gt;"dram",D2516&lt;&gt;"control"),H2516,0)</f>
        <v>0</v>
      </c>
      <c r="K2516">
        <f>IF(D2516="dram",H2516,0)</f>
        <v>108</v>
      </c>
      <c r="L2516">
        <v>512</v>
      </c>
      <c r="M2516">
        <v>0</v>
      </c>
    </row>
    <row r="2517" spans="1:13">
      <c r="A2517">
        <v>2515</v>
      </c>
      <c r="B2517" t="s">
        <v>371</v>
      </c>
      <c r="C2517" t="s">
        <v>82</v>
      </c>
      <c r="D2517" t="s">
        <v>83</v>
      </c>
      <c r="E2517" t="s">
        <v>341</v>
      </c>
      <c r="F2517">
        <v>262144</v>
      </c>
      <c r="G2517">
        <f>MAX(I2515,I2516)</f>
        <v>3398562</v>
      </c>
      <c r="H2517">
        <f>CEILING((dram_access_latency+F2517/dram_bandwidth)*frequency,1)</f>
        <v>4196</v>
      </c>
      <c r="I2517">
        <f>G2517+H2517</f>
        <v>3402758</v>
      </c>
      <c r="J2517">
        <f>IF(AND(D2517&lt;&gt;"dram",D2517&lt;&gt;"control"),H2517,0)</f>
        <v>0</v>
      </c>
      <c r="K2517">
        <f>IF(D2517="dram",H2517,0)</f>
        <v>4196</v>
      </c>
      <c r="L2517">
        <v>262144</v>
      </c>
      <c r="M2517">
        <v>0</v>
      </c>
    </row>
    <row r="2518" spans="1:13">
      <c r="A2518">
        <v>2516</v>
      </c>
      <c r="B2518" t="s">
        <v>372</v>
      </c>
      <c r="C2518" t="s">
        <v>82</v>
      </c>
      <c r="D2518" t="s">
        <v>83</v>
      </c>
      <c r="E2518" t="s">
        <v>341</v>
      </c>
      <c r="F2518">
        <v>16</v>
      </c>
      <c r="G2518">
        <f>MAX(I2515,I2517)</f>
        <v>3402758</v>
      </c>
      <c r="H2518">
        <f>CEILING((dram_access_latency+F2518/dram_bandwidth)*frequency,1)</f>
        <v>101</v>
      </c>
      <c r="I2518">
        <f>G2518+H2518</f>
        <v>3402859</v>
      </c>
      <c r="J2518">
        <f>IF(AND(D2518&lt;&gt;"dram",D2518&lt;&gt;"control"),H2518,0)</f>
        <v>0</v>
      </c>
      <c r="K2518">
        <f>IF(D2518="dram",H2518,0)</f>
        <v>101</v>
      </c>
      <c r="L2518">
        <v>16</v>
      </c>
      <c r="M2518">
        <v>0</v>
      </c>
    </row>
    <row r="2519" spans="1:13">
      <c r="A2519">
        <v>2517</v>
      </c>
      <c r="B2519" t="s">
        <v>373</v>
      </c>
      <c r="C2519" t="s">
        <v>82</v>
      </c>
      <c r="D2519" t="s">
        <v>83</v>
      </c>
      <c r="E2519" t="s">
        <v>341</v>
      </c>
      <c r="F2519">
        <v>8192</v>
      </c>
      <c r="G2519">
        <f>MAX(I2515,I2518)</f>
        <v>3402859</v>
      </c>
      <c r="H2519">
        <f>CEILING((dram_access_latency+F2519/dram_bandwidth)*frequency,1)</f>
        <v>228</v>
      </c>
      <c r="I2519">
        <f>G2519+H2519</f>
        <v>3403087</v>
      </c>
      <c r="J2519">
        <f>IF(AND(D2519&lt;&gt;"dram",D2519&lt;&gt;"control"),H2519,0)</f>
        <v>0</v>
      </c>
      <c r="K2519">
        <f>IF(D2519="dram",H2519,0)</f>
        <v>228</v>
      </c>
      <c r="L2519">
        <v>8192</v>
      </c>
      <c r="M2519">
        <v>0</v>
      </c>
    </row>
    <row r="2520" spans="1:13">
      <c r="A2520">
        <v>2518</v>
      </c>
      <c r="B2520" t="s">
        <v>62</v>
      </c>
      <c r="C2520" t="s">
        <v>90</v>
      </c>
      <c r="D2520" t="s">
        <v>108</v>
      </c>
      <c r="E2520" t="s">
        <v>341</v>
      </c>
      <c r="F2520">
        <v>0</v>
      </c>
      <c r="G2520">
        <f>MAX(I2514,I2514,I2516,I2517,I2518,I2519,I2322)</f>
        <v>3406906</v>
      </c>
      <c r="H2520">
        <f>'Operations'!I26</f>
        <v>8452</v>
      </c>
      <c r="I2520">
        <f>G2520+H2520</f>
        <v>3415358</v>
      </c>
      <c r="J2520">
        <f>IF(AND(D2520&lt;&gt;"dram",D2520&lt;&gt;"control"),H2520,0)</f>
        <v>8452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375</v>
      </c>
      <c r="C2521" t="s">
        <v>88</v>
      </c>
      <c r="D2521" t="s">
        <v>89</v>
      </c>
      <c r="E2521" t="s">
        <v>341</v>
      </c>
      <c r="F2521">
        <v>0</v>
      </c>
      <c r="G2521">
        <f>MAX(I2515,I2514)</f>
        <v>3398454</v>
      </c>
      <c r="H2521">
        <f>0</f>
        <v>8452</v>
      </c>
      <c r="I2521">
        <f>G2521+H2521</f>
        <v>3406906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370</v>
      </c>
      <c r="C2522" t="s">
        <v>82</v>
      </c>
      <c r="D2522" t="s">
        <v>83</v>
      </c>
      <c r="E2522" t="s">
        <v>342</v>
      </c>
      <c r="F2522">
        <v>512</v>
      </c>
      <c r="G2522">
        <f>MAX(I2521,I2519)</f>
        <v>3406906</v>
      </c>
      <c r="H2522">
        <f>CEILING((dram_access_latency+F2522/dram_bandwidth)*frequency,1)</f>
        <v>108</v>
      </c>
      <c r="I2522">
        <f>G2522+H2522</f>
        <v>3407014</v>
      </c>
      <c r="J2522">
        <f>IF(AND(D2522&lt;&gt;"dram",D2522&lt;&gt;"control"),H2522,0)</f>
        <v>0</v>
      </c>
      <c r="K2522">
        <f>IF(D2522="dram",H2522,0)</f>
        <v>108</v>
      </c>
      <c r="L2522">
        <v>512</v>
      </c>
      <c r="M2522">
        <v>0</v>
      </c>
    </row>
    <row r="2523" spans="1:13">
      <c r="A2523">
        <v>2521</v>
      </c>
      <c r="B2523" t="s">
        <v>371</v>
      </c>
      <c r="C2523" t="s">
        <v>82</v>
      </c>
      <c r="D2523" t="s">
        <v>83</v>
      </c>
      <c r="E2523" t="s">
        <v>342</v>
      </c>
      <c r="F2523">
        <v>262144</v>
      </c>
      <c r="G2523">
        <f>MAX(I2521,I2522)</f>
        <v>3407014</v>
      </c>
      <c r="H2523">
        <f>CEILING((dram_access_latency+F2523/dram_bandwidth)*frequency,1)</f>
        <v>4196</v>
      </c>
      <c r="I2523">
        <f>G2523+H2523</f>
        <v>3411210</v>
      </c>
      <c r="J2523">
        <f>IF(AND(D2523&lt;&gt;"dram",D2523&lt;&gt;"control"),H2523,0)</f>
        <v>0</v>
      </c>
      <c r="K2523">
        <f>IF(D2523="dram",H2523,0)</f>
        <v>4196</v>
      </c>
      <c r="L2523">
        <v>262144</v>
      </c>
      <c r="M2523">
        <v>0</v>
      </c>
    </row>
    <row r="2524" spans="1:13">
      <c r="A2524">
        <v>2522</v>
      </c>
      <c r="B2524" t="s">
        <v>372</v>
      </c>
      <c r="C2524" t="s">
        <v>82</v>
      </c>
      <c r="D2524" t="s">
        <v>83</v>
      </c>
      <c r="E2524" t="s">
        <v>342</v>
      </c>
      <c r="F2524">
        <v>16</v>
      </c>
      <c r="G2524">
        <f>MAX(I2521,I2523)</f>
        <v>3411210</v>
      </c>
      <c r="H2524">
        <f>CEILING((dram_access_latency+F2524/dram_bandwidth)*frequency,1)</f>
        <v>101</v>
      </c>
      <c r="I2524">
        <f>G2524+H2524</f>
        <v>3411311</v>
      </c>
      <c r="J2524">
        <f>IF(AND(D2524&lt;&gt;"dram",D2524&lt;&gt;"control"),H2524,0)</f>
        <v>0</v>
      </c>
      <c r="K2524">
        <f>IF(D2524="dram",H2524,0)</f>
        <v>101</v>
      </c>
      <c r="L2524">
        <v>16</v>
      </c>
      <c r="M2524">
        <v>0</v>
      </c>
    </row>
    <row r="2525" spans="1:13">
      <c r="A2525">
        <v>2523</v>
      </c>
      <c r="B2525" t="s">
        <v>373</v>
      </c>
      <c r="C2525" t="s">
        <v>82</v>
      </c>
      <c r="D2525" t="s">
        <v>83</v>
      </c>
      <c r="E2525" t="s">
        <v>342</v>
      </c>
      <c r="F2525">
        <v>8192</v>
      </c>
      <c r="G2525">
        <f>MAX(I2521,I2524)</f>
        <v>3411311</v>
      </c>
      <c r="H2525">
        <f>CEILING((dram_access_latency+F2525/dram_bandwidth)*frequency,1)</f>
        <v>228</v>
      </c>
      <c r="I2525">
        <f>G2525+H2525</f>
        <v>3411539</v>
      </c>
      <c r="J2525">
        <f>IF(AND(D2525&lt;&gt;"dram",D2525&lt;&gt;"control"),H2525,0)</f>
        <v>0</v>
      </c>
      <c r="K2525">
        <f>IF(D2525="dram",H2525,0)</f>
        <v>228</v>
      </c>
      <c r="L2525">
        <v>8192</v>
      </c>
      <c r="M2525">
        <v>0</v>
      </c>
    </row>
    <row r="2526" spans="1:13">
      <c r="A2526">
        <v>2524</v>
      </c>
      <c r="B2526" t="s">
        <v>62</v>
      </c>
      <c r="C2526" t="s">
        <v>90</v>
      </c>
      <c r="D2526" t="s">
        <v>108</v>
      </c>
      <c r="E2526" t="s">
        <v>342</v>
      </c>
      <c r="F2526">
        <v>0</v>
      </c>
      <c r="G2526">
        <f>MAX(I2520,I2520,I2522,I2523,I2524,I2525,I2322)</f>
        <v>3415358</v>
      </c>
      <c r="H2526">
        <f>'Operations'!I26</f>
        <v>8452</v>
      </c>
      <c r="I2526">
        <f>G2526+H2526</f>
        <v>3423810</v>
      </c>
      <c r="J2526">
        <f>IF(AND(D2526&lt;&gt;"dram",D2526&lt;&gt;"control"),H2526,0)</f>
        <v>8452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375</v>
      </c>
      <c r="C2527" t="s">
        <v>88</v>
      </c>
      <c r="D2527" t="s">
        <v>89</v>
      </c>
      <c r="E2527" t="s">
        <v>342</v>
      </c>
      <c r="F2527">
        <v>0</v>
      </c>
      <c r="G2527">
        <f>MAX(I2521,I2520)</f>
        <v>3406906</v>
      </c>
      <c r="H2527">
        <f>0</f>
        <v>8452</v>
      </c>
      <c r="I2527">
        <f>G2527+H2527</f>
        <v>3415358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370</v>
      </c>
      <c r="C2528" t="s">
        <v>82</v>
      </c>
      <c r="D2528" t="s">
        <v>83</v>
      </c>
      <c r="E2528" t="s">
        <v>343</v>
      </c>
      <c r="F2528">
        <v>512</v>
      </c>
      <c r="G2528">
        <f>MAX(I2527,I2525)</f>
        <v>3415358</v>
      </c>
      <c r="H2528">
        <f>CEILING((dram_access_latency+F2528/dram_bandwidth)*frequency,1)</f>
        <v>108</v>
      </c>
      <c r="I2528">
        <f>G2528+H2528</f>
        <v>3415466</v>
      </c>
      <c r="J2528">
        <f>IF(AND(D2528&lt;&gt;"dram",D2528&lt;&gt;"control"),H2528,0)</f>
        <v>0</v>
      </c>
      <c r="K2528">
        <f>IF(D2528="dram",H2528,0)</f>
        <v>108</v>
      </c>
      <c r="L2528">
        <v>512</v>
      </c>
      <c r="M2528">
        <v>0</v>
      </c>
    </row>
    <row r="2529" spans="1:13">
      <c r="A2529">
        <v>2527</v>
      </c>
      <c r="B2529" t="s">
        <v>371</v>
      </c>
      <c r="C2529" t="s">
        <v>82</v>
      </c>
      <c r="D2529" t="s">
        <v>83</v>
      </c>
      <c r="E2529" t="s">
        <v>343</v>
      </c>
      <c r="F2529">
        <v>262144</v>
      </c>
      <c r="G2529">
        <f>MAX(I2527,I2528)</f>
        <v>3415466</v>
      </c>
      <c r="H2529">
        <f>CEILING((dram_access_latency+F2529/dram_bandwidth)*frequency,1)</f>
        <v>4196</v>
      </c>
      <c r="I2529">
        <f>G2529+H2529</f>
        <v>3419662</v>
      </c>
      <c r="J2529">
        <f>IF(AND(D2529&lt;&gt;"dram",D2529&lt;&gt;"control"),H2529,0)</f>
        <v>0</v>
      </c>
      <c r="K2529">
        <f>IF(D2529="dram",H2529,0)</f>
        <v>4196</v>
      </c>
      <c r="L2529">
        <v>262144</v>
      </c>
      <c r="M2529">
        <v>0</v>
      </c>
    </row>
    <row r="2530" spans="1:13">
      <c r="A2530">
        <v>2528</v>
      </c>
      <c r="B2530" t="s">
        <v>372</v>
      </c>
      <c r="C2530" t="s">
        <v>82</v>
      </c>
      <c r="D2530" t="s">
        <v>83</v>
      </c>
      <c r="E2530" t="s">
        <v>343</v>
      </c>
      <c r="F2530">
        <v>16</v>
      </c>
      <c r="G2530">
        <f>MAX(I2527,I2529)</f>
        <v>3419662</v>
      </c>
      <c r="H2530">
        <f>CEILING((dram_access_latency+F2530/dram_bandwidth)*frequency,1)</f>
        <v>101</v>
      </c>
      <c r="I2530">
        <f>G2530+H2530</f>
        <v>3419763</v>
      </c>
      <c r="J2530">
        <f>IF(AND(D2530&lt;&gt;"dram",D2530&lt;&gt;"control"),H2530,0)</f>
        <v>0</v>
      </c>
      <c r="K2530">
        <f>IF(D2530="dram",H2530,0)</f>
        <v>101</v>
      </c>
      <c r="L2530">
        <v>16</v>
      </c>
      <c r="M2530">
        <v>0</v>
      </c>
    </row>
    <row r="2531" spans="1:13">
      <c r="A2531">
        <v>2529</v>
      </c>
      <c r="B2531" t="s">
        <v>373</v>
      </c>
      <c r="C2531" t="s">
        <v>82</v>
      </c>
      <c r="D2531" t="s">
        <v>83</v>
      </c>
      <c r="E2531" t="s">
        <v>343</v>
      </c>
      <c r="F2531">
        <v>8192</v>
      </c>
      <c r="G2531">
        <f>MAX(I2527,I2530)</f>
        <v>3419763</v>
      </c>
      <c r="H2531">
        <f>CEILING((dram_access_latency+F2531/dram_bandwidth)*frequency,1)</f>
        <v>228</v>
      </c>
      <c r="I2531">
        <f>G2531+H2531</f>
        <v>3419991</v>
      </c>
      <c r="J2531">
        <f>IF(AND(D2531&lt;&gt;"dram",D2531&lt;&gt;"control"),H2531,0)</f>
        <v>0</v>
      </c>
      <c r="K2531">
        <f>IF(D2531="dram",H2531,0)</f>
        <v>228</v>
      </c>
      <c r="L2531">
        <v>8192</v>
      </c>
      <c r="M2531">
        <v>0</v>
      </c>
    </row>
    <row r="2532" spans="1:13">
      <c r="A2532">
        <v>2530</v>
      </c>
      <c r="B2532" t="s">
        <v>62</v>
      </c>
      <c r="C2532" t="s">
        <v>90</v>
      </c>
      <c r="D2532" t="s">
        <v>108</v>
      </c>
      <c r="E2532" t="s">
        <v>343</v>
      </c>
      <c r="F2532">
        <v>0</v>
      </c>
      <c r="G2532">
        <f>MAX(I2526,I2526,I2528,I2529,I2530,I2531,I2322)</f>
        <v>3423810</v>
      </c>
      <c r="H2532">
        <f>'Operations'!I26</f>
        <v>8452</v>
      </c>
      <c r="I2532">
        <f>G2532+H2532</f>
        <v>3432262</v>
      </c>
      <c r="J2532">
        <f>IF(AND(D2532&lt;&gt;"dram",D2532&lt;&gt;"control"),H2532,0)</f>
        <v>8452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375</v>
      </c>
      <c r="C2533" t="s">
        <v>88</v>
      </c>
      <c r="D2533" t="s">
        <v>89</v>
      </c>
      <c r="E2533" t="s">
        <v>343</v>
      </c>
      <c r="F2533">
        <v>0</v>
      </c>
      <c r="G2533">
        <f>MAX(I2527,I2526)</f>
        <v>3415358</v>
      </c>
      <c r="H2533">
        <f>0</f>
        <v>8452</v>
      </c>
      <c r="I2533">
        <f>G2533+H2533</f>
        <v>3423810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370</v>
      </c>
      <c r="C2534" t="s">
        <v>82</v>
      </c>
      <c r="D2534" t="s">
        <v>83</v>
      </c>
      <c r="E2534" t="s">
        <v>344</v>
      </c>
      <c r="F2534">
        <v>512</v>
      </c>
      <c r="G2534">
        <f>MAX(I2533,I2531)</f>
        <v>3423810</v>
      </c>
      <c r="H2534">
        <f>CEILING((dram_access_latency+F2534/dram_bandwidth)*frequency,1)</f>
        <v>108</v>
      </c>
      <c r="I2534">
        <f>G2534+H2534</f>
        <v>3423918</v>
      </c>
      <c r="J2534">
        <f>IF(AND(D2534&lt;&gt;"dram",D2534&lt;&gt;"control"),H2534,0)</f>
        <v>0</v>
      </c>
      <c r="K2534">
        <f>IF(D2534="dram",H2534,0)</f>
        <v>108</v>
      </c>
      <c r="L2534">
        <v>512</v>
      </c>
      <c r="M2534">
        <v>0</v>
      </c>
    </row>
    <row r="2535" spans="1:13">
      <c r="A2535">
        <v>2533</v>
      </c>
      <c r="B2535" t="s">
        <v>371</v>
      </c>
      <c r="C2535" t="s">
        <v>82</v>
      </c>
      <c r="D2535" t="s">
        <v>83</v>
      </c>
      <c r="E2535" t="s">
        <v>344</v>
      </c>
      <c r="F2535">
        <v>262144</v>
      </c>
      <c r="G2535">
        <f>MAX(I2533,I2534)</f>
        <v>3423918</v>
      </c>
      <c r="H2535">
        <f>CEILING((dram_access_latency+F2535/dram_bandwidth)*frequency,1)</f>
        <v>4196</v>
      </c>
      <c r="I2535">
        <f>G2535+H2535</f>
        <v>3428114</v>
      </c>
      <c r="J2535">
        <f>IF(AND(D2535&lt;&gt;"dram",D2535&lt;&gt;"control"),H2535,0)</f>
        <v>0</v>
      </c>
      <c r="K2535">
        <f>IF(D2535="dram",H2535,0)</f>
        <v>4196</v>
      </c>
      <c r="L2535">
        <v>262144</v>
      </c>
      <c r="M2535">
        <v>0</v>
      </c>
    </row>
    <row r="2536" spans="1:13">
      <c r="A2536">
        <v>2534</v>
      </c>
      <c r="B2536" t="s">
        <v>372</v>
      </c>
      <c r="C2536" t="s">
        <v>82</v>
      </c>
      <c r="D2536" t="s">
        <v>83</v>
      </c>
      <c r="E2536" t="s">
        <v>344</v>
      </c>
      <c r="F2536">
        <v>16</v>
      </c>
      <c r="G2536">
        <f>MAX(I2533,I2535)</f>
        <v>3428114</v>
      </c>
      <c r="H2536">
        <f>CEILING((dram_access_latency+F2536/dram_bandwidth)*frequency,1)</f>
        <v>101</v>
      </c>
      <c r="I2536">
        <f>G2536+H2536</f>
        <v>3428215</v>
      </c>
      <c r="J2536">
        <f>IF(AND(D2536&lt;&gt;"dram",D2536&lt;&gt;"control"),H2536,0)</f>
        <v>0</v>
      </c>
      <c r="K2536">
        <f>IF(D2536="dram",H2536,0)</f>
        <v>101</v>
      </c>
      <c r="L2536">
        <v>16</v>
      </c>
      <c r="M2536">
        <v>0</v>
      </c>
    </row>
    <row r="2537" spans="1:13">
      <c r="A2537">
        <v>2535</v>
      </c>
      <c r="B2537" t="s">
        <v>373</v>
      </c>
      <c r="C2537" t="s">
        <v>82</v>
      </c>
      <c r="D2537" t="s">
        <v>83</v>
      </c>
      <c r="E2537" t="s">
        <v>344</v>
      </c>
      <c r="F2537">
        <v>8192</v>
      </c>
      <c r="G2537">
        <f>MAX(I2533,I2536)</f>
        <v>3428215</v>
      </c>
      <c r="H2537">
        <f>CEILING((dram_access_latency+F2537/dram_bandwidth)*frequency,1)</f>
        <v>228</v>
      </c>
      <c r="I2537">
        <f>G2537+H2537</f>
        <v>3428443</v>
      </c>
      <c r="J2537">
        <f>IF(AND(D2537&lt;&gt;"dram",D2537&lt;&gt;"control"),H2537,0)</f>
        <v>0</v>
      </c>
      <c r="K2537">
        <f>IF(D2537="dram",H2537,0)</f>
        <v>228</v>
      </c>
      <c r="L2537">
        <v>8192</v>
      </c>
      <c r="M2537">
        <v>0</v>
      </c>
    </row>
    <row r="2538" spans="1:13">
      <c r="A2538">
        <v>2536</v>
      </c>
      <c r="B2538" t="s">
        <v>62</v>
      </c>
      <c r="C2538" t="s">
        <v>90</v>
      </c>
      <c r="D2538" t="s">
        <v>108</v>
      </c>
      <c r="E2538" t="s">
        <v>344</v>
      </c>
      <c r="F2538">
        <v>0</v>
      </c>
      <c r="G2538">
        <f>MAX(I2532,I2532,I2534,I2535,I2536,I2537,I2322)</f>
        <v>3432262</v>
      </c>
      <c r="H2538">
        <f>'Operations'!I26</f>
        <v>8452</v>
      </c>
      <c r="I2538">
        <f>G2538+H2538</f>
        <v>3440714</v>
      </c>
      <c r="J2538">
        <f>IF(AND(D2538&lt;&gt;"dram",D2538&lt;&gt;"control"),H2538,0)</f>
        <v>8452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375</v>
      </c>
      <c r="C2539" t="s">
        <v>88</v>
      </c>
      <c r="D2539" t="s">
        <v>89</v>
      </c>
      <c r="E2539" t="s">
        <v>344</v>
      </c>
      <c r="F2539">
        <v>0</v>
      </c>
      <c r="G2539">
        <f>MAX(I2533,I2532)</f>
        <v>3423810</v>
      </c>
      <c r="H2539">
        <f>0</f>
        <v>8452</v>
      </c>
      <c r="I2539">
        <f>G2539+H2539</f>
        <v>3432262</v>
      </c>
      <c r="J2539">
        <f>IF(AND(D2539&lt;&gt;"dram",D2539&lt;&gt;"control"),H2539,0)</f>
        <v>0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370</v>
      </c>
      <c r="C2540" t="s">
        <v>82</v>
      </c>
      <c r="D2540" t="s">
        <v>83</v>
      </c>
      <c r="E2540" t="s">
        <v>345</v>
      </c>
      <c r="F2540">
        <v>512</v>
      </c>
      <c r="G2540">
        <f>MAX(I2539,I2537)</f>
        <v>3432262</v>
      </c>
      <c r="H2540">
        <f>CEILING((dram_access_latency+F2540/dram_bandwidth)*frequency,1)</f>
        <v>108</v>
      </c>
      <c r="I2540">
        <f>G2540+H2540</f>
        <v>3432370</v>
      </c>
      <c r="J2540">
        <f>IF(AND(D2540&lt;&gt;"dram",D2540&lt;&gt;"control"),H2540,0)</f>
        <v>0</v>
      </c>
      <c r="K2540">
        <f>IF(D2540="dram",H2540,0)</f>
        <v>108</v>
      </c>
      <c r="L2540">
        <v>512</v>
      </c>
      <c r="M2540">
        <v>0</v>
      </c>
    </row>
    <row r="2541" spans="1:13">
      <c r="A2541">
        <v>2539</v>
      </c>
      <c r="B2541" t="s">
        <v>371</v>
      </c>
      <c r="C2541" t="s">
        <v>82</v>
      </c>
      <c r="D2541" t="s">
        <v>83</v>
      </c>
      <c r="E2541" t="s">
        <v>345</v>
      </c>
      <c r="F2541">
        <v>262144</v>
      </c>
      <c r="G2541">
        <f>MAX(I2539,I2540)</f>
        <v>3432370</v>
      </c>
      <c r="H2541">
        <f>CEILING((dram_access_latency+F2541/dram_bandwidth)*frequency,1)</f>
        <v>4196</v>
      </c>
      <c r="I2541">
        <f>G2541+H2541</f>
        <v>3436566</v>
      </c>
      <c r="J2541">
        <f>IF(AND(D2541&lt;&gt;"dram",D2541&lt;&gt;"control"),H2541,0)</f>
        <v>0</v>
      </c>
      <c r="K2541">
        <f>IF(D2541="dram",H2541,0)</f>
        <v>4196</v>
      </c>
      <c r="L2541">
        <v>262144</v>
      </c>
      <c r="M2541">
        <v>0</v>
      </c>
    </row>
    <row r="2542" spans="1:13">
      <c r="A2542">
        <v>2540</v>
      </c>
      <c r="B2542" t="s">
        <v>372</v>
      </c>
      <c r="C2542" t="s">
        <v>82</v>
      </c>
      <c r="D2542" t="s">
        <v>83</v>
      </c>
      <c r="E2542" t="s">
        <v>345</v>
      </c>
      <c r="F2542">
        <v>16</v>
      </c>
      <c r="G2542">
        <f>MAX(I2539,I2541)</f>
        <v>3436566</v>
      </c>
      <c r="H2542">
        <f>CEILING((dram_access_latency+F2542/dram_bandwidth)*frequency,1)</f>
        <v>101</v>
      </c>
      <c r="I2542">
        <f>G2542+H2542</f>
        <v>3436667</v>
      </c>
      <c r="J2542">
        <f>IF(AND(D2542&lt;&gt;"dram",D2542&lt;&gt;"control"),H2542,0)</f>
        <v>0</v>
      </c>
      <c r="K2542">
        <f>IF(D2542="dram",H2542,0)</f>
        <v>101</v>
      </c>
      <c r="L2542">
        <v>16</v>
      </c>
      <c r="M2542">
        <v>0</v>
      </c>
    </row>
    <row r="2543" spans="1:13">
      <c r="A2543">
        <v>2541</v>
      </c>
      <c r="B2543" t="s">
        <v>373</v>
      </c>
      <c r="C2543" t="s">
        <v>82</v>
      </c>
      <c r="D2543" t="s">
        <v>83</v>
      </c>
      <c r="E2543" t="s">
        <v>345</v>
      </c>
      <c r="F2543">
        <v>8192</v>
      </c>
      <c r="G2543">
        <f>MAX(I2539,I2542)</f>
        <v>3436667</v>
      </c>
      <c r="H2543">
        <f>CEILING((dram_access_latency+F2543/dram_bandwidth)*frequency,1)</f>
        <v>228</v>
      </c>
      <c r="I2543">
        <f>G2543+H2543</f>
        <v>3436895</v>
      </c>
      <c r="J2543">
        <f>IF(AND(D2543&lt;&gt;"dram",D2543&lt;&gt;"control"),H2543,0)</f>
        <v>0</v>
      </c>
      <c r="K2543">
        <f>IF(D2543="dram",H2543,0)</f>
        <v>228</v>
      </c>
      <c r="L2543">
        <v>8192</v>
      </c>
      <c r="M2543">
        <v>0</v>
      </c>
    </row>
    <row r="2544" spans="1:13">
      <c r="A2544">
        <v>2542</v>
      </c>
      <c r="B2544" t="s">
        <v>62</v>
      </c>
      <c r="C2544" t="s">
        <v>90</v>
      </c>
      <c r="D2544" t="s">
        <v>108</v>
      </c>
      <c r="E2544" t="s">
        <v>345</v>
      </c>
      <c r="F2544">
        <v>0</v>
      </c>
      <c r="G2544">
        <f>MAX(I2538,I2538,I2540,I2541,I2542,I2543,I2322)</f>
        <v>3440714</v>
      </c>
      <c r="H2544">
        <f>'Operations'!I26</f>
        <v>8452</v>
      </c>
      <c r="I2544">
        <f>G2544+H2544</f>
        <v>3449166</v>
      </c>
      <c r="J2544">
        <f>IF(AND(D2544&lt;&gt;"dram",D2544&lt;&gt;"control"),H2544,0)</f>
        <v>8452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375</v>
      </c>
      <c r="C2545" t="s">
        <v>88</v>
      </c>
      <c r="D2545" t="s">
        <v>89</v>
      </c>
      <c r="E2545" t="s">
        <v>345</v>
      </c>
      <c r="F2545">
        <v>0</v>
      </c>
      <c r="G2545">
        <f>MAX(I2539,I2538)</f>
        <v>3432262</v>
      </c>
      <c r="H2545">
        <f>0</f>
        <v>8452</v>
      </c>
      <c r="I2545">
        <f>G2545+H2545</f>
        <v>3440714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370</v>
      </c>
      <c r="C2546" t="s">
        <v>82</v>
      </c>
      <c r="D2546" t="s">
        <v>83</v>
      </c>
      <c r="E2546" t="s">
        <v>346</v>
      </c>
      <c r="F2546">
        <v>512</v>
      </c>
      <c r="G2546">
        <f>MAX(I2545,I2543)</f>
        <v>3440714</v>
      </c>
      <c r="H2546">
        <f>CEILING((dram_access_latency+F2546/dram_bandwidth)*frequency,1)</f>
        <v>108</v>
      </c>
      <c r="I2546">
        <f>G2546+H2546</f>
        <v>3440822</v>
      </c>
      <c r="J2546">
        <f>IF(AND(D2546&lt;&gt;"dram",D2546&lt;&gt;"control"),H2546,0)</f>
        <v>0</v>
      </c>
      <c r="K2546">
        <f>IF(D2546="dram",H2546,0)</f>
        <v>108</v>
      </c>
      <c r="L2546">
        <v>512</v>
      </c>
      <c r="M2546">
        <v>0</v>
      </c>
    </row>
    <row r="2547" spans="1:13">
      <c r="A2547">
        <v>2545</v>
      </c>
      <c r="B2547" t="s">
        <v>371</v>
      </c>
      <c r="C2547" t="s">
        <v>82</v>
      </c>
      <c r="D2547" t="s">
        <v>83</v>
      </c>
      <c r="E2547" t="s">
        <v>346</v>
      </c>
      <c r="F2547">
        <v>262144</v>
      </c>
      <c r="G2547">
        <f>MAX(I2545,I2546)</f>
        <v>3440822</v>
      </c>
      <c r="H2547">
        <f>CEILING((dram_access_latency+F2547/dram_bandwidth)*frequency,1)</f>
        <v>4196</v>
      </c>
      <c r="I2547">
        <f>G2547+H2547</f>
        <v>3445018</v>
      </c>
      <c r="J2547">
        <f>IF(AND(D2547&lt;&gt;"dram",D2547&lt;&gt;"control"),H2547,0)</f>
        <v>0</v>
      </c>
      <c r="K2547">
        <f>IF(D2547="dram",H2547,0)</f>
        <v>4196</v>
      </c>
      <c r="L2547">
        <v>262144</v>
      </c>
      <c r="M2547">
        <v>0</v>
      </c>
    </row>
    <row r="2548" spans="1:13">
      <c r="A2548">
        <v>2546</v>
      </c>
      <c r="B2548" t="s">
        <v>372</v>
      </c>
      <c r="C2548" t="s">
        <v>82</v>
      </c>
      <c r="D2548" t="s">
        <v>83</v>
      </c>
      <c r="E2548" t="s">
        <v>346</v>
      </c>
      <c r="F2548">
        <v>16</v>
      </c>
      <c r="G2548">
        <f>MAX(I2545,I2547)</f>
        <v>3445018</v>
      </c>
      <c r="H2548">
        <f>CEILING((dram_access_latency+F2548/dram_bandwidth)*frequency,1)</f>
        <v>101</v>
      </c>
      <c r="I2548">
        <f>G2548+H2548</f>
        <v>3445119</v>
      </c>
      <c r="J2548">
        <f>IF(AND(D2548&lt;&gt;"dram",D2548&lt;&gt;"control"),H2548,0)</f>
        <v>0</v>
      </c>
      <c r="K2548">
        <f>IF(D2548="dram",H2548,0)</f>
        <v>101</v>
      </c>
      <c r="L2548">
        <v>16</v>
      </c>
      <c r="M2548">
        <v>0</v>
      </c>
    </row>
    <row r="2549" spans="1:13">
      <c r="A2549">
        <v>2547</v>
      </c>
      <c r="B2549" t="s">
        <v>373</v>
      </c>
      <c r="C2549" t="s">
        <v>82</v>
      </c>
      <c r="D2549" t="s">
        <v>83</v>
      </c>
      <c r="E2549" t="s">
        <v>346</v>
      </c>
      <c r="F2549">
        <v>8192</v>
      </c>
      <c r="G2549">
        <f>MAX(I2545,I2548)</f>
        <v>3445119</v>
      </c>
      <c r="H2549">
        <f>CEILING((dram_access_latency+F2549/dram_bandwidth)*frequency,1)</f>
        <v>228</v>
      </c>
      <c r="I2549">
        <f>G2549+H2549</f>
        <v>3445347</v>
      </c>
      <c r="J2549">
        <f>IF(AND(D2549&lt;&gt;"dram",D2549&lt;&gt;"control"),H2549,0)</f>
        <v>0</v>
      </c>
      <c r="K2549">
        <f>IF(D2549="dram",H2549,0)</f>
        <v>228</v>
      </c>
      <c r="L2549">
        <v>8192</v>
      </c>
      <c r="M2549">
        <v>0</v>
      </c>
    </row>
    <row r="2550" spans="1:13">
      <c r="A2550">
        <v>2548</v>
      </c>
      <c r="B2550" t="s">
        <v>62</v>
      </c>
      <c r="C2550" t="s">
        <v>90</v>
      </c>
      <c r="D2550" t="s">
        <v>108</v>
      </c>
      <c r="E2550" t="s">
        <v>346</v>
      </c>
      <c r="F2550">
        <v>0</v>
      </c>
      <c r="G2550">
        <f>MAX(I2544,I2544,I2546,I2547,I2548,I2549,I2322)</f>
        <v>3449166</v>
      </c>
      <c r="H2550">
        <f>'Operations'!I26</f>
        <v>8452</v>
      </c>
      <c r="I2550">
        <f>G2550+H2550</f>
        <v>3457618</v>
      </c>
      <c r="J2550">
        <f>IF(AND(D2550&lt;&gt;"dram",D2550&lt;&gt;"control"),H2550,0)</f>
        <v>8452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375</v>
      </c>
      <c r="C2551" t="s">
        <v>88</v>
      </c>
      <c r="D2551" t="s">
        <v>89</v>
      </c>
      <c r="E2551" t="s">
        <v>346</v>
      </c>
      <c r="F2551">
        <v>0</v>
      </c>
      <c r="G2551">
        <f>MAX(I2545,I2544)</f>
        <v>3440714</v>
      </c>
      <c r="H2551">
        <f>0</f>
        <v>8452</v>
      </c>
      <c r="I2551">
        <f>G2551+H2551</f>
        <v>3449166</v>
      </c>
      <c r="J2551">
        <f>IF(AND(D2551&lt;&gt;"dram",D2551&lt;&gt;"control"),H2551,0)</f>
        <v>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370</v>
      </c>
      <c r="C2552" t="s">
        <v>82</v>
      </c>
      <c r="D2552" t="s">
        <v>83</v>
      </c>
      <c r="E2552" t="s">
        <v>347</v>
      </c>
      <c r="F2552">
        <v>512</v>
      </c>
      <c r="G2552">
        <f>MAX(I2551,I2549)</f>
        <v>3449166</v>
      </c>
      <c r="H2552">
        <f>CEILING((dram_access_latency+F2552/dram_bandwidth)*frequency,1)</f>
        <v>108</v>
      </c>
      <c r="I2552">
        <f>G2552+H2552</f>
        <v>3449274</v>
      </c>
      <c r="J2552">
        <f>IF(AND(D2552&lt;&gt;"dram",D2552&lt;&gt;"control"),H2552,0)</f>
        <v>0</v>
      </c>
      <c r="K2552">
        <f>IF(D2552="dram",H2552,0)</f>
        <v>108</v>
      </c>
      <c r="L2552">
        <v>512</v>
      </c>
      <c r="M2552">
        <v>0</v>
      </c>
    </row>
    <row r="2553" spans="1:13">
      <c r="A2553">
        <v>2551</v>
      </c>
      <c r="B2553" t="s">
        <v>371</v>
      </c>
      <c r="C2553" t="s">
        <v>82</v>
      </c>
      <c r="D2553" t="s">
        <v>83</v>
      </c>
      <c r="E2553" t="s">
        <v>347</v>
      </c>
      <c r="F2553">
        <v>262144</v>
      </c>
      <c r="G2553">
        <f>MAX(I2551,I2552)</f>
        <v>3449274</v>
      </c>
      <c r="H2553">
        <f>CEILING((dram_access_latency+F2553/dram_bandwidth)*frequency,1)</f>
        <v>4196</v>
      </c>
      <c r="I2553">
        <f>G2553+H2553</f>
        <v>3453470</v>
      </c>
      <c r="J2553">
        <f>IF(AND(D2553&lt;&gt;"dram",D2553&lt;&gt;"control"),H2553,0)</f>
        <v>0</v>
      </c>
      <c r="K2553">
        <f>IF(D2553="dram",H2553,0)</f>
        <v>4196</v>
      </c>
      <c r="L2553">
        <v>262144</v>
      </c>
      <c r="M2553">
        <v>0</v>
      </c>
    </row>
    <row r="2554" spans="1:13">
      <c r="A2554">
        <v>2552</v>
      </c>
      <c r="B2554" t="s">
        <v>372</v>
      </c>
      <c r="C2554" t="s">
        <v>82</v>
      </c>
      <c r="D2554" t="s">
        <v>83</v>
      </c>
      <c r="E2554" t="s">
        <v>347</v>
      </c>
      <c r="F2554">
        <v>16</v>
      </c>
      <c r="G2554">
        <f>MAX(I2551,I2553)</f>
        <v>3453470</v>
      </c>
      <c r="H2554">
        <f>CEILING((dram_access_latency+F2554/dram_bandwidth)*frequency,1)</f>
        <v>101</v>
      </c>
      <c r="I2554">
        <f>G2554+H2554</f>
        <v>3453571</v>
      </c>
      <c r="J2554">
        <f>IF(AND(D2554&lt;&gt;"dram",D2554&lt;&gt;"control"),H2554,0)</f>
        <v>0</v>
      </c>
      <c r="K2554">
        <f>IF(D2554="dram",H2554,0)</f>
        <v>101</v>
      </c>
      <c r="L2554">
        <v>16</v>
      </c>
      <c r="M2554">
        <v>0</v>
      </c>
    </row>
    <row r="2555" spans="1:13">
      <c r="A2555">
        <v>2553</v>
      </c>
      <c r="B2555" t="s">
        <v>373</v>
      </c>
      <c r="C2555" t="s">
        <v>82</v>
      </c>
      <c r="D2555" t="s">
        <v>83</v>
      </c>
      <c r="E2555" t="s">
        <v>347</v>
      </c>
      <c r="F2555">
        <v>8192</v>
      </c>
      <c r="G2555">
        <f>MAX(I2551,I2554)</f>
        <v>3453571</v>
      </c>
      <c r="H2555">
        <f>CEILING((dram_access_latency+F2555/dram_bandwidth)*frequency,1)</f>
        <v>228</v>
      </c>
      <c r="I2555">
        <f>G2555+H2555</f>
        <v>3453799</v>
      </c>
      <c r="J2555">
        <f>IF(AND(D2555&lt;&gt;"dram",D2555&lt;&gt;"control"),H2555,0)</f>
        <v>0</v>
      </c>
      <c r="K2555">
        <f>IF(D2555="dram",H2555,0)</f>
        <v>228</v>
      </c>
      <c r="L2555">
        <v>8192</v>
      </c>
      <c r="M2555">
        <v>0</v>
      </c>
    </row>
    <row r="2556" spans="1:13">
      <c r="A2556">
        <v>2554</v>
      </c>
      <c r="B2556" t="s">
        <v>62</v>
      </c>
      <c r="C2556" t="s">
        <v>90</v>
      </c>
      <c r="D2556" t="s">
        <v>108</v>
      </c>
      <c r="E2556" t="s">
        <v>347</v>
      </c>
      <c r="F2556">
        <v>0</v>
      </c>
      <c r="G2556">
        <f>MAX(I2550,I2550,I2552,I2553,I2554,I2555,I2322)</f>
        <v>3457618</v>
      </c>
      <c r="H2556">
        <f>'Operations'!I26</f>
        <v>8452</v>
      </c>
      <c r="I2556">
        <f>G2556+H2556</f>
        <v>3466070</v>
      </c>
      <c r="J2556">
        <f>IF(AND(D2556&lt;&gt;"dram",D2556&lt;&gt;"control"),H2556,0)</f>
        <v>8452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375</v>
      </c>
      <c r="C2557" t="s">
        <v>88</v>
      </c>
      <c r="D2557" t="s">
        <v>89</v>
      </c>
      <c r="E2557" t="s">
        <v>347</v>
      </c>
      <c r="F2557">
        <v>0</v>
      </c>
      <c r="G2557">
        <f>MAX(I2551,I2550)</f>
        <v>3449166</v>
      </c>
      <c r="H2557">
        <f>0</f>
        <v>8452</v>
      </c>
      <c r="I2557">
        <f>G2557+H2557</f>
        <v>3457618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370</v>
      </c>
      <c r="C2558" t="s">
        <v>82</v>
      </c>
      <c r="D2558" t="s">
        <v>83</v>
      </c>
      <c r="E2558" t="s">
        <v>348</v>
      </c>
      <c r="F2558">
        <v>512</v>
      </c>
      <c r="G2558">
        <f>MAX(I2557,I2555)</f>
        <v>3457618</v>
      </c>
      <c r="H2558">
        <f>CEILING((dram_access_latency+F2558/dram_bandwidth)*frequency,1)</f>
        <v>108</v>
      </c>
      <c r="I2558">
        <f>G2558+H2558</f>
        <v>3457726</v>
      </c>
      <c r="J2558">
        <f>IF(AND(D2558&lt;&gt;"dram",D2558&lt;&gt;"control"),H2558,0)</f>
        <v>0</v>
      </c>
      <c r="K2558">
        <f>IF(D2558="dram",H2558,0)</f>
        <v>108</v>
      </c>
      <c r="L2558">
        <v>512</v>
      </c>
      <c r="M2558">
        <v>0</v>
      </c>
    </row>
    <row r="2559" spans="1:13">
      <c r="A2559">
        <v>2557</v>
      </c>
      <c r="B2559" t="s">
        <v>371</v>
      </c>
      <c r="C2559" t="s">
        <v>82</v>
      </c>
      <c r="D2559" t="s">
        <v>83</v>
      </c>
      <c r="E2559" t="s">
        <v>348</v>
      </c>
      <c r="F2559">
        <v>262144</v>
      </c>
      <c r="G2559">
        <f>MAX(I2557,I2558)</f>
        <v>3457726</v>
      </c>
      <c r="H2559">
        <f>CEILING((dram_access_latency+F2559/dram_bandwidth)*frequency,1)</f>
        <v>4196</v>
      </c>
      <c r="I2559">
        <f>G2559+H2559</f>
        <v>3461922</v>
      </c>
      <c r="J2559">
        <f>IF(AND(D2559&lt;&gt;"dram",D2559&lt;&gt;"control"),H2559,0)</f>
        <v>0</v>
      </c>
      <c r="K2559">
        <f>IF(D2559="dram",H2559,0)</f>
        <v>4196</v>
      </c>
      <c r="L2559">
        <v>262144</v>
      </c>
      <c r="M2559">
        <v>0</v>
      </c>
    </row>
    <row r="2560" spans="1:13">
      <c r="A2560">
        <v>2558</v>
      </c>
      <c r="B2560" t="s">
        <v>372</v>
      </c>
      <c r="C2560" t="s">
        <v>82</v>
      </c>
      <c r="D2560" t="s">
        <v>83</v>
      </c>
      <c r="E2560" t="s">
        <v>348</v>
      </c>
      <c r="F2560">
        <v>16</v>
      </c>
      <c r="G2560">
        <f>MAX(I2557,I2559)</f>
        <v>3461922</v>
      </c>
      <c r="H2560">
        <f>CEILING((dram_access_latency+F2560/dram_bandwidth)*frequency,1)</f>
        <v>101</v>
      </c>
      <c r="I2560">
        <f>G2560+H2560</f>
        <v>3462023</v>
      </c>
      <c r="J2560">
        <f>IF(AND(D2560&lt;&gt;"dram",D2560&lt;&gt;"control"),H2560,0)</f>
        <v>0</v>
      </c>
      <c r="K2560">
        <f>IF(D2560="dram",H2560,0)</f>
        <v>101</v>
      </c>
      <c r="L2560">
        <v>16</v>
      </c>
      <c r="M2560">
        <v>0</v>
      </c>
    </row>
    <row r="2561" spans="1:13">
      <c r="A2561">
        <v>2559</v>
      </c>
      <c r="B2561" t="s">
        <v>373</v>
      </c>
      <c r="C2561" t="s">
        <v>82</v>
      </c>
      <c r="D2561" t="s">
        <v>83</v>
      </c>
      <c r="E2561" t="s">
        <v>348</v>
      </c>
      <c r="F2561">
        <v>8192</v>
      </c>
      <c r="G2561">
        <f>MAX(I2557,I2560)</f>
        <v>3462023</v>
      </c>
      <c r="H2561">
        <f>CEILING((dram_access_latency+F2561/dram_bandwidth)*frequency,1)</f>
        <v>228</v>
      </c>
      <c r="I2561">
        <f>G2561+H2561</f>
        <v>3462251</v>
      </c>
      <c r="J2561">
        <f>IF(AND(D2561&lt;&gt;"dram",D2561&lt;&gt;"control"),H2561,0)</f>
        <v>0</v>
      </c>
      <c r="K2561">
        <f>IF(D2561="dram",H2561,0)</f>
        <v>228</v>
      </c>
      <c r="L2561">
        <v>8192</v>
      </c>
      <c r="M2561">
        <v>0</v>
      </c>
    </row>
    <row r="2562" spans="1:13">
      <c r="A2562">
        <v>2560</v>
      </c>
      <c r="B2562" t="s">
        <v>62</v>
      </c>
      <c r="C2562" t="s">
        <v>90</v>
      </c>
      <c r="D2562" t="s">
        <v>108</v>
      </c>
      <c r="E2562" t="s">
        <v>348</v>
      </c>
      <c r="F2562">
        <v>0</v>
      </c>
      <c r="G2562">
        <f>MAX(I2556,I2556,I2558,I2559,I2560,I2561,I2322)</f>
        <v>3466070</v>
      </c>
      <c r="H2562">
        <f>'Operations'!I26</f>
        <v>8452</v>
      </c>
      <c r="I2562">
        <f>G2562+H2562</f>
        <v>3474522</v>
      </c>
      <c r="J2562">
        <f>IF(AND(D2562&lt;&gt;"dram",D2562&lt;&gt;"control"),H2562,0)</f>
        <v>8452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375</v>
      </c>
      <c r="C2563" t="s">
        <v>88</v>
      </c>
      <c r="D2563" t="s">
        <v>89</v>
      </c>
      <c r="E2563" t="s">
        <v>348</v>
      </c>
      <c r="F2563">
        <v>0</v>
      </c>
      <c r="G2563">
        <f>MAX(I2557,I2556)</f>
        <v>3457618</v>
      </c>
      <c r="H2563">
        <f>0</f>
        <v>8452</v>
      </c>
      <c r="I2563">
        <f>G2563+H2563</f>
        <v>3466070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370</v>
      </c>
      <c r="C2564" t="s">
        <v>82</v>
      </c>
      <c r="D2564" t="s">
        <v>83</v>
      </c>
      <c r="E2564" t="s">
        <v>349</v>
      </c>
      <c r="F2564">
        <v>512</v>
      </c>
      <c r="G2564">
        <f>MAX(I2563,I2561)</f>
        <v>3466070</v>
      </c>
      <c r="H2564">
        <f>CEILING((dram_access_latency+F2564/dram_bandwidth)*frequency,1)</f>
        <v>108</v>
      </c>
      <c r="I2564">
        <f>G2564+H2564</f>
        <v>3466178</v>
      </c>
      <c r="J2564">
        <f>IF(AND(D2564&lt;&gt;"dram",D2564&lt;&gt;"control"),H2564,0)</f>
        <v>0</v>
      </c>
      <c r="K2564">
        <f>IF(D2564="dram",H2564,0)</f>
        <v>108</v>
      </c>
      <c r="L2564">
        <v>512</v>
      </c>
      <c r="M2564">
        <v>0</v>
      </c>
    </row>
    <row r="2565" spans="1:13">
      <c r="A2565">
        <v>2563</v>
      </c>
      <c r="B2565" t="s">
        <v>371</v>
      </c>
      <c r="C2565" t="s">
        <v>82</v>
      </c>
      <c r="D2565" t="s">
        <v>83</v>
      </c>
      <c r="E2565" t="s">
        <v>349</v>
      </c>
      <c r="F2565">
        <v>262144</v>
      </c>
      <c r="G2565">
        <f>MAX(I2563,I2564)</f>
        <v>3466178</v>
      </c>
      <c r="H2565">
        <f>CEILING((dram_access_latency+F2565/dram_bandwidth)*frequency,1)</f>
        <v>4196</v>
      </c>
      <c r="I2565">
        <f>G2565+H2565</f>
        <v>3470374</v>
      </c>
      <c r="J2565">
        <f>IF(AND(D2565&lt;&gt;"dram",D2565&lt;&gt;"control"),H2565,0)</f>
        <v>0</v>
      </c>
      <c r="K2565">
        <f>IF(D2565="dram",H2565,0)</f>
        <v>4196</v>
      </c>
      <c r="L2565">
        <v>262144</v>
      </c>
      <c r="M2565">
        <v>0</v>
      </c>
    </row>
    <row r="2566" spans="1:13">
      <c r="A2566">
        <v>2564</v>
      </c>
      <c r="B2566" t="s">
        <v>372</v>
      </c>
      <c r="C2566" t="s">
        <v>82</v>
      </c>
      <c r="D2566" t="s">
        <v>83</v>
      </c>
      <c r="E2566" t="s">
        <v>349</v>
      </c>
      <c r="F2566">
        <v>16</v>
      </c>
      <c r="G2566">
        <f>MAX(I2563,I2565)</f>
        <v>3470374</v>
      </c>
      <c r="H2566">
        <f>CEILING((dram_access_latency+F2566/dram_bandwidth)*frequency,1)</f>
        <v>101</v>
      </c>
      <c r="I2566">
        <f>G2566+H2566</f>
        <v>3470475</v>
      </c>
      <c r="J2566">
        <f>IF(AND(D2566&lt;&gt;"dram",D2566&lt;&gt;"control"),H2566,0)</f>
        <v>0</v>
      </c>
      <c r="K2566">
        <f>IF(D2566="dram",H2566,0)</f>
        <v>101</v>
      </c>
      <c r="L2566">
        <v>16</v>
      </c>
      <c r="M2566">
        <v>0</v>
      </c>
    </row>
    <row r="2567" spans="1:13">
      <c r="A2567">
        <v>2565</v>
      </c>
      <c r="B2567" t="s">
        <v>373</v>
      </c>
      <c r="C2567" t="s">
        <v>82</v>
      </c>
      <c r="D2567" t="s">
        <v>83</v>
      </c>
      <c r="E2567" t="s">
        <v>349</v>
      </c>
      <c r="F2567">
        <v>8192</v>
      </c>
      <c r="G2567">
        <f>MAX(I2563,I2566)</f>
        <v>3470475</v>
      </c>
      <c r="H2567">
        <f>CEILING((dram_access_latency+F2567/dram_bandwidth)*frequency,1)</f>
        <v>228</v>
      </c>
      <c r="I2567">
        <f>G2567+H2567</f>
        <v>3470703</v>
      </c>
      <c r="J2567">
        <f>IF(AND(D2567&lt;&gt;"dram",D2567&lt;&gt;"control"),H2567,0)</f>
        <v>0</v>
      </c>
      <c r="K2567">
        <f>IF(D2567="dram",H2567,0)</f>
        <v>228</v>
      </c>
      <c r="L2567">
        <v>8192</v>
      </c>
      <c r="M2567">
        <v>0</v>
      </c>
    </row>
    <row r="2568" spans="1:13">
      <c r="A2568">
        <v>2566</v>
      </c>
      <c r="B2568" t="s">
        <v>62</v>
      </c>
      <c r="C2568" t="s">
        <v>90</v>
      </c>
      <c r="D2568" t="s">
        <v>108</v>
      </c>
      <c r="E2568" t="s">
        <v>349</v>
      </c>
      <c r="F2568">
        <v>0</v>
      </c>
      <c r="G2568">
        <f>MAX(I2562,I2562,I2564,I2565,I2566,I2567,I2322)</f>
        <v>3474522</v>
      </c>
      <c r="H2568">
        <f>'Operations'!I26</f>
        <v>8452</v>
      </c>
      <c r="I2568">
        <f>G2568+H2568</f>
        <v>3482974</v>
      </c>
      <c r="J2568">
        <f>IF(AND(D2568&lt;&gt;"dram",D2568&lt;&gt;"control"),H2568,0)</f>
        <v>8452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375</v>
      </c>
      <c r="C2569" t="s">
        <v>88</v>
      </c>
      <c r="D2569" t="s">
        <v>89</v>
      </c>
      <c r="E2569" t="s">
        <v>349</v>
      </c>
      <c r="F2569">
        <v>0</v>
      </c>
      <c r="G2569">
        <f>MAX(I2563,I2562)</f>
        <v>3466070</v>
      </c>
      <c r="H2569">
        <f>0</f>
        <v>8452</v>
      </c>
      <c r="I2569">
        <f>G2569+H2569</f>
        <v>3474522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370</v>
      </c>
      <c r="C2570" t="s">
        <v>82</v>
      </c>
      <c r="D2570" t="s">
        <v>83</v>
      </c>
      <c r="E2570" t="s">
        <v>350</v>
      </c>
      <c r="F2570">
        <v>512</v>
      </c>
      <c r="G2570">
        <f>MAX(I2569,I2567)</f>
        <v>3474522</v>
      </c>
      <c r="H2570">
        <f>CEILING((dram_access_latency+F2570/dram_bandwidth)*frequency,1)</f>
        <v>108</v>
      </c>
      <c r="I2570">
        <f>G2570+H2570</f>
        <v>3474630</v>
      </c>
      <c r="J2570">
        <f>IF(AND(D2570&lt;&gt;"dram",D2570&lt;&gt;"control"),H2570,0)</f>
        <v>0</v>
      </c>
      <c r="K2570">
        <f>IF(D2570="dram",H2570,0)</f>
        <v>108</v>
      </c>
      <c r="L2570">
        <v>512</v>
      </c>
      <c r="M2570">
        <v>0</v>
      </c>
    </row>
    <row r="2571" spans="1:13">
      <c r="A2571">
        <v>2569</v>
      </c>
      <c r="B2571" t="s">
        <v>371</v>
      </c>
      <c r="C2571" t="s">
        <v>82</v>
      </c>
      <c r="D2571" t="s">
        <v>83</v>
      </c>
      <c r="E2571" t="s">
        <v>350</v>
      </c>
      <c r="F2571">
        <v>262144</v>
      </c>
      <c r="G2571">
        <f>MAX(I2569,I2570)</f>
        <v>3474630</v>
      </c>
      <c r="H2571">
        <f>CEILING((dram_access_latency+F2571/dram_bandwidth)*frequency,1)</f>
        <v>4196</v>
      </c>
      <c r="I2571">
        <f>G2571+H2571</f>
        <v>3478826</v>
      </c>
      <c r="J2571">
        <f>IF(AND(D2571&lt;&gt;"dram",D2571&lt;&gt;"control"),H2571,0)</f>
        <v>0</v>
      </c>
      <c r="K2571">
        <f>IF(D2571="dram",H2571,0)</f>
        <v>4196</v>
      </c>
      <c r="L2571">
        <v>262144</v>
      </c>
      <c r="M2571">
        <v>0</v>
      </c>
    </row>
    <row r="2572" spans="1:13">
      <c r="A2572">
        <v>2570</v>
      </c>
      <c r="B2572" t="s">
        <v>372</v>
      </c>
      <c r="C2572" t="s">
        <v>82</v>
      </c>
      <c r="D2572" t="s">
        <v>83</v>
      </c>
      <c r="E2572" t="s">
        <v>350</v>
      </c>
      <c r="F2572">
        <v>16</v>
      </c>
      <c r="G2572">
        <f>MAX(I2569,I2571)</f>
        <v>3478826</v>
      </c>
      <c r="H2572">
        <f>CEILING((dram_access_latency+F2572/dram_bandwidth)*frequency,1)</f>
        <v>101</v>
      </c>
      <c r="I2572">
        <f>G2572+H2572</f>
        <v>3478927</v>
      </c>
      <c r="J2572">
        <f>IF(AND(D2572&lt;&gt;"dram",D2572&lt;&gt;"control"),H2572,0)</f>
        <v>0</v>
      </c>
      <c r="K2572">
        <f>IF(D2572="dram",H2572,0)</f>
        <v>101</v>
      </c>
      <c r="L2572">
        <v>16</v>
      </c>
      <c r="M2572">
        <v>0</v>
      </c>
    </row>
    <row r="2573" spans="1:13">
      <c r="A2573">
        <v>2571</v>
      </c>
      <c r="B2573" t="s">
        <v>373</v>
      </c>
      <c r="C2573" t="s">
        <v>82</v>
      </c>
      <c r="D2573" t="s">
        <v>83</v>
      </c>
      <c r="E2573" t="s">
        <v>350</v>
      </c>
      <c r="F2573">
        <v>8192</v>
      </c>
      <c r="G2573">
        <f>MAX(I2569,I2572)</f>
        <v>3478927</v>
      </c>
      <c r="H2573">
        <f>CEILING((dram_access_latency+F2573/dram_bandwidth)*frequency,1)</f>
        <v>228</v>
      </c>
      <c r="I2573">
        <f>G2573+H2573</f>
        <v>3479155</v>
      </c>
      <c r="J2573">
        <f>IF(AND(D2573&lt;&gt;"dram",D2573&lt;&gt;"control"),H2573,0)</f>
        <v>0</v>
      </c>
      <c r="K2573">
        <f>IF(D2573="dram",H2573,0)</f>
        <v>228</v>
      </c>
      <c r="L2573">
        <v>8192</v>
      </c>
      <c r="M2573">
        <v>0</v>
      </c>
    </row>
    <row r="2574" spans="1:13">
      <c r="A2574">
        <v>2572</v>
      </c>
      <c r="B2574" t="s">
        <v>63</v>
      </c>
      <c r="C2574" t="s">
        <v>90</v>
      </c>
      <c r="D2574" t="s">
        <v>108</v>
      </c>
      <c r="E2574" t="s">
        <v>350</v>
      </c>
      <c r="F2574">
        <v>0</v>
      </c>
      <c r="G2574">
        <f>MAX(I2568,I2568,I2570,I2571,I2572,I2573,I2322)</f>
        <v>3482974</v>
      </c>
      <c r="H2574">
        <f>'Operations'!I27</f>
        <v>8452</v>
      </c>
      <c r="I2574">
        <f>G2574+H2574</f>
        <v>3491426</v>
      </c>
      <c r="J2574">
        <f>IF(AND(D2574&lt;&gt;"dram",D2574&lt;&gt;"control"),H2574,0)</f>
        <v>8452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64</v>
      </c>
      <c r="C2575" t="s">
        <v>90</v>
      </c>
      <c r="D2575" t="s">
        <v>17</v>
      </c>
      <c r="E2575" t="s">
        <v>350</v>
      </c>
      <c r="F2575">
        <v>0</v>
      </c>
      <c r="G2575">
        <f>MAX(I2574,I2574)</f>
        <v>3491426</v>
      </c>
      <c r="H2575">
        <f>'Operations'!I28</f>
        <v>320</v>
      </c>
      <c r="I2575">
        <f>G2575+H2575</f>
        <v>3491746</v>
      </c>
      <c r="J2575">
        <f>IF(AND(D2575&lt;&gt;"dram",D2575&lt;&gt;"control"),H2575,0)</f>
        <v>320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375</v>
      </c>
      <c r="C2576" t="s">
        <v>88</v>
      </c>
      <c r="D2576" t="s">
        <v>89</v>
      </c>
      <c r="E2576" t="s">
        <v>350</v>
      </c>
      <c r="F2576">
        <v>0</v>
      </c>
      <c r="G2576">
        <f>MAX(I2569,I2568)</f>
        <v>3474522</v>
      </c>
      <c r="H2576">
        <f>0</f>
        <v>8452</v>
      </c>
      <c r="I2576">
        <f>G2576+H2576</f>
        <v>3482974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370</v>
      </c>
      <c r="C2577" t="s">
        <v>82</v>
      </c>
      <c r="D2577" t="s">
        <v>83</v>
      </c>
      <c r="E2577" t="s">
        <v>376</v>
      </c>
      <c r="F2577">
        <v>512</v>
      </c>
      <c r="G2577">
        <f>MAX(I2576,I2573)</f>
        <v>3482974</v>
      </c>
      <c r="H2577">
        <f>CEILING((dram_access_latency+F2577/dram_bandwidth)*frequency,1)</f>
        <v>108</v>
      </c>
      <c r="I2577">
        <f>G2577+H2577</f>
        <v>3483082</v>
      </c>
      <c r="J2577">
        <f>IF(AND(D2577&lt;&gt;"dram",D2577&lt;&gt;"control"),H2577,0)</f>
        <v>0</v>
      </c>
      <c r="K2577">
        <f>IF(D2577="dram",H2577,0)</f>
        <v>108</v>
      </c>
      <c r="L2577">
        <v>512</v>
      </c>
      <c r="M2577">
        <v>0</v>
      </c>
    </row>
    <row r="2578" spans="1:13">
      <c r="A2578">
        <v>2576</v>
      </c>
      <c r="B2578" t="s">
        <v>371</v>
      </c>
      <c r="C2578" t="s">
        <v>82</v>
      </c>
      <c r="D2578" t="s">
        <v>83</v>
      </c>
      <c r="E2578" t="s">
        <v>376</v>
      </c>
      <c r="F2578">
        <v>262144</v>
      </c>
      <c r="G2578">
        <f>MAX(I2576,I2577)</f>
        <v>3483082</v>
      </c>
      <c r="H2578">
        <f>CEILING((dram_access_latency+F2578/dram_bandwidth)*frequency,1)</f>
        <v>4196</v>
      </c>
      <c r="I2578">
        <f>G2578+H2578</f>
        <v>3487278</v>
      </c>
      <c r="J2578">
        <f>IF(AND(D2578&lt;&gt;"dram",D2578&lt;&gt;"control"),H2578,0)</f>
        <v>0</v>
      </c>
      <c r="K2578">
        <f>IF(D2578="dram",H2578,0)</f>
        <v>4196</v>
      </c>
      <c r="L2578">
        <v>262144</v>
      </c>
      <c r="M2578">
        <v>0</v>
      </c>
    </row>
    <row r="2579" spans="1:13">
      <c r="A2579">
        <v>2577</v>
      </c>
      <c r="B2579" t="s">
        <v>372</v>
      </c>
      <c r="C2579" t="s">
        <v>82</v>
      </c>
      <c r="D2579" t="s">
        <v>83</v>
      </c>
      <c r="E2579" t="s">
        <v>376</v>
      </c>
      <c r="F2579">
        <v>16</v>
      </c>
      <c r="G2579">
        <f>MAX(I2576,I2578)</f>
        <v>3487278</v>
      </c>
      <c r="H2579">
        <f>CEILING((dram_access_latency+F2579/dram_bandwidth)*frequency,1)</f>
        <v>101</v>
      </c>
      <c r="I2579">
        <f>G2579+H2579</f>
        <v>3487379</v>
      </c>
      <c r="J2579">
        <f>IF(AND(D2579&lt;&gt;"dram",D2579&lt;&gt;"control"),H2579,0)</f>
        <v>0</v>
      </c>
      <c r="K2579">
        <f>IF(D2579="dram",H2579,0)</f>
        <v>101</v>
      </c>
      <c r="L2579">
        <v>16</v>
      </c>
      <c r="M2579">
        <v>0</v>
      </c>
    </row>
    <row r="2580" spans="1:13">
      <c r="A2580">
        <v>2578</v>
      </c>
      <c r="B2580" t="s">
        <v>373</v>
      </c>
      <c r="C2580" t="s">
        <v>82</v>
      </c>
      <c r="D2580" t="s">
        <v>83</v>
      </c>
      <c r="E2580" t="s">
        <v>376</v>
      </c>
      <c r="F2580">
        <v>8192</v>
      </c>
      <c r="G2580">
        <f>MAX(I2576,I2579)</f>
        <v>3487379</v>
      </c>
      <c r="H2580">
        <f>CEILING((dram_access_latency+F2580/dram_bandwidth)*frequency,1)</f>
        <v>228</v>
      </c>
      <c r="I2580">
        <f>G2580+H2580</f>
        <v>3487607</v>
      </c>
      <c r="J2580">
        <f>IF(AND(D2580&lt;&gt;"dram",D2580&lt;&gt;"control"),H2580,0)</f>
        <v>0</v>
      </c>
      <c r="K2580">
        <f>IF(D2580="dram",H2580,0)</f>
        <v>228</v>
      </c>
      <c r="L2580">
        <v>8192</v>
      </c>
      <c r="M2580">
        <v>0</v>
      </c>
    </row>
    <row r="2581" spans="1:13">
      <c r="A2581">
        <v>2579</v>
      </c>
      <c r="B2581" t="s">
        <v>374</v>
      </c>
      <c r="C2581" t="s">
        <v>82</v>
      </c>
      <c r="D2581" t="s">
        <v>83</v>
      </c>
      <c r="E2581" t="s">
        <v>376</v>
      </c>
      <c r="F2581">
        <v>16384</v>
      </c>
      <c r="G2581">
        <f>MAX(I2576,I2580)</f>
        <v>3487607</v>
      </c>
      <c r="H2581">
        <f>CEILING((dram_access_latency+F2581/dram_bandwidth)*frequency,1)</f>
        <v>356</v>
      </c>
      <c r="I2581">
        <f>G2581+H2581</f>
        <v>3487963</v>
      </c>
      <c r="J2581">
        <f>IF(AND(D2581&lt;&gt;"dram",D2581&lt;&gt;"control"),H2581,0)</f>
        <v>0</v>
      </c>
      <c r="K2581">
        <f>IF(D2581="dram",H2581,0)</f>
        <v>356</v>
      </c>
      <c r="L2581">
        <v>16384</v>
      </c>
      <c r="M2581">
        <v>0</v>
      </c>
    </row>
    <row r="2582" spans="1:13">
      <c r="A2582">
        <v>2580</v>
      </c>
      <c r="B2582" t="s">
        <v>59</v>
      </c>
      <c r="C2582" t="s">
        <v>90</v>
      </c>
      <c r="D2582" t="s">
        <v>287</v>
      </c>
      <c r="E2582" t="s">
        <v>376</v>
      </c>
      <c r="F2582">
        <v>0</v>
      </c>
      <c r="G2582">
        <f>MAX(I2574,I2577,I2578,I2579,I2580,I2581)</f>
        <v>3491426</v>
      </c>
      <c r="H2582">
        <f>'Operations'!I25</f>
        <v>8452</v>
      </c>
      <c r="I2582">
        <f>G2582+H2582</f>
        <v>3499878</v>
      </c>
      <c r="J2582">
        <f>IF(AND(D2582&lt;&gt;"dram",D2582&lt;&gt;"control"),H2582,0)</f>
        <v>8452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375</v>
      </c>
      <c r="C2583" t="s">
        <v>88</v>
      </c>
      <c r="D2583" t="s">
        <v>89</v>
      </c>
      <c r="E2583" t="s">
        <v>376</v>
      </c>
      <c r="F2583">
        <v>0</v>
      </c>
      <c r="G2583">
        <f>MAX(I2576,I2575)</f>
        <v>3482974</v>
      </c>
      <c r="H2583">
        <f>0</f>
        <v>8772</v>
      </c>
      <c r="I2583">
        <f>G2583+H2583</f>
        <v>3491746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377</v>
      </c>
      <c r="C2584" t="s">
        <v>92</v>
      </c>
      <c r="D2584" t="s">
        <v>83</v>
      </c>
      <c r="E2584" t="s">
        <v>376</v>
      </c>
      <c r="F2584">
        <v>128</v>
      </c>
      <c r="G2584">
        <f>MAX(I2583,I2581)</f>
        <v>3491746</v>
      </c>
      <c r="H2584">
        <f>CEILING((dram_access_latency+F2584/dram_bandwidth)*frequency,1)</f>
        <v>102</v>
      </c>
      <c r="I2584">
        <f>G2584+H2584</f>
        <v>3491848</v>
      </c>
      <c r="J2584">
        <f>IF(AND(D2584&lt;&gt;"dram",D2584&lt;&gt;"control"),H2584,0)</f>
        <v>0</v>
      </c>
      <c r="K2584">
        <f>IF(D2584="dram",H2584,0)</f>
        <v>102</v>
      </c>
      <c r="L2584">
        <v>0</v>
      </c>
      <c r="M2584">
        <v>128</v>
      </c>
    </row>
    <row r="2585" spans="1:13">
      <c r="A2585">
        <v>2583</v>
      </c>
      <c r="B2585" t="s">
        <v>378</v>
      </c>
      <c r="C2585" t="s">
        <v>92</v>
      </c>
      <c r="D2585" t="s">
        <v>83</v>
      </c>
      <c r="E2585" t="s">
        <v>376</v>
      </c>
      <c r="F2585">
        <v>6144</v>
      </c>
      <c r="G2585">
        <f>MAX(I2583,I2584)</f>
        <v>3491848</v>
      </c>
      <c r="H2585">
        <f>CEILING((dram_access_latency+F2585/dram_bandwidth)*frequency,1)</f>
        <v>196</v>
      </c>
      <c r="I2585">
        <f>G2585+H2585</f>
        <v>3492044</v>
      </c>
      <c r="J2585">
        <f>IF(AND(D2585&lt;&gt;"dram",D2585&lt;&gt;"control"),H2585,0)</f>
        <v>0</v>
      </c>
      <c r="K2585">
        <f>IF(D2585="dram",H2585,0)</f>
        <v>196</v>
      </c>
      <c r="L2585">
        <v>0</v>
      </c>
      <c r="M2585">
        <v>6144</v>
      </c>
    </row>
    <row r="2586" spans="1:13">
      <c r="A2586">
        <v>2584</v>
      </c>
      <c r="B2586" t="s">
        <v>370</v>
      </c>
      <c r="C2586" t="s">
        <v>82</v>
      </c>
      <c r="D2586" t="s">
        <v>83</v>
      </c>
      <c r="E2586" t="s">
        <v>379</v>
      </c>
      <c r="F2586">
        <v>512</v>
      </c>
      <c r="G2586">
        <f>MAX(I2583,I2585)</f>
        <v>3492044</v>
      </c>
      <c r="H2586">
        <f>CEILING((dram_access_latency+F2586/dram_bandwidth)*frequency,1)</f>
        <v>108</v>
      </c>
      <c r="I2586">
        <f>G2586+H2586</f>
        <v>3492152</v>
      </c>
      <c r="J2586">
        <f>IF(AND(D2586&lt;&gt;"dram",D2586&lt;&gt;"control"),H2586,0)</f>
        <v>0</v>
      </c>
      <c r="K2586">
        <f>IF(D2586="dram",H2586,0)</f>
        <v>108</v>
      </c>
      <c r="L2586">
        <v>512</v>
      </c>
      <c r="M2586">
        <v>0</v>
      </c>
    </row>
    <row r="2587" spans="1:13">
      <c r="A2587">
        <v>2585</v>
      </c>
      <c r="B2587" t="s">
        <v>371</v>
      </c>
      <c r="C2587" t="s">
        <v>82</v>
      </c>
      <c r="D2587" t="s">
        <v>83</v>
      </c>
      <c r="E2587" t="s">
        <v>379</v>
      </c>
      <c r="F2587">
        <v>262144</v>
      </c>
      <c r="G2587">
        <f>MAX(I2583,I2586)</f>
        <v>3492152</v>
      </c>
      <c r="H2587">
        <f>CEILING((dram_access_latency+F2587/dram_bandwidth)*frequency,1)</f>
        <v>4196</v>
      </c>
      <c r="I2587">
        <f>G2587+H2587</f>
        <v>3496348</v>
      </c>
      <c r="J2587">
        <f>IF(AND(D2587&lt;&gt;"dram",D2587&lt;&gt;"control"),H2587,0)</f>
        <v>0</v>
      </c>
      <c r="K2587">
        <f>IF(D2587="dram",H2587,0)</f>
        <v>4196</v>
      </c>
      <c r="L2587">
        <v>262144</v>
      </c>
      <c r="M2587">
        <v>0</v>
      </c>
    </row>
    <row r="2588" spans="1:13">
      <c r="A2588">
        <v>2586</v>
      </c>
      <c r="B2588" t="s">
        <v>372</v>
      </c>
      <c r="C2588" t="s">
        <v>82</v>
      </c>
      <c r="D2588" t="s">
        <v>83</v>
      </c>
      <c r="E2588" t="s">
        <v>379</v>
      </c>
      <c r="F2588">
        <v>16</v>
      </c>
      <c r="G2588">
        <f>MAX(I2583,I2587)</f>
        <v>3496348</v>
      </c>
      <c r="H2588">
        <f>CEILING((dram_access_latency+F2588/dram_bandwidth)*frequency,1)</f>
        <v>101</v>
      </c>
      <c r="I2588">
        <f>G2588+H2588</f>
        <v>3496449</v>
      </c>
      <c r="J2588">
        <f>IF(AND(D2588&lt;&gt;"dram",D2588&lt;&gt;"control"),H2588,0)</f>
        <v>0</v>
      </c>
      <c r="K2588">
        <f>IF(D2588="dram",H2588,0)</f>
        <v>101</v>
      </c>
      <c r="L2588">
        <v>16</v>
      </c>
      <c r="M2588">
        <v>0</v>
      </c>
    </row>
    <row r="2589" spans="1:13">
      <c r="A2589">
        <v>2587</v>
      </c>
      <c r="B2589" t="s">
        <v>373</v>
      </c>
      <c r="C2589" t="s">
        <v>82</v>
      </c>
      <c r="D2589" t="s">
        <v>83</v>
      </c>
      <c r="E2589" t="s">
        <v>379</v>
      </c>
      <c r="F2589">
        <v>8192</v>
      </c>
      <c r="G2589">
        <f>MAX(I2583,I2588)</f>
        <v>3496449</v>
      </c>
      <c r="H2589">
        <f>CEILING((dram_access_latency+F2589/dram_bandwidth)*frequency,1)</f>
        <v>228</v>
      </c>
      <c r="I2589">
        <f>G2589+H2589</f>
        <v>3496677</v>
      </c>
      <c r="J2589">
        <f>IF(AND(D2589&lt;&gt;"dram",D2589&lt;&gt;"control"),H2589,0)</f>
        <v>0</v>
      </c>
      <c r="K2589">
        <f>IF(D2589="dram",H2589,0)</f>
        <v>228</v>
      </c>
      <c r="L2589">
        <v>8192</v>
      </c>
      <c r="M2589">
        <v>0</v>
      </c>
    </row>
    <row r="2590" spans="1:13">
      <c r="A2590">
        <v>2588</v>
      </c>
      <c r="B2590" t="s">
        <v>62</v>
      </c>
      <c r="C2590" t="s">
        <v>90</v>
      </c>
      <c r="D2590" t="s">
        <v>108</v>
      </c>
      <c r="E2590" t="s">
        <v>379</v>
      </c>
      <c r="F2590">
        <v>0</v>
      </c>
      <c r="G2590">
        <f>MAX(I2582,I2575,I2586,I2587,I2588,I2589,I2581)</f>
        <v>3499878</v>
      </c>
      <c r="H2590">
        <f>'Operations'!I26</f>
        <v>8452</v>
      </c>
      <c r="I2590">
        <f>G2590+H2590</f>
        <v>3508330</v>
      </c>
      <c r="J2590">
        <f>IF(AND(D2590&lt;&gt;"dram",D2590&lt;&gt;"control"),H2590,0)</f>
        <v>8452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375</v>
      </c>
      <c r="C2591" t="s">
        <v>88</v>
      </c>
      <c r="D2591" t="s">
        <v>89</v>
      </c>
      <c r="E2591" t="s">
        <v>379</v>
      </c>
      <c r="F2591">
        <v>0</v>
      </c>
      <c r="G2591">
        <f>MAX(I2583,I2582)</f>
        <v>3491746</v>
      </c>
      <c r="H2591">
        <f>0</f>
        <v>8132</v>
      </c>
      <c r="I2591">
        <f>G2591+H2591</f>
        <v>3499878</v>
      </c>
      <c r="J2591">
        <f>IF(AND(D2591&lt;&gt;"dram",D2591&lt;&gt;"control"),H2591,0)</f>
        <v>0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370</v>
      </c>
      <c r="C2592" t="s">
        <v>82</v>
      </c>
      <c r="D2592" t="s">
        <v>83</v>
      </c>
      <c r="E2592" t="s">
        <v>380</v>
      </c>
      <c r="F2592">
        <v>512</v>
      </c>
      <c r="G2592">
        <f>MAX(I2591,I2589)</f>
        <v>3499878</v>
      </c>
      <c r="H2592">
        <f>CEILING((dram_access_latency+F2592/dram_bandwidth)*frequency,1)</f>
        <v>108</v>
      </c>
      <c r="I2592">
        <f>G2592+H2592</f>
        <v>3499986</v>
      </c>
      <c r="J2592">
        <f>IF(AND(D2592&lt;&gt;"dram",D2592&lt;&gt;"control"),H2592,0)</f>
        <v>0</v>
      </c>
      <c r="K2592">
        <f>IF(D2592="dram",H2592,0)</f>
        <v>108</v>
      </c>
      <c r="L2592">
        <v>512</v>
      </c>
      <c r="M2592">
        <v>0</v>
      </c>
    </row>
    <row r="2593" spans="1:13">
      <c r="A2593">
        <v>2591</v>
      </c>
      <c r="B2593" t="s">
        <v>371</v>
      </c>
      <c r="C2593" t="s">
        <v>82</v>
      </c>
      <c r="D2593" t="s">
        <v>83</v>
      </c>
      <c r="E2593" t="s">
        <v>380</v>
      </c>
      <c r="F2593">
        <v>262144</v>
      </c>
      <c r="G2593">
        <f>MAX(I2591,I2592)</f>
        <v>3499986</v>
      </c>
      <c r="H2593">
        <f>CEILING((dram_access_latency+F2593/dram_bandwidth)*frequency,1)</f>
        <v>4196</v>
      </c>
      <c r="I2593">
        <f>G2593+H2593</f>
        <v>3504182</v>
      </c>
      <c r="J2593">
        <f>IF(AND(D2593&lt;&gt;"dram",D2593&lt;&gt;"control"),H2593,0)</f>
        <v>0</v>
      </c>
      <c r="K2593">
        <f>IF(D2593="dram",H2593,0)</f>
        <v>4196</v>
      </c>
      <c r="L2593">
        <v>262144</v>
      </c>
      <c r="M2593">
        <v>0</v>
      </c>
    </row>
    <row r="2594" spans="1:13">
      <c r="A2594">
        <v>2592</v>
      </c>
      <c r="B2594" t="s">
        <v>372</v>
      </c>
      <c r="C2594" t="s">
        <v>82</v>
      </c>
      <c r="D2594" t="s">
        <v>83</v>
      </c>
      <c r="E2594" t="s">
        <v>380</v>
      </c>
      <c r="F2594">
        <v>16</v>
      </c>
      <c r="G2594">
        <f>MAX(I2591,I2593)</f>
        <v>3504182</v>
      </c>
      <c r="H2594">
        <f>CEILING((dram_access_latency+F2594/dram_bandwidth)*frequency,1)</f>
        <v>101</v>
      </c>
      <c r="I2594">
        <f>G2594+H2594</f>
        <v>3504283</v>
      </c>
      <c r="J2594">
        <f>IF(AND(D2594&lt;&gt;"dram",D2594&lt;&gt;"control"),H2594,0)</f>
        <v>0</v>
      </c>
      <c r="K2594">
        <f>IF(D2594="dram",H2594,0)</f>
        <v>101</v>
      </c>
      <c r="L2594">
        <v>16</v>
      </c>
      <c r="M2594">
        <v>0</v>
      </c>
    </row>
    <row r="2595" spans="1:13">
      <c r="A2595">
        <v>2593</v>
      </c>
      <c r="B2595" t="s">
        <v>373</v>
      </c>
      <c r="C2595" t="s">
        <v>82</v>
      </c>
      <c r="D2595" t="s">
        <v>83</v>
      </c>
      <c r="E2595" t="s">
        <v>380</v>
      </c>
      <c r="F2595">
        <v>8192</v>
      </c>
      <c r="G2595">
        <f>MAX(I2591,I2594)</f>
        <v>3504283</v>
      </c>
      <c r="H2595">
        <f>CEILING((dram_access_latency+F2595/dram_bandwidth)*frequency,1)</f>
        <v>228</v>
      </c>
      <c r="I2595">
        <f>G2595+H2595</f>
        <v>3504511</v>
      </c>
      <c r="J2595">
        <f>IF(AND(D2595&lt;&gt;"dram",D2595&lt;&gt;"control"),H2595,0)</f>
        <v>0</v>
      </c>
      <c r="K2595">
        <f>IF(D2595="dram",H2595,0)</f>
        <v>228</v>
      </c>
      <c r="L2595">
        <v>8192</v>
      </c>
      <c r="M2595">
        <v>0</v>
      </c>
    </row>
    <row r="2596" spans="1:13">
      <c r="A2596">
        <v>2594</v>
      </c>
      <c r="B2596" t="s">
        <v>62</v>
      </c>
      <c r="C2596" t="s">
        <v>90</v>
      </c>
      <c r="D2596" t="s">
        <v>108</v>
      </c>
      <c r="E2596" t="s">
        <v>380</v>
      </c>
      <c r="F2596">
        <v>0</v>
      </c>
      <c r="G2596">
        <f>MAX(I2590,I2590,I2592,I2593,I2594,I2595,I2581)</f>
        <v>3508330</v>
      </c>
      <c r="H2596">
        <f>'Operations'!I26</f>
        <v>8452</v>
      </c>
      <c r="I2596">
        <f>G2596+H2596</f>
        <v>3516782</v>
      </c>
      <c r="J2596">
        <f>IF(AND(D2596&lt;&gt;"dram",D2596&lt;&gt;"control"),H2596,0)</f>
        <v>8452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375</v>
      </c>
      <c r="C2597" t="s">
        <v>88</v>
      </c>
      <c r="D2597" t="s">
        <v>89</v>
      </c>
      <c r="E2597" t="s">
        <v>380</v>
      </c>
      <c r="F2597">
        <v>0</v>
      </c>
      <c r="G2597">
        <f>MAX(I2591,I2590)</f>
        <v>3499878</v>
      </c>
      <c r="H2597">
        <f>0</f>
        <v>8452</v>
      </c>
      <c r="I2597">
        <f>G2597+H2597</f>
        <v>3508330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370</v>
      </c>
      <c r="C2598" t="s">
        <v>82</v>
      </c>
      <c r="D2598" t="s">
        <v>83</v>
      </c>
      <c r="E2598" t="s">
        <v>381</v>
      </c>
      <c r="F2598">
        <v>512</v>
      </c>
      <c r="G2598">
        <f>MAX(I2597,I2595)</f>
        <v>3508330</v>
      </c>
      <c r="H2598">
        <f>CEILING((dram_access_latency+F2598/dram_bandwidth)*frequency,1)</f>
        <v>108</v>
      </c>
      <c r="I2598">
        <f>G2598+H2598</f>
        <v>3508438</v>
      </c>
      <c r="J2598">
        <f>IF(AND(D2598&lt;&gt;"dram",D2598&lt;&gt;"control"),H2598,0)</f>
        <v>0</v>
      </c>
      <c r="K2598">
        <f>IF(D2598="dram",H2598,0)</f>
        <v>108</v>
      </c>
      <c r="L2598">
        <v>512</v>
      </c>
      <c r="M2598">
        <v>0</v>
      </c>
    </row>
    <row r="2599" spans="1:13">
      <c r="A2599">
        <v>2597</v>
      </c>
      <c r="B2599" t="s">
        <v>371</v>
      </c>
      <c r="C2599" t="s">
        <v>82</v>
      </c>
      <c r="D2599" t="s">
        <v>83</v>
      </c>
      <c r="E2599" t="s">
        <v>381</v>
      </c>
      <c r="F2599">
        <v>262144</v>
      </c>
      <c r="G2599">
        <f>MAX(I2597,I2598)</f>
        <v>3508438</v>
      </c>
      <c r="H2599">
        <f>CEILING((dram_access_latency+F2599/dram_bandwidth)*frequency,1)</f>
        <v>4196</v>
      </c>
      <c r="I2599">
        <f>G2599+H2599</f>
        <v>3512634</v>
      </c>
      <c r="J2599">
        <f>IF(AND(D2599&lt;&gt;"dram",D2599&lt;&gt;"control"),H2599,0)</f>
        <v>0</v>
      </c>
      <c r="K2599">
        <f>IF(D2599="dram",H2599,0)</f>
        <v>4196</v>
      </c>
      <c r="L2599">
        <v>262144</v>
      </c>
      <c r="M2599">
        <v>0</v>
      </c>
    </row>
    <row r="2600" spans="1:13">
      <c r="A2600">
        <v>2598</v>
      </c>
      <c r="B2600" t="s">
        <v>372</v>
      </c>
      <c r="C2600" t="s">
        <v>82</v>
      </c>
      <c r="D2600" t="s">
        <v>83</v>
      </c>
      <c r="E2600" t="s">
        <v>381</v>
      </c>
      <c r="F2600">
        <v>16</v>
      </c>
      <c r="G2600">
        <f>MAX(I2597,I2599)</f>
        <v>3512634</v>
      </c>
      <c r="H2600">
        <f>CEILING((dram_access_latency+F2600/dram_bandwidth)*frequency,1)</f>
        <v>101</v>
      </c>
      <c r="I2600">
        <f>G2600+H2600</f>
        <v>3512735</v>
      </c>
      <c r="J2600">
        <f>IF(AND(D2600&lt;&gt;"dram",D2600&lt;&gt;"control"),H2600,0)</f>
        <v>0</v>
      </c>
      <c r="K2600">
        <f>IF(D2600="dram",H2600,0)</f>
        <v>101</v>
      </c>
      <c r="L2600">
        <v>16</v>
      </c>
      <c r="M2600">
        <v>0</v>
      </c>
    </row>
    <row r="2601" spans="1:13">
      <c r="A2601">
        <v>2599</v>
      </c>
      <c r="B2601" t="s">
        <v>373</v>
      </c>
      <c r="C2601" t="s">
        <v>82</v>
      </c>
      <c r="D2601" t="s">
        <v>83</v>
      </c>
      <c r="E2601" t="s">
        <v>381</v>
      </c>
      <c r="F2601">
        <v>8192</v>
      </c>
      <c r="G2601">
        <f>MAX(I2597,I2600)</f>
        <v>3512735</v>
      </c>
      <c r="H2601">
        <f>CEILING((dram_access_latency+F2601/dram_bandwidth)*frequency,1)</f>
        <v>228</v>
      </c>
      <c r="I2601">
        <f>G2601+H2601</f>
        <v>3512963</v>
      </c>
      <c r="J2601">
        <f>IF(AND(D2601&lt;&gt;"dram",D2601&lt;&gt;"control"),H2601,0)</f>
        <v>0</v>
      </c>
      <c r="K2601">
        <f>IF(D2601="dram",H2601,0)</f>
        <v>228</v>
      </c>
      <c r="L2601">
        <v>8192</v>
      </c>
      <c r="M2601">
        <v>0</v>
      </c>
    </row>
    <row r="2602" spans="1:13">
      <c r="A2602">
        <v>2600</v>
      </c>
      <c r="B2602" t="s">
        <v>62</v>
      </c>
      <c r="C2602" t="s">
        <v>90</v>
      </c>
      <c r="D2602" t="s">
        <v>108</v>
      </c>
      <c r="E2602" t="s">
        <v>381</v>
      </c>
      <c r="F2602">
        <v>0</v>
      </c>
      <c r="G2602">
        <f>MAX(I2596,I2596,I2598,I2599,I2600,I2601,I2581)</f>
        <v>3516782</v>
      </c>
      <c r="H2602">
        <f>'Operations'!I26</f>
        <v>8452</v>
      </c>
      <c r="I2602">
        <f>G2602+H2602</f>
        <v>3525234</v>
      </c>
      <c r="J2602">
        <f>IF(AND(D2602&lt;&gt;"dram",D2602&lt;&gt;"control"),H2602,0)</f>
        <v>8452</v>
      </c>
      <c r="K2602">
        <f>IF(D2602="dram",H2602,0)</f>
        <v>0</v>
      </c>
      <c r="L2602">
        <v>0</v>
      </c>
      <c r="M2602">
        <v>0</v>
      </c>
    </row>
    <row r="2603" spans="1:13">
      <c r="A2603">
        <v>2601</v>
      </c>
      <c r="B2603" t="s">
        <v>375</v>
      </c>
      <c r="C2603" t="s">
        <v>88</v>
      </c>
      <c r="D2603" t="s">
        <v>89</v>
      </c>
      <c r="E2603" t="s">
        <v>381</v>
      </c>
      <c r="F2603">
        <v>0</v>
      </c>
      <c r="G2603">
        <f>MAX(I2597,I2596)</f>
        <v>3508330</v>
      </c>
      <c r="H2603">
        <f>0</f>
        <v>8452</v>
      </c>
      <c r="I2603">
        <f>G2603+H2603</f>
        <v>3516782</v>
      </c>
      <c r="J2603">
        <f>IF(AND(D2603&lt;&gt;"dram",D2603&lt;&gt;"control"),H2603,0)</f>
        <v>0</v>
      </c>
      <c r="K2603">
        <f>IF(D2603="dram",H2603,0)</f>
        <v>0</v>
      </c>
      <c r="L2603">
        <v>0</v>
      </c>
      <c r="M2603">
        <v>0</v>
      </c>
    </row>
    <row r="2604" spans="1:13">
      <c r="A2604">
        <v>2602</v>
      </c>
      <c r="B2604" t="s">
        <v>370</v>
      </c>
      <c r="C2604" t="s">
        <v>82</v>
      </c>
      <c r="D2604" t="s">
        <v>83</v>
      </c>
      <c r="E2604" t="s">
        <v>382</v>
      </c>
      <c r="F2604">
        <v>512</v>
      </c>
      <c r="G2604">
        <f>MAX(I2603,I2601)</f>
        <v>3516782</v>
      </c>
      <c r="H2604">
        <f>CEILING((dram_access_latency+F2604/dram_bandwidth)*frequency,1)</f>
        <v>108</v>
      </c>
      <c r="I2604">
        <f>G2604+H2604</f>
        <v>3516890</v>
      </c>
      <c r="J2604">
        <f>IF(AND(D2604&lt;&gt;"dram",D2604&lt;&gt;"control"),H2604,0)</f>
        <v>0</v>
      </c>
      <c r="K2604">
        <f>IF(D2604="dram",H2604,0)</f>
        <v>108</v>
      </c>
      <c r="L2604">
        <v>512</v>
      </c>
      <c r="M2604">
        <v>0</v>
      </c>
    </row>
    <row r="2605" spans="1:13">
      <c r="A2605">
        <v>2603</v>
      </c>
      <c r="B2605" t="s">
        <v>371</v>
      </c>
      <c r="C2605" t="s">
        <v>82</v>
      </c>
      <c r="D2605" t="s">
        <v>83</v>
      </c>
      <c r="E2605" t="s">
        <v>382</v>
      </c>
      <c r="F2605">
        <v>262144</v>
      </c>
      <c r="G2605">
        <f>MAX(I2603,I2604)</f>
        <v>3516890</v>
      </c>
      <c r="H2605">
        <f>CEILING((dram_access_latency+F2605/dram_bandwidth)*frequency,1)</f>
        <v>4196</v>
      </c>
      <c r="I2605">
        <f>G2605+H2605</f>
        <v>3521086</v>
      </c>
      <c r="J2605">
        <f>IF(AND(D2605&lt;&gt;"dram",D2605&lt;&gt;"control"),H2605,0)</f>
        <v>0</v>
      </c>
      <c r="K2605">
        <f>IF(D2605="dram",H2605,0)</f>
        <v>4196</v>
      </c>
      <c r="L2605">
        <v>262144</v>
      </c>
      <c r="M2605">
        <v>0</v>
      </c>
    </row>
    <row r="2606" spans="1:13">
      <c r="A2606">
        <v>2604</v>
      </c>
      <c r="B2606" t="s">
        <v>372</v>
      </c>
      <c r="C2606" t="s">
        <v>82</v>
      </c>
      <c r="D2606" t="s">
        <v>83</v>
      </c>
      <c r="E2606" t="s">
        <v>382</v>
      </c>
      <c r="F2606">
        <v>16</v>
      </c>
      <c r="G2606">
        <f>MAX(I2603,I2605)</f>
        <v>3521086</v>
      </c>
      <c r="H2606">
        <f>CEILING((dram_access_latency+F2606/dram_bandwidth)*frequency,1)</f>
        <v>101</v>
      </c>
      <c r="I2606">
        <f>G2606+H2606</f>
        <v>3521187</v>
      </c>
      <c r="J2606">
        <f>IF(AND(D2606&lt;&gt;"dram",D2606&lt;&gt;"control"),H2606,0)</f>
        <v>0</v>
      </c>
      <c r="K2606">
        <f>IF(D2606="dram",H2606,0)</f>
        <v>101</v>
      </c>
      <c r="L2606">
        <v>16</v>
      </c>
      <c r="M2606">
        <v>0</v>
      </c>
    </row>
    <row r="2607" spans="1:13">
      <c r="A2607">
        <v>2605</v>
      </c>
      <c r="B2607" t="s">
        <v>373</v>
      </c>
      <c r="C2607" t="s">
        <v>82</v>
      </c>
      <c r="D2607" t="s">
        <v>83</v>
      </c>
      <c r="E2607" t="s">
        <v>382</v>
      </c>
      <c r="F2607">
        <v>8192</v>
      </c>
      <c r="G2607">
        <f>MAX(I2603,I2606)</f>
        <v>3521187</v>
      </c>
      <c r="H2607">
        <f>CEILING((dram_access_latency+F2607/dram_bandwidth)*frequency,1)</f>
        <v>228</v>
      </c>
      <c r="I2607">
        <f>G2607+H2607</f>
        <v>3521415</v>
      </c>
      <c r="J2607">
        <f>IF(AND(D2607&lt;&gt;"dram",D2607&lt;&gt;"control"),H2607,0)</f>
        <v>0</v>
      </c>
      <c r="K2607">
        <f>IF(D2607="dram",H2607,0)</f>
        <v>228</v>
      </c>
      <c r="L2607">
        <v>8192</v>
      </c>
      <c r="M2607">
        <v>0</v>
      </c>
    </row>
    <row r="2608" spans="1:13">
      <c r="A2608">
        <v>2606</v>
      </c>
      <c r="B2608" t="s">
        <v>62</v>
      </c>
      <c r="C2608" t="s">
        <v>90</v>
      </c>
      <c r="D2608" t="s">
        <v>108</v>
      </c>
      <c r="E2608" t="s">
        <v>382</v>
      </c>
      <c r="F2608">
        <v>0</v>
      </c>
      <c r="G2608">
        <f>MAX(I2602,I2602,I2604,I2605,I2606,I2607,I2581)</f>
        <v>3525234</v>
      </c>
      <c r="H2608">
        <f>'Operations'!I26</f>
        <v>8452</v>
      </c>
      <c r="I2608">
        <f>G2608+H2608</f>
        <v>3533686</v>
      </c>
      <c r="J2608">
        <f>IF(AND(D2608&lt;&gt;"dram",D2608&lt;&gt;"control"),H2608,0)</f>
        <v>8452</v>
      </c>
      <c r="K2608">
        <f>IF(D2608="dram",H2608,0)</f>
        <v>0</v>
      </c>
      <c r="L2608">
        <v>0</v>
      </c>
      <c r="M2608">
        <v>0</v>
      </c>
    </row>
    <row r="2609" spans="1:13">
      <c r="A2609">
        <v>2607</v>
      </c>
      <c r="B2609" t="s">
        <v>375</v>
      </c>
      <c r="C2609" t="s">
        <v>88</v>
      </c>
      <c r="D2609" t="s">
        <v>89</v>
      </c>
      <c r="E2609" t="s">
        <v>382</v>
      </c>
      <c r="F2609">
        <v>0</v>
      </c>
      <c r="G2609">
        <f>MAX(I2603,I2602)</f>
        <v>3516782</v>
      </c>
      <c r="H2609">
        <f>0</f>
        <v>8452</v>
      </c>
      <c r="I2609">
        <f>G2609+H2609</f>
        <v>3525234</v>
      </c>
      <c r="J2609">
        <f>IF(AND(D2609&lt;&gt;"dram",D2609&lt;&gt;"control"),H2609,0)</f>
        <v>0</v>
      </c>
      <c r="K2609">
        <f>IF(D2609="dram",H2609,0)</f>
        <v>0</v>
      </c>
      <c r="L2609">
        <v>0</v>
      </c>
      <c r="M2609">
        <v>0</v>
      </c>
    </row>
    <row r="2610" spans="1:13">
      <c r="A2610">
        <v>2608</v>
      </c>
      <c r="B2610" t="s">
        <v>370</v>
      </c>
      <c r="C2610" t="s">
        <v>82</v>
      </c>
      <c r="D2610" t="s">
        <v>83</v>
      </c>
      <c r="E2610" t="s">
        <v>383</v>
      </c>
      <c r="F2610">
        <v>512</v>
      </c>
      <c r="G2610">
        <f>MAX(I2609,I2607)</f>
        <v>3525234</v>
      </c>
      <c r="H2610">
        <f>CEILING((dram_access_latency+F2610/dram_bandwidth)*frequency,1)</f>
        <v>108</v>
      </c>
      <c r="I2610">
        <f>G2610+H2610</f>
        <v>3525342</v>
      </c>
      <c r="J2610">
        <f>IF(AND(D2610&lt;&gt;"dram",D2610&lt;&gt;"control"),H2610,0)</f>
        <v>0</v>
      </c>
      <c r="K2610">
        <f>IF(D2610="dram",H2610,0)</f>
        <v>108</v>
      </c>
      <c r="L2610">
        <v>512</v>
      </c>
      <c r="M2610">
        <v>0</v>
      </c>
    </row>
    <row r="2611" spans="1:13">
      <c r="A2611">
        <v>2609</v>
      </c>
      <c r="B2611" t="s">
        <v>371</v>
      </c>
      <c r="C2611" t="s">
        <v>82</v>
      </c>
      <c r="D2611" t="s">
        <v>83</v>
      </c>
      <c r="E2611" t="s">
        <v>383</v>
      </c>
      <c r="F2611">
        <v>262144</v>
      </c>
      <c r="G2611">
        <f>MAX(I2609,I2610)</f>
        <v>3525342</v>
      </c>
      <c r="H2611">
        <f>CEILING((dram_access_latency+F2611/dram_bandwidth)*frequency,1)</f>
        <v>4196</v>
      </c>
      <c r="I2611">
        <f>G2611+H2611</f>
        <v>3529538</v>
      </c>
      <c r="J2611">
        <f>IF(AND(D2611&lt;&gt;"dram",D2611&lt;&gt;"control"),H2611,0)</f>
        <v>0</v>
      </c>
      <c r="K2611">
        <f>IF(D2611="dram",H2611,0)</f>
        <v>4196</v>
      </c>
      <c r="L2611">
        <v>262144</v>
      </c>
      <c r="M2611">
        <v>0</v>
      </c>
    </row>
    <row r="2612" spans="1:13">
      <c r="A2612">
        <v>2610</v>
      </c>
      <c r="B2612" t="s">
        <v>372</v>
      </c>
      <c r="C2612" t="s">
        <v>82</v>
      </c>
      <c r="D2612" t="s">
        <v>83</v>
      </c>
      <c r="E2612" t="s">
        <v>383</v>
      </c>
      <c r="F2612">
        <v>16</v>
      </c>
      <c r="G2612">
        <f>MAX(I2609,I2611)</f>
        <v>3529538</v>
      </c>
      <c r="H2612">
        <f>CEILING((dram_access_latency+F2612/dram_bandwidth)*frequency,1)</f>
        <v>101</v>
      </c>
      <c r="I2612">
        <f>G2612+H2612</f>
        <v>3529639</v>
      </c>
      <c r="J2612">
        <f>IF(AND(D2612&lt;&gt;"dram",D2612&lt;&gt;"control"),H2612,0)</f>
        <v>0</v>
      </c>
      <c r="K2612">
        <f>IF(D2612="dram",H2612,0)</f>
        <v>101</v>
      </c>
      <c r="L2612">
        <v>16</v>
      </c>
      <c r="M2612">
        <v>0</v>
      </c>
    </row>
    <row r="2613" spans="1:13">
      <c r="A2613">
        <v>2611</v>
      </c>
      <c r="B2613" t="s">
        <v>373</v>
      </c>
      <c r="C2613" t="s">
        <v>82</v>
      </c>
      <c r="D2613" t="s">
        <v>83</v>
      </c>
      <c r="E2613" t="s">
        <v>383</v>
      </c>
      <c r="F2613">
        <v>8192</v>
      </c>
      <c r="G2613">
        <f>MAX(I2609,I2612)</f>
        <v>3529639</v>
      </c>
      <c r="H2613">
        <f>CEILING((dram_access_latency+F2613/dram_bandwidth)*frequency,1)</f>
        <v>228</v>
      </c>
      <c r="I2613">
        <f>G2613+H2613</f>
        <v>3529867</v>
      </c>
      <c r="J2613">
        <f>IF(AND(D2613&lt;&gt;"dram",D2613&lt;&gt;"control"),H2613,0)</f>
        <v>0</v>
      </c>
      <c r="K2613">
        <f>IF(D2613="dram",H2613,0)</f>
        <v>228</v>
      </c>
      <c r="L2613">
        <v>8192</v>
      </c>
      <c r="M2613">
        <v>0</v>
      </c>
    </row>
    <row r="2614" spans="1:13">
      <c r="A2614">
        <v>2612</v>
      </c>
      <c r="B2614" t="s">
        <v>62</v>
      </c>
      <c r="C2614" t="s">
        <v>90</v>
      </c>
      <c r="D2614" t="s">
        <v>108</v>
      </c>
      <c r="E2614" t="s">
        <v>383</v>
      </c>
      <c r="F2614">
        <v>0</v>
      </c>
      <c r="G2614">
        <f>MAX(I2608,I2608,I2610,I2611,I2612,I2613,I2581)</f>
        <v>3533686</v>
      </c>
      <c r="H2614">
        <f>'Operations'!I26</f>
        <v>8452</v>
      </c>
      <c r="I2614">
        <f>G2614+H2614</f>
        <v>3542138</v>
      </c>
      <c r="J2614">
        <f>IF(AND(D2614&lt;&gt;"dram",D2614&lt;&gt;"control"),H2614,0)</f>
        <v>8452</v>
      </c>
      <c r="K2614">
        <f>IF(D2614="dram",H2614,0)</f>
        <v>0</v>
      </c>
      <c r="L2614">
        <v>0</v>
      </c>
      <c r="M2614">
        <v>0</v>
      </c>
    </row>
    <row r="2615" spans="1:13">
      <c r="A2615">
        <v>2613</v>
      </c>
      <c r="B2615" t="s">
        <v>375</v>
      </c>
      <c r="C2615" t="s">
        <v>88</v>
      </c>
      <c r="D2615" t="s">
        <v>89</v>
      </c>
      <c r="E2615" t="s">
        <v>383</v>
      </c>
      <c r="F2615">
        <v>0</v>
      </c>
      <c r="G2615">
        <f>MAX(I2609,I2608)</f>
        <v>3525234</v>
      </c>
      <c r="H2615">
        <f>0</f>
        <v>8452</v>
      </c>
      <c r="I2615">
        <f>G2615+H2615</f>
        <v>3533686</v>
      </c>
      <c r="J2615">
        <f>IF(AND(D2615&lt;&gt;"dram",D2615&lt;&gt;"control"),H2615,0)</f>
        <v>0</v>
      </c>
      <c r="K2615">
        <f>IF(D2615="dram",H2615,0)</f>
        <v>0</v>
      </c>
      <c r="L2615">
        <v>0</v>
      </c>
      <c r="M2615">
        <v>0</v>
      </c>
    </row>
    <row r="2616" spans="1:13">
      <c r="A2616">
        <v>2614</v>
      </c>
      <c r="B2616" t="s">
        <v>370</v>
      </c>
      <c r="C2616" t="s">
        <v>82</v>
      </c>
      <c r="D2616" t="s">
        <v>83</v>
      </c>
      <c r="E2616" t="s">
        <v>384</v>
      </c>
      <c r="F2616">
        <v>512</v>
      </c>
      <c r="G2616">
        <f>MAX(I2615,I2613)</f>
        <v>3533686</v>
      </c>
      <c r="H2616">
        <f>CEILING((dram_access_latency+F2616/dram_bandwidth)*frequency,1)</f>
        <v>108</v>
      </c>
      <c r="I2616">
        <f>G2616+H2616</f>
        <v>3533794</v>
      </c>
      <c r="J2616">
        <f>IF(AND(D2616&lt;&gt;"dram",D2616&lt;&gt;"control"),H2616,0)</f>
        <v>0</v>
      </c>
      <c r="K2616">
        <f>IF(D2616="dram",H2616,0)</f>
        <v>108</v>
      </c>
      <c r="L2616">
        <v>512</v>
      </c>
      <c r="M2616">
        <v>0</v>
      </c>
    </row>
    <row r="2617" spans="1:13">
      <c r="A2617">
        <v>2615</v>
      </c>
      <c r="B2617" t="s">
        <v>371</v>
      </c>
      <c r="C2617" t="s">
        <v>82</v>
      </c>
      <c r="D2617" t="s">
        <v>83</v>
      </c>
      <c r="E2617" t="s">
        <v>384</v>
      </c>
      <c r="F2617">
        <v>262144</v>
      </c>
      <c r="G2617">
        <f>MAX(I2615,I2616)</f>
        <v>3533794</v>
      </c>
      <c r="H2617">
        <f>CEILING((dram_access_latency+F2617/dram_bandwidth)*frequency,1)</f>
        <v>4196</v>
      </c>
      <c r="I2617">
        <f>G2617+H2617</f>
        <v>3537990</v>
      </c>
      <c r="J2617">
        <f>IF(AND(D2617&lt;&gt;"dram",D2617&lt;&gt;"control"),H2617,0)</f>
        <v>0</v>
      </c>
      <c r="K2617">
        <f>IF(D2617="dram",H2617,0)</f>
        <v>4196</v>
      </c>
      <c r="L2617">
        <v>262144</v>
      </c>
      <c r="M2617">
        <v>0</v>
      </c>
    </row>
    <row r="2618" spans="1:13">
      <c r="A2618">
        <v>2616</v>
      </c>
      <c r="B2618" t="s">
        <v>372</v>
      </c>
      <c r="C2618" t="s">
        <v>82</v>
      </c>
      <c r="D2618" t="s">
        <v>83</v>
      </c>
      <c r="E2618" t="s">
        <v>384</v>
      </c>
      <c r="F2618">
        <v>16</v>
      </c>
      <c r="G2618">
        <f>MAX(I2615,I2617)</f>
        <v>3537990</v>
      </c>
      <c r="H2618">
        <f>CEILING((dram_access_latency+F2618/dram_bandwidth)*frequency,1)</f>
        <v>101</v>
      </c>
      <c r="I2618">
        <f>G2618+H2618</f>
        <v>3538091</v>
      </c>
      <c r="J2618">
        <f>IF(AND(D2618&lt;&gt;"dram",D2618&lt;&gt;"control"),H2618,0)</f>
        <v>0</v>
      </c>
      <c r="K2618">
        <f>IF(D2618="dram",H2618,0)</f>
        <v>101</v>
      </c>
      <c r="L2618">
        <v>16</v>
      </c>
      <c r="M2618">
        <v>0</v>
      </c>
    </row>
    <row r="2619" spans="1:13">
      <c r="A2619">
        <v>2617</v>
      </c>
      <c r="B2619" t="s">
        <v>373</v>
      </c>
      <c r="C2619" t="s">
        <v>82</v>
      </c>
      <c r="D2619" t="s">
        <v>83</v>
      </c>
      <c r="E2619" t="s">
        <v>384</v>
      </c>
      <c r="F2619">
        <v>8192</v>
      </c>
      <c r="G2619">
        <f>MAX(I2615,I2618)</f>
        <v>3538091</v>
      </c>
      <c r="H2619">
        <f>CEILING((dram_access_latency+F2619/dram_bandwidth)*frequency,1)</f>
        <v>228</v>
      </c>
      <c r="I2619">
        <f>G2619+H2619</f>
        <v>3538319</v>
      </c>
      <c r="J2619">
        <f>IF(AND(D2619&lt;&gt;"dram",D2619&lt;&gt;"control"),H2619,0)</f>
        <v>0</v>
      </c>
      <c r="K2619">
        <f>IF(D2619="dram",H2619,0)</f>
        <v>228</v>
      </c>
      <c r="L2619">
        <v>8192</v>
      </c>
      <c r="M2619">
        <v>0</v>
      </c>
    </row>
    <row r="2620" spans="1:13">
      <c r="A2620">
        <v>2618</v>
      </c>
      <c r="B2620" t="s">
        <v>62</v>
      </c>
      <c r="C2620" t="s">
        <v>90</v>
      </c>
      <c r="D2620" t="s">
        <v>108</v>
      </c>
      <c r="E2620" t="s">
        <v>384</v>
      </c>
      <c r="F2620">
        <v>0</v>
      </c>
      <c r="G2620">
        <f>MAX(I2614,I2614,I2616,I2617,I2618,I2619,I2581)</f>
        <v>3542138</v>
      </c>
      <c r="H2620">
        <f>'Operations'!I26</f>
        <v>8452</v>
      </c>
      <c r="I2620">
        <f>G2620+H2620</f>
        <v>3550590</v>
      </c>
      <c r="J2620">
        <f>IF(AND(D2620&lt;&gt;"dram",D2620&lt;&gt;"control"),H2620,0)</f>
        <v>8452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375</v>
      </c>
      <c r="C2621" t="s">
        <v>88</v>
      </c>
      <c r="D2621" t="s">
        <v>89</v>
      </c>
      <c r="E2621" t="s">
        <v>384</v>
      </c>
      <c r="F2621">
        <v>0</v>
      </c>
      <c r="G2621">
        <f>MAX(I2615,I2614)</f>
        <v>3533686</v>
      </c>
      <c r="H2621">
        <f>0</f>
        <v>8452</v>
      </c>
      <c r="I2621">
        <f>G2621+H2621</f>
        <v>3542138</v>
      </c>
      <c r="J2621">
        <f>IF(AND(D2621&lt;&gt;"dram",D2621&lt;&gt;"control"),H2621,0)</f>
        <v>0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370</v>
      </c>
      <c r="C2622" t="s">
        <v>82</v>
      </c>
      <c r="D2622" t="s">
        <v>83</v>
      </c>
      <c r="E2622" t="s">
        <v>385</v>
      </c>
      <c r="F2622">
        <v>512</v>
      </c>
      <c r="G2622">
        <f>MAX(I2621,I2619)</f>
        <v>3542138</v>
      </c>
      <c r="H2622">
        <f>CEILING((dram_access_latency+F2622/dram_bandwidth)*frequency,1)</f>
        <v>108</v>
      </c>
      <c r="I2622">
        <f>G2622+H2622</f>
        <v>3542246</v>
      </c>
      <c r="J2622">
        <f>IF(AND(D2622&lt;&gt;"dram",D2622&lt;&gt;"control"),H2622,0)</f>
        <v>0</v>
      </c>
      <c r="K2622">
        <f>IF(D2622="dram",H2622,0)</f>
        <v>108</v>
      </c>
      <c r="L2622">
        <v>512</v>
      </c>
      <c r="M2622">
        <v>0</v>
      </c>
    </row>
    <row r="2623" spans="1:13">
      <c r="A2623">
        <v>2621</v>
      </c>
      <c r="B2623" t="s">
        <v>371</v>
      </c>
      <c r="C2623" t="s">
        <v>82</v>
      </c>
      <c r="D2623" t="s">
        <v>83</v>
      </c>
      <c r="E2623" t="s">
        <v>385</v>
      </c>
      <c r="F2623">
        <v>262144</v>
      </c>
      <c r="G2623">
        <f>MAX(I2621,I2622)</f>
        <v>3542246</v>
      </c>
      <c r="H2623">
        <f>CEILING((dram_access_latency+F2623/dram_bandwidth)*frequency,1)</f>
        <v>4196</v>
      </c>
      <c r="I2623">
        <f>G2623+H2623</f>
        <v>3546442</v>
      </c>
      <c r="J2623">
        <f>IF(AND(D2623&lt;&gt;"dram",D2623&lt;&gt;"control"),H2623,0)</f>
        <v>0</v>
      </c>
      <c r="K2623">
        <f>IF(D2623="dram",H2623,0)</f>
        <v>4196</v>
      </c>
      <c r="L2623">
        <v>262144</v>
      </c>
      <c r="M2623">
        <v>0</v>
      </c>
    </row>
    <row r="2624" spans="1:13">
      <c r="A2624">
        <v>2622</v>
      </c>
      <c r="B2624" t="s">
        <v>372</v>
      </c>
      <c r="C2624" t="s">
        <v>82</v>
      </c>
      <c r="D2624" t="s">
        <v>83</v>
      </c>
      <c r="E2624" t="s">
        <v>385</v>
      </c>
      <c r="F2624">
        <v>16</v>
      </c>
      <c r="G2624">
        <f>MAX(I2621,I2623)</f>
        <v>3546442</v>
      </c>
      <c r="H2624">
        <f>CEILING((dram_access_latency+F2624/dram_bandwidth)*frequency,1)</f>
        <v>101</v>
      </c>
      <c r="I2624">
        <f>G2624+H2624</f>
        <v>3546543</v>
      </c>
      <c r="J2624">
        <f>IF(AND(D2624&lt;&gt;"dram",D2624&lt;&gt;"control"),H2624,0)</f>
        <v>0</v>
      </c>
      <c r="K2624">
        <f>IF(D2624="dram",H2624,0)</f>
        <v>101</v>
      </c>
      <c r="L2624">
        <v>16</v>
      </c>
      <c r="M2624">
        <v>0</v>
      </c>
    </row>
    <row r="2625" spans="1:13">
      <c r="A2625">
        <v>2623</v>
      </c>
      <c r="B2625" t="s">
        <v>373</v>
      </c>
      <c r="C2625" t="s">
        <v>82</v>
      </c>
      <c r="D2625" t="s">
        <v>83</v>
      </c>
      <c r="E2625" t="s">
        <v>385</v>
      </c>
      <c r="F2625">
        <v>8192</v>
      </c>
      <c r="G2625">
        <f>MAX(I2621,I2624)</f>
        <v>3546543</v>
      </c>
      <c r="H2625">
        <f>CEILING((dram_access_latency+F2625/dram_bandwidth)*frequency,1)</f>
        <v>228</v>
      </c>
      <c r="I2625">
        <f>G2625+H2625</f>
        <v>3546771</v>
      </c>
      <c r="J2625">
        <f>IF(AND(D2625&lt;&gt;"dram",D2625&lt;&gt;"control"),H2625,0)</f>
        <v>0</v>
      </c>
      <c r="K2625">
        <f>IF(D2625="dram",H2625,0)</f>
        <v>228</v>
      </c>
      <c r="L2625">
        <v>8192</v>
      </c>
      <c r="M2625">
        <v>0</v>
      </c>
    </row>
    <row r="2626" spans="1:13">
      <c r="A2626">
        <v>2624</v>
      </c>
      <c r="B2626" t="s">
        <v>62</v>
      </c>
      <c r="C2626" t="s">
        <v>90</v>
      </c>
      <c r="D2626" t="s">
        <v>108</v>
      </c>
      <c r="E2626" t="s">
        <v>385</v>
      </c>
      <c r="F2626">
        <v>0</v>
      </c>
      <c r="G2626">
        <f>MAX(I2620,I2620,I2622,I2623,I2624,I2625,I2581)</f>
        <v>3550590</v>
      </c>
      <c r="H2626">
        <f>'Operations'!I26</f>
        <v>8452</v>
      </c>
      <c r="I2626">
        <f>G2626+H2626</f>
        <v>3559042</v>
      </c>
      <c r="J2626">
        <f>IF(AND(D2626&lt;&gt;"dram",D2626&lt;&gt;"control"),H2626,0)</f>
        <v>8452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375</v>
      </c>
      <c r="C2627" t="s">
        <v>88</v>
      </c>
      <c r="D2627" t="s">
        <v>89</v>
      </c>
      <c r="E2627" t="s">
        <v>385</v>
      </c>
      <c r="F2627">
        <v>0</v>
      </c>
      <c r="G2627">
        <f>MAX(I2621,I2620)</f>
        <v>3542138</v>
      </c>
      <c r="H2627">
        <f>0</f>
        <v>8452</v>
      </c>
      <c r="I2627">
        <f>G2627+H2627</f>
        <v>3550590</v>
      </c>
      <c r="J2627">
        <f>IF(AND(D2627&lt;&gt;"dram",D2627&lt;&gt;"control"),H2627,0)</f>
        <v>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370</v>
      </c>
      <c r="C2628" t="s">
        <v>82</v>
      </c>
      <c r="D2628" t="s">
        <v>83</v>
      </c>
      <c r="E2628" t="s">
        <v>386</v>
      </c>
      <c r="F2628">
        <v>512</v>
      </c>
      <c r="G2628">
        <f>MAX(I2627,I2625)</f>
        <v>3550590</v>
      </c>
      <c r="H2628">
        <f>CEILING((dram_access_latency+F2628/dram_bandwidth)*frequency,1)</f>
        <v>108</v>
      </c>
      <c r="I2628">
        <f>G2628+H2628</f>
        <v>3550698</v>
      </c>
      <c r="J2628">
        <f>IF(AND(D2628&lt;&gt;"dram",D2628&lt;&gt;"control"),H2628,0)</f>
        <v>0</v>
      </c>
      <c r="K2628">
        <f>IF(D2628="dram",H2628,0)</f>
        <v>108</v>
      </c>
      <c r="L2628">
        <v>512</v>
      </c>
      <c r="M2628">
        <v>0</v>
      </c>
    </row>
    <row r="2629" spans="1:13">
      <c r="A2629">
        <v>2627</v>
      </c>
      <c r="B2629" t="s">
        <v>371</v>
      </c>
      <c r="C2629" t="s">
        <v>82</v>
      </c>
      <c r="D2629" t="s">
        <v>83</v>
      </c>
      <c r="E2629" t="s">
        <v>386</v>
      </c>
      <c r="F2629">
        <v>262144</v>
      </c>
      <c r="G2629">
        <f>MAX(I2627,I2628)</f>
        <v>3550698</v>
      </c>
      <c r="H2629">
        <f>CEILING((dram_access_latency+F2629/dram_bandwidth)*frequency,1)</f>
        <v>4196</v>
      </c>
      <c r="I2629">
        <f>G2629+H2629</f>
        <v>3554894</v>
      </c>
      <c r="J2629">
        <f>IF(AND(D2629&lt;&gt;"dram",D2629&lt;&gt;"control"),H2629,0)</f>
        <v>0</v>
      </c>
      <c r="K2629">
        <f>IF(D2629="dram",H2629,0)</f>
        <v>4196</v>
      </c>
      <c r="L2629">
        <v>262144</v>
      </c>
      <c r="M2629">
        <v>0</v>
      </c>
    </row>
    <row r="2630" spans="1:13">
      <c r="A2630">
        <v>2628</v>
      </c>
      <c r="B2630" t="s">
        <v>372</v>
      </c>
      <c r="C2630" t="s">
        <v>82</v>
      </c>
      <c r="D2630" t="s">
        <v>83</v>
      </c>
      <c r="E2630" t="s">
        <v>386</v>
      </c>
      <c r="F2630">
        <v>16</v>
      </c>
      <c r="G2630">
        <f>MAX(I2627,I2629)</f>
        <v>3554894</v>
      </c>
      <c r="H2630">
        <f>CEILING((dram_access_latency+F2630/dram_bandwidth)*frequency,1)</f>
        <v>101</v>
      </c>
      <c r="I2630">
        <f>G2630+H2630</f>
        <v>3554995</v>
      </c>
      <c r="J2630">
        <f>IF(AND(D2630&lt;&gt;"dram",D2630&lt;&gt;"control"),H2630,0)</f>
        <v>0</v>
      </c>
      <c r="K2630">
        <f>IF(D2630="dram",H2630,0)</f>
        <v>101</v>
      </c>
      <c r="L2630">
        <v>16</v>
      </c>
      <c r="M2630">
        <v>0</v>
      </c>
    </row>
    <row r="2631" spans="1:13">
      <c r="A2631">
        <v>2629</v>
      </c>
      <c r="B2631" t="s">
        <v>373</v>
      </c>
      <c r="C2631" t="s">
        <v>82</v>
      </c>
      <c r="D2631" t="s">
        <v>83</v>
      </c>
      <c r="E2631" t="s">
        <v>386</v>
      </c>
      <c r="F2631">
        <v>8192</v>
      </c>
      <c r="G2631">
        <f>MAX(I2627,I2630)</f>
        <v>3554995</v>
      </c>
      <c r="H2631">
        <f>CEILING((dram_access_latency+F2631/dram_bandwidth)*frequency,1)</f>
        <v>228</v>
      </c>
      <c r="I2631">
        <f>G2631+H2631</f>
        <v>3555223</v>
      </c>
      <c r="J2631">
        <f>IF(AND(D2631&lt;&gt;"dram",D2631&lt;&gt;"control"),H2631,0)</f>
        <v>0</v>
      </c>
      <c r="K2631">
        <f>IF(D2631="dram",H2631,0)</f>
        <v>228</v>
      </c>
      <c r="L2631">
        <v>8192</v>
      </c>
      <c r="M2631">
        <v>0</v>
      </c>
    </row>
    <row r="2632" spans="1:13">
      <c r="A2632">
        <v>2630</v>
      </c>
      <c r="B2632" t="s">
        <v>62</v>
      </c>
      <c r="C2632" t="s">
        <v>90</v>
      </c>
      <c r="D2632" t="s">
        <v>108</v>
      </c>
      <c r="E2632" t="s">
        <v>386</v>
      </c>
      <c r="F2632">
        <v>0</v>
      </c>
      <c r="G2632">
        <f>MAX(I2626,I2626,I2628,I2629,I2630,I2631,I2581)</f>
        <v>3559042</v>
      </c>
      <c r="H2632">
        <f>'Operations'!I26</f>
        <v>8452</v>
      </c>
      <c r="I2632">
        <f>G2632+H2632</f>
        <v>3567494</v>
      </c>
      <c r="J2632">
        <f>IF(AND(D2632&lt;&gt;"dram",D2632&lt;&gt;"control"),H2632,0)</f>
        <v>8452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375</v>
      </c>
      <c r="C2633" t="s">
        <v>88</v>
      </c>
      <c r="D2633" t="s">
        <v>89</v>
      </c>
      <c r="E2633" t="s">
        <v>386</v>
      </c>
      <c r="F2633">
        <v>0</v>
      </c>
      <c r="G2633">
        <f>MAX(I2627,I2626)</f>
        <v>3550590</v>
      </c>
      <c r="H2633">
        <f>0</f>
        <v>8452</v>
      </c>
      <c r="I2633">
        <f>G2633+H2633</f>
        <v>3559042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370</v>
      </c>
      <c r="C2634" t="s">
        <v>82</v>
      </c>
      <c r="D2634" t="s">
        <v>83</v>
      </c>
      <c r="E2634" t="s">
        <v>387</v>
      </c>
      <c r="F2634">
        <v>512</v>
      </c>
      <c r="G2634">
        <f>MAX(I2633,I2631)</f>
        <v>3559042</v>
      </c>
      <c r="H2634">
        <f>CEILING((dram_access_latency+F2634/dram_bandwidth)*frequency,1)</f>
        <v>108</v>
      </c>
      <c r="I2634">
        <f>G2634+H2634</f>
        <v>3559150</v>
      </c>
      <c r="J2634">
        <f>IF(AND(D2634&lt;&gt;"dram",D2634&lt;&gt;"control"),H2634,0)</f>
        <v>0</v>
      </c>
      <c r="K2634">
        <f>IF(D2634="dram",H2634,0)</f>
        <v>108</v>
      </c>
      <c r="L2634">
        <v>512</v>
      </c>
      <c r="M2634">
        <v>0</v>
      </c>
    </row>
    <row r="2635" spans="1:13">
      <c r="A2635">
        <v>2633</v>
      </c>
      <c r="B2635" t="s">
        <v>371</v>
      </c>
      <c r="C2635" t="s">
        <v>82</v>
      </c>
      <c r="D2635" t="s">
        <v>83</v>
      </c>
      <c r="E2635" t="s">
        <v>387</v>
      </c>
      <c r="F2635">
        <v>262144</v>
      </c>
      <c r="G2635">
        <f>MAX(I2633,I2634)</f>
        <v>3559150</v>
      </c>
      <c r="H2635">
        <f>CEILING((dram_access_latency+F2635/dram_bandwidth)*frequency,1)</f>
        <v>4196</v>
      </c>
      <c r="I2635">
        <f>G2635+H2635</f>
        <v>3563346</v>
      </c>
      <c r="J2635">
        <f>IF(AND(D2635&lt;&gt;"dram",D2635&lt;&gt;"control"),H2635,0)</f>
        <v>0</v>
      </c>
      <c r="K2635">
        <f>IF(D2635="dram",H2635,0)</f>
        <v>4196</v>
      </c>
      <c r="L2635">
        <v>262144</v>
      </c>
      <c r="M2635">
        <v>0</v>
      </c>
    </row>
    <row r="2636" spans="1:13">
      <c r="A2636">
        <v>2634</v>
      </c>
      <c r="B2636" t="s">
        <v>372</v>
      </c>
      <c r="C2636" t="s">
        <v>82</v>
      </c>
      <c r="D2636" t="s">
        <v>83</v>
      </c>
      <c r="E2636" t="s">
        <v>387</v>
      </c>
      <c r="F2636">
        <v>16</v>
      </c>
      <c r="G2636">
        <f>MAX(I2633,I2635)</f>
        <v>3563346</v>
      </c>
      <c r="H2636">
        <f>CEILING((dram_access_latency+F2636/dram_bandwidth)*frequency,1)</f>
        <v>101</v>
      </c>
      <c r="I2636">
        <f>G2636+H2636</f>
        <v>3563447</v>
      </c>
      <c r="J2636">
        <f>IF(AND(D2636&lt;&gt;"dram",D2636&lt;&gt;"control"),H2636,0)</f>
        <v>0</v>
      </c>
      <c r="K2636">
        <f>IF(D2636="dram",H2636,0)</f>
        <v>101</v>
      </c>
      <c r="L2636">
        <v>16</v>
      </c>
      <c r="M2636">
        <v>0</v>
      </c>
    </row>
    <row r="2637" spans="1:13">
      <c r="A2637">
        <v>2635</v>
      </c>
      <c r="B2637" t="s">
        <v>373</v>
      </c>
      <c r="C2637" t="s">
        <v>82</v>
      </c>
      <c r="D2637" t="s">
        <v>83</v>
      </c>
      <c r="E2637" t="s">
        <v>387</v>
      </c>
      <c r="F2637">
        <v>8192</v>
      </c>
      <c r="G2637">
        <f>MAX(I2633,I2636)</f>
        <v>3563447</v>
      </c>
      <c r="H2637">
        <f>CEILING((dram_access_latency+F2637/dram_bandwidth)*frequency,1)</f>
        <v>228</v>
      </c>
      <c r="I2637">
        <f>G2637+H2637</f>
        <v>3563675</v>
      </c>
      <c r="J2637">
        <f>IF(AND(D2637&lt;&gt;"dram",D2637&lt;&gt;"control"),H2637,0)</f>
        <v>0</v>
      </c>
      <c r="K2637">
        <f>IF(D2637="dram",H2637,0)</f>
        <v>228</v>
      </c>
      <c r="L2637">
        <v>8192</v>
      </c>
      <c r="M2637">
        <v>0</v>
      </c>
    </row>
    <row r="2638" spans="1:13">
      <c r="A2638">
        <v>2636</v>
      </c>
      <c r="B2638" t="s">
        <v>62</v>
      </c>
      <c r="C2638" t="s">
        <v>90</v>
      </c>
      <c r="D2638" t="s">
        <v>108</v>
      </c>
      <c r="E2638" t="s">
        <v>387</v>
      </c>
      <c r="F2638">
        <v>0</v>
      </c>
      <c r="G2638">
        <f>MAX(I2632,I2632,I2634,I2635,I2636,I2637,I2581)</f>
        <v>3567494</v>
      </c>
      <c r="H2638">
        <f>'Operations'!I26</f>
        <v>8452</v>
      </c>
      <c r="I2638">
        <f>G2638+H2638</f>
        <v>3575946</v>
      </c>
      <c r="J2638">
        <f>IF(AND(D2638&lt;&gt;"dram",D2638&lt;&gt;"control"),H2638,0)</f>
        <v>8452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375</v>
      </c>
      <c r="C2639" t="s">
        <v>88</v>
      </c>
      <c r="D2639" t="s">
        <v>89</v>
      </c>
      <c r="E2639" t="s">
        <v>387</v>
      </c>
      <c r="F2639">
        <v>0</v>
      </c>
      <c r="G2639">
        <f>MAX(I2633,I2632)</f>
        <v>3559042</v>
      </c>
      <c r="H2639">
        <f>0</f>
        <v>8452</v>
      </c>
      <c r="I2639">
        <f>G2639+H2639</f>
        <v>3567494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370</v>
      </c>
      <c r="C2640" t="s">
        <v>82</v>
      </c>
      <c r="D2640" t="s">
        <v>83</v>
      </c>
      <c r="E2640" t="s">
        <v>388</v>
      </c>
      <c r="F2640">
        <v>512</v>
      </c>
      <c r="G2640">
        <f>MAX(I2639,I2637)</f>
        <v>3567494</v>
      </c>
      <c r="H2640">
        <f>CEILING((dram_access_latency+F2640/dram_bandwidth)*frequency,1)</f>
        <v>108</v>
      </c>
      <c r="I2640">
        <f>G2640+H2640</f>
        <v>3567602</v>
      </c>
      <c r="J2640">
        <f>IF(AND(D2640&lt;&gt;"dram",D2640&lt;&gt;"control"),H2640,0)</f>
        <v>0</v>
      </c>
      <c r="K2640">
        <f>IF(D2640="dram",H2640,0)</f>
        <v>108</v>
      </c>
      <c r="L2640">
        <v>512</v>
      </c>
      <c r="M2640">
        <v>0</v>
      </c>
    </row>
    <row r="2641" spans="1:13">
      <c r="A2641">
        <v>2639</v>
      </c>
      <c r="B2641" t="s">
        <v>371</v>
      </c>
      <c r="C2641" t="s">
        <v>82</v>
      </c>
      <c r="D2641" t="s">
        <v>83</v>
      </c>
      <c r="E2641" t="s">
        <v>388</v>
      </c>
      <c r="F2641">
        <v>262144</v>
      </c>
      <c r="G2641">
        <f>MAX(I2639,I2640)</f>
        <v>3567602</v>
      </c>
      <c r="H2641">
        <f>CEILING((dram_access_latency+F2641/dram_bandwidth)*frequency,1)</f>
        <v>4196</v>
      </c>
      <c r="I2641">
        <f>G2641+H2641</f>
        <v>3571798</v>
      </c>
      <c r="J2641">
        <f>IF(AND(D2641&lt;&gt;"dram",D2641&lt;&gt;"control"),H2641,0)</f>
        <v>0</v>
      </c>
      <c r="K2641">
        <f>IF(D2641="dram",H2641,0)</f>
        <v>4196</v>
      </c>
      <c r="L2641">
        <v>262144</v>
      </c>
      <c r="M2641">
        <v>0</v>
      </c>
    </row>
    <row r="2642" spans="1:13">
      <c r="A2642">
        <v>2640</v>
      </c>
      <c r="B2642" t="s">
        <v>372</v>
      </c>
      <c r="C2642" t="s">
        <v>82</v>
      </c>
      <c r="D2642" t="s">
        <v>83</v>
      </c>
      <c r="E2642" t="s">
        <v>388</v>
      </c>
      <c r="F2642">
        <v>16</v>
      </c>
      <c r="G2642">
        <f>MAX(I2639,I2641)</f>
        <v>3571798</v>
      </c>
      <c r="H2642">
        <f>CEILING((dram_access_latency+F2642/dram_bandwidth)*frequency,1)</f>
        <v>101</v>
      </c>
      <c r="I2642">
        <f>G2642+H2642</f>
        <v>3571899</v>
      </c>
      <c r="J2642">
        <f>IF(AND(D2642&lt;&gt;"dram",D2642&lt;&gt;"control"),H2642,0)</f>
        <v>0</v>
      </c>
      <c r="K2642">
        <f>IF(D2642="dram",H2642,0)</f>
        <v>101</v>
      </c>
      <c r="L2642">
        <v>16</v>
      </c>
      <c r="M2642">
        <v>0</v>
      </c>
    </row>
    <row r="2643" spans="1:13">
      <c r="A2643">
        <v>2641</v>
      </c>
      <c r="B2643" t="s">
        <v>373</v>
      </c>
      <c r="C2643" t="s">
        <v>82</v>
      </c>
      <c r="D2643" t="s">
        <v>83</v>
      </c>
      <c r="E2643" t="s">
        <v>388</v>
      </c>
      <c r="F2643">
        <v>8192</v>
      </c>
      <c r="G2643">
        <f>MAX(I2639,I2642)</f>
        <v>3571899</v>
      </c>
      <c r="H2643">
        <f>CEILING((dram_access_latency+F2643/dram_bandwidth)*frequency,1)</f>
        <v>228</v>
      </c>
      <c r="I2643">
        <f>G2643+H2643</f>
        <v>3572127</v>
      </c>
      <c r="J2643">
        <f>IF(AND(D2643&lt;&gt;"dram",D2643&lt;&gt;"control"),H2643,0)</f>
        <v>0</v>
      </c>
      <c r="K2643">
        <f>IF(D2643="dram",H2643,0)</f>
        <v>228</v>
      </c>
      <c r="L2643">
        <v>8192</v>
      </c>
      <c r="M2643">
        <v>0</v>
      </c>
    </row>
    <row r="2644" spans="1:13">
      <c r="A2644">
        <v>2642</v>
      </c>
      <c r="B2644" t="s">
        <v>62</v>
      </c>
      <c r="C2644" t="s">
        <v>90</v>
      </c>
      <c r="D2644" t="s">
        <v>108</v>
      </c>
      <c r="E2644" t="s">
        <v>388</v>
      </c>
      <c r="F2644">
        <v>0</v>
      </c>
      <c r="G2644">
        <f>MAX(I2638,I2638,I2640,I2641,I2642,I2643,I2581)</f>
        <v>3575946</v>
      </c>
      <c r="H2644">
        <f>'Operations'!I26</f>
        <v>8452</v>
      </c>
      <c r="I2644">
        <f>G2644+H2644</f>
        <v>3584398</v>
      </c>
      <c r="J2644">
        <f>IF(AND(D2644&lt;&gt;"dram",D2644&lt;&gt;"control"),H2644,0)</f>
        <v>8452</v>
      </c>
      <c r="K2644">
        <f>IF(D2644="dram",H2644,0)</f>
        <v>0</v>
      </c>
      <c r="L2644">
        <v>0</v>
      </c>
      <c r="M2644">
        <v>0</v>
      </c>
    </row>
    <row r="2645" spans="1:13">
      <c r="A2645">
        <v>2643</v>
      </c>
      <c r="B2645" t="s">
        <v>375</v>
      </c>
      <c r="C2645" t="s">
        <v>88</v>
      </c>
      <c r="D2645" t="s">
        <v>89</v>
      </c>
      <c r="E2645" t="s">
        <v>388</v>
      </c>
      <c r="F2645">
        <v>0</v>
      </c>
      <c r="G2645">
        <f>MAX(I2639,I2638)</f>
        <v>3567494</v>
      </c>
      <c r="H2645">
        <f>0</f>
        <v>8452</v>
      </c>
      <c r="I2645">
        <f>G2645+H2645</f>
        <v>3575946</v>
      </c>
      <c r="J2645">
        <f>IF(AND(D2645&lt;&gt;"dram",D2645&lt;&gt;"control"),H2645,0)</f>
        <v>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370</v>
      </c>
      <c r="C2646" t="s">
        <v>82</v>
      </c>
      <c r="D2646" t="s">
        <v>83</v>
      </c>
      <c r="E2646" t="s">
        <v>389</v>
      </c>
      <c r="F2646">
        <v>512</v>
      </c>
      <c r="G2646">
        <f>MAX(I2645,I2643)</f>
        <v>3575946</v>
      </c>
      <c r="H2646">
        <f>CEILING((dram_access_latency+F2646/dram_bandwidth)*frequency,1)</f>
        <v>108</v>
      </c>
      <c r="I2646">
        <f>G2646+H2646</f>
        <v>3576054</v>
      </c>
      <c r="J2646">
        <f>IF(AND(D2646&lt;&gt;"dram",D2646&lt;&gt;"control"),H2646,0)</f>
        <v>0</v>
      </c>
      <c r="K2646">
        <f>IF(D2646="dram",H2646,0)</f>
        <v>108</v>
      </c>
      <c r="L2646">
        <v>512</v>
      </c>
      <c r="M2646">
        <v>0</v>
      </c>
    </row>
    <row r="2647" spans="1:13">
      <c r="A2647">
        <v>2645</v>
      </c>
      <c r="B2647" t="s">
        <v>371</v>
      </c>
      <c r="C2647" t="s">
        <v>82</v>
      </c>
      <c r="D2647" t="s">
        <v>83</v>
      </c>
      <c r="E2647" t="s">
        <v>389</v>
      </c>
      <c r="F2647">
        <v>262144</v>
      </c>
      <c r="G2647">
        <f>MAX(I2645,I2646)</f>
        <v>3576054</v>
      </c>
      <c r="H2647">
        <f>CEILING((dram_access_latency+F2647/dram_bandwidth)*frequency,1)</f>
        <v>4196</v>
      </c>
      <c r="I2647">
        <f>G2647+H2647</f>
        <v>3580250</v>
      </c>
      <c r="J2647">
        <f>IF(AND(D2647&lt;&gt;"dram",D2647&lt;&gt;"control"),H2647,0)</f>
        <v>0</v>
      </c>
      <c r="K2647">
        <f>IF(D2647="dram",H2647,0)</f>
        <v>4196</v>
      </c>
      <c r="L2647">
        <v>262144</v>
      </c>
      <c r="M2647">
        <v>0</v>
      </c>
    </row>
    <row r="2648" spans="1:13">
      <c r="A2648">
        <v>2646</v>
      </c>
      <c r="B2648" t="s">
        <v>372</v>
      </c>
      <c r="C2648" t="s">
        <v>82</v>
      </c>
      <c r="D2648" t="s">
        <v>83</v>
      </c>
      <c r="E2648" t="s">
        <v>389</v>
      </c>
      <c r="F2648">
        <v>16</v>
      </c>
      <c r="G2648">
        <f>MAX(I2645,I2647)</f>
        <v>3580250</v>
      </c>
      <c r="H2648">
        <f>CEILING((dram_access_latency+F2648/dram_bandwidth)*frequency,1)</f>
        <v>101</v>
      </c>
      <c r="I2648">
        <f>G2648+H2648</f>
        <v>3580351</v>
      </c>
      <c r="J2648">
        <f>IF(AND(D2648&lt;&gt;"dram",D2648&lt;&gt;"control"),H2648,0)</f>
        <v>0</v>
      </c>
      <c r="K2648">
        <f>IF(D2648="dram",H2648,0)</f>
        <v>101</v>
      </c>
      <c r="L2648">
        <v>16</v>
      </c>
      <c r="M2648">
        <v>0</v>
      </c>
    </row>
    <row r="2649" spans="1:13">
      <c r="A2649">
        <v>2647</v>
      </c>
      <c r="B2649" t="s">
        <v>373</v>
      </c>
      <c r="C2649" t="s">
        <v>82</v>
      </c>
      <c r="D2649" t="s">
        <v>83</v>
      </c>
      <c r="E2649" t="s">
        <v>389</v>
      </c>
      <c r="F2649">
        <v>8192</v>
      </c>
      <c r="G2649">
        <f>MAX(I2645,I2648)</f>
        <v>3580351</v>
      </c>
      <c r="H2649">
        <f>CEILING((dram_access_latency+F2649/dram_bandwidth)*frequency,1)</f>
        <v>228</v>
      </c>
      <c r="I2649">
        <f>G2649+H2649</f>
        <v>3580579</v>
      </c>
      <c r="J2649">
        <f>IF(AND(D2649&lt;&gt;"dram",D2649&lt;&gt;"control"),H2649,0)</f>
        <v>0</v>
      </c>
      <c r="K2649">
        <f>IF(D2649="dram",H2649,0)</f>
        <v>228</v>
      </c>
      <c r="L2649">
        <v>8192</v>
      </c>
      <c r="M2649">
        <v>0</v>
      </c>
    </row>
    <row r="2650" spans="1:13">
      <c r="A2650">
        <v>2648</v>
      </c>
      <c r="B2650" t="s">
        <v>62</v>
      </c>
      <c r="C2650" t="s">
        <v>90</v>
      </c>
      <c r="D2650" t="s">
        <v>108</v>
      </c>
      <c r="E2650" t="s">
        <v>389</v>
      </c>
      <c r="F2650">
        <v>0</v>
      </c>
      <c r="G2650">
        <f>MAX(I2644,I2644,I2646,I2647,I2648,I2649,I2581)</f>
        <v>3584398</v>
      </c>
      <c r="H2650">
        <f>'Operations'!I26</f>
        <v>8452</v>
      </c>
      <c r="I2650">
        <f>G2650+H2650</f>
        <v>3592850</v>
      </c>
      <c r="J2650">
        <f>IF(AND(D2650&lt;&gt;"dram",D2650&lt;&gt;"control"),H2650,0)</f>
        <v>8452</v>
      </c>
      <c r="K2650">
        <f>IF(D2650="dram",H2650,0)</f>
        <v>0</v>
      </c>
      <c r="L2650">
        <v>0</v>
      </c>
      <c r="M2650">
        <v>0</v>
      </c>
    </row>
    <row r="2651" spans="1:13">
      <c r="A2651">
        <v>2649</v>
      </c>
      <c r="B2651" t="s">
        <v>375</v>
      </c>
      <c r="C2651" t="s">
        <v>88</v>
      </c>
      <c r="D2651" t="s">
        <v>89</v>
      </c>
      <c r="E2651" t="s">
        <v>389</v>
      </c>
      <c r="F2651">
        <v>0</v>
      </c>
      <c r="G2651">
        <f>MAX(I2645,I2644)</f>
        <v>3575946</v>
      </c>
      <c r="H2651">
        <f>0</f>
        <v>8452</v>
      </c>
      <c r="I2651">
        <f>G2651+H2651</f>
        <v>3584398</v>
      </c>
      <c r="J2651">
        <f>IF(AND(D2651&lt;&gt;"dram",D2651&lt;&gt;"control"),H2651,0)</f>
        <v>0</v>
      </c>
      <c r="K2651">
        <f>IF(D2651="dram",H2651,0)</f>
        <v>0</v>
      </c>
      <c r="L2651">
        <v>0</v>
      </c>
      <c r="M2651">
        <v>0</v>
      </c>
    </row>
    <row r="2652" spans="1:13">
      <c r="A2652">
        <v>2650</v>
      </c>
      <c r="B2652" t="s">
        <v>370</v>
      </c>
      <c r="C2652" t="s">
        <v>82</v>
      </c>
      <c r="D2652" t="s">
        <v>83</v>
      </c>
      <c r="E2652" t="s">
        <v>390</v>
      </c>
      <c r="F2652">
        <v>512</v>
      </c>
      <c r="G2652">
        <f>MAX(I2651,I2649)</f>
        <v>3584398</v>
      </c>
      <c r="H2652">
        <f>CEILING((dram_access_latency+F2652/dram_bandwidth)*frequency,1)</f>
        <v>108</v>
      </c>
      <c r="I2652">
        <f>G2652+H2652</f>
        <v>3584506</v>
      </c>
      <c r="J2652">
        <f>IF(AND(D2652&lt;&gt;"dram",D2652&lt;&gt;"control"),H2652,0)</f>
        <v>0</v>
      </c>
      <c r="K2652">
        <f>IF(D2652="dram",H2652,0)</f>
        <v>108</v>
      </c>
      <c r="L2652">
        <v>512</v>
      </c>
      <c r="M2652">
        <v>0</v>
      </c>
    </row>
    <row r="2653" spans="1:13">
      <c r="A2653">
        <v>2651</v>
      </c>
      <c r="B2653" t="s">
        <v>371</v>
      </c>
      <c r="C2653" t="s">
        <v>82</v>
      </c>
      <c r="D2653" t="s">
        <v>83</v>
      </c>
      <c r="E2653" t="s">
        <v>390</v>
      </c>
      <c r="F2653">
        <v>262144</v>
      </c>
      <c r="G2653">
        <f>MAX(I2651,I2652)</f>
        <v>3584506</v>
      </c>
      <c r="H2653">
        <f>CEILING((dram_access_latency+F2653/dram_bandwidth)*frequency,1)</f>
        <v>4196</v>
      </c>
      <c r="I2653">
        <f>G2653+H2653</f>
        <v>3588702</v>
      </c>
      <c r="J2653">
        <f>IF(AND(D2653&lt;&gt;"dram",D2653&lt;&gt;"control"),H2653,0)</f>
        <v>0</v>
      </c>
      <c r="K2653">
        <f>IF(D2653="dram",H2653,0)</f>
        <v>4196</v>
      </c>
      <c r="L2653">
        <v>262144</v>
      </c>
      <c r="M2653">
        <v>0</v>
      </c>
    </row>
    <row r="2654" spans="1:13">
      <c r="A2654">
        <v>2652</v>
      </c>
      <c r="B2654" t="s">
        <v>372</v>
      </c>
      <c r="C2654" t="s">
        <v>82</v>
      </c>
      <c r="D2654" t="s">
        <v>83</v>
      </c>
      <c r="E2654" t="s">
        <v>390</v>
      </c>
      <c r="F2654">
        <v>16</v>
      </c>
      <c r="G2654">
        <f>MAX(I2651,I2653)</f>
        <v>3588702</v>
      </c>
      <c r="H2654">
        <f>CEILING((dram_access_latency+F2654/dram_bandwidth)*frequency,1)</f>
        <v>101</v>
      </c>
      <c r="I2654">
        <f>G2654+H2654</f>
        <v>3588803</v>
      </c>
      <c r="J2654">
        <f>IF(AND(D2654&lt;&gt;"dram",D2654&lt;&gt;"control"),H2654,0)</f>
        <v>0</v>
      </c>
      <c r="K2654">
        <f>IF(D2654="dram",H2654,0)</f>
        <v>101</v>
      </c>
      <c r="L2654">
        <v>16</v>
      </c>
      <c r="M2654">
        <v>0</v>
      </c>
    </row>
    <row r="2655" spans="1:13">
      <c r="A2655">
        <v>2653</v>
      </c>
      <c r="B2655" t="s">
        <v>373</v>
      </c>
      <c r="C2655" t="s">
        <v>82</v>
      </c>
      <c r="D2655" t="s">
        <v>83</v>
      </c>
      <c r="E2655" t="s">
        <v>390</v>
      </c>
      <c r="F2655">
        <v>8192</v>
      </c>
      <c r="G2655">
        <f>MAX(I2651,I2654)</f>
        <v>3588803</v>
      </c>
      <c r="H2655">
        <f>CEILING((dram_access_latency+F2655/dram_bandwidth)*frequency,1)</f>
        <v>228</v>
      </c>
      <c r="I2655">
        <f>G2655+H2655</f>
        <v>3589031</v>
      </c>
      <c r="J2655">
        <f>IF(AND(D2655&lt;&gt;"dram",D2655&lt;&gt;"control"),H2655,0)</f>
        <v>0</v>
      </c>
      <c r="K2655">
        <f>IF(D2655="dram",H2655,0)</f>
        <v>228</v>
      </c>
      <c r="L2655">
        <v>8192</v>
      </c>
      <c r="M2655">
        <v>0</v>
      </c>
    </row>
    <row r="2656" spans="1:13">
      <c r="A2656">
        <v>2654</v>
      </c>
      <c r="B2656" t="s">
        <v>62</v>
      </c>
      <c r="C2656" t="s">
        <v>90</v>
      </c>
      <c r="D2656" t="s">
        <v>108</v>
      </c>
      <c r="E2656" t="s">
        <v>390</v>
      </c>
      <c r="F2656">
        <v>0</v>
      </c>
      <c r="G2656">
        <f>MAX(I2650,I2650,I2652,I2653,I2654,I2655,I2581)</f>
        <v>3592850</v>
      </c>
      <c r="H2656">
        <f>'Operations'!I26</f>
        <v>8452</v>
      </c>
      <c r="I2656">
        <f>G2656+H2656</f>
        <v>3601302</v>
      </c>
      <c r="J2656">
        <f>IF(AND(D2656&lt;&gt;"dram",D2656&lt;&gt;"control"),H2656,0)</f>
        <v>8452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375</v>
      </c>
      <c r="C2657" t="s">
        <v>88</v>
      </c>
      <c r="D2657" t="s">
        <v>89</v>
      </c>
      <c r="E2657" t="s">
        <v>390</v>
      </c>
      <c r="F2657">
        <v>0</v>
      </c>
      <c r="G2657">
        <f>MAX(I2651,I2650)</f>
        <v>3584398</v>
      </c>
      <c r="H2657">
        <f>0</f>
        <v>8452</v>
      </c>
      <c r="I2657">
        <f>G2657+H2657</f>
        <v>3592850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370</v>
      </c>
      <c r="C2658" t="s">
        <v>82</v>
      </c>
      <c r="D2658" t="s">
        <v>83</v>
      </c>
      <c r="E2658" t="s">
        <v>391</v>
      </c>
      <c r="F2658">
        <v>512</v>
      </c>
      <c r="G2658">
        <f>MAX(I2657,I2655)</f>
        <v>3592850</v>
      </c>
      <c r="H2658">
        <f>CEILING((dram_access_latency+F2658/dram_bandwidth)*frequency,1)</f>
        <v>108</v>
      </c>
      <c r="I2658">
        <f>G2658+H2658</f>
        <v>3592958</v>
      </c>
      <c r="J2658">
        <f>IF(AND(D2658&lt;&gt;"dram",D2658&lt;&gt;"control"),H2658,0)</f>
        <v>0</v>
      </c>
      <c r="K2658">
        <f>IF(D2658="dram",H2658,0)</f>
        <v>108</v>
      </c>
      <c r="L2658">
        <v>512</v>
      </c>
      <c r="M2658">
        <v>0</v>
      </c>
    </row>
    <row r="2659" spans="1:13">
      <c r="A2659">
        <v>2657</v>
      </c>
      <c r="B2659" t="s">
        <v>371</v>
      </c>
      <c r="C2659" t="s">
        <v>82</v>
      </c>
      <c r="D2659" t="s">
        <v>83</v>
      </c>
      <c r="E2659" t="s">
        <v>391</v>
      </c>
      <c r="F2659">
        <v>262144</v>
      </c>
      <c r="G2659">
        <f>MAX(I2657,I2658)</f>
        <v>3592958</v>
      </c>
      <c r="H2659">
        <f>CEILING((dram_access_latency+F2659/dram_bandwidth)*frequency,1)</f>
        <v>4196</v>
      </c>
      <c r="I2659">
        <f>G2659+H2659</f>
        <v>3597154</v>
      </c>
      <c r="J2659">
        <f>IF(AND(D2659&lt;&gt;"dram",D2659&lt;&gt;"control"),H2659,0)</f>
        <v>0</v>
      </c>
      <c r="K2659">
        <f>IF(D2659="dram",H2659,0)</f>
        <v>4196</v>
      </c>
      <c r="L2659">
        <v>262144</v>
      </c>
      <c r="M2659">
        <v>0</v>
      </c>
    </row>
    <row r="2660" spans="1:13">
      <c r="A2660">
        <v>2658</v>
      </c>
      <c r="B2660" t="s">
        <v>372</v>
      </c>
      <c r="C2660" t="s">
        <v>82</v>
      </c>
      <c r="D2660" t="s">
        <v>83</v>
      </c>
      <c r="E2660" t="s">
        <v>391</v>
      </c>
      <c r="F2660">
        <v>16</v>
      </c>
      <c r="G2660">
        <f>MAX(I2657,I2659)</f>
        <v>3597154</v>
      </c>
      <c r="H2660">
        <f>CEILING((dram_access_latency+F2660/dram_bandwidth)*frequency,1)</f>
        <v>101</v>
      </c>
      <c r="I2660">
        <f>G2660+H2660</f>
        <v>3597255</v>
      </c>
      <c r="J2660">
        <f>IF(AND(D2660&lt;&gt;"dram",D2660&lt;&gt;"control"),H2660,0)</f>
        <v>0</v>
      </c>
      <c r="K2660">
        <f>IF(D2660="dram",H2660,0)</f>
        <v>101</v>
      </c>
      <c r="L2660">
        <v>16</v>
      </c>
      <c r="M2660">
        <v>0</v>
      </c>
    </row>
    <row r="2661" spans="1:13">
      <c r="A2661">
        <v>2659</v>
      </c>
      <c r="B2661" t="s">
        <v>373</v>
      </c>
      <c r="C2661" t="s">
        <v>82</v>
      </c>
      <c r="D2661" t="s">
        <v>83</v>
      </c>
      <c r="E2661" t="s">
        <v>391</v>
      </c>
      <c r="F2661">
        <v>8192</v>
      </c>
      <c r="G2661">
        <f>MAX(I2657,I2660)</f>
        <v>3597255</v>
      </c>
      <c r="H2661">
        <f>CEILING((dram_access_latency+F2661/dram_bandwidth)*frequency,1)</f>
        <v>228</v>
      </c>
      <c r="I2661">
        <f>G2661+H2661</f>
        <v>3597483</v>
      </c>
      <c r="J2661">
        <f>IF(AND(D2661&lt;&gt;"dram",D2661&lt;&gt;"control"),H2661,0)</f>
        <v>0</v>
      </c>
      <c r="K2661">
        <f>IF(D2661="dram",H2661,0)</f>
        <v>228</v>
      </c>
      <c r="L2661">
        <v>8192</v>
      </c>
      <c r="M2661">
        <v>0</v>
      </c>
    </row>
    <row r="2662" spans="1:13">
      <c r="A2662">
        <v>2660</v>
      </c>
      <c r="B2662" t="s">
        <v>62</v>
      </c>
      <c r="C2662" t="s">
        <v>90</v>
      </c>
      <c r="D2662" t="s">
        <v>108</v>
      </c>
      <c r="E2662" t="s">
        <v>391</v>
      </c>
      <c r="F2662">
        <v>0</v>
      </c>
      <c r="G2662">
        <f>MAX(I2656,I2656,I2658,I2659,I2660,I2661,I2581)</f>
        <v>3601302</v>
      </c>
      <c r="H2662">
        <f>'Operations'!I26</f>
        <v>8452</v>
      </c>
      <c r="I2662">
        <f>G2662+H2662</f>
        <v>3609754</v>
      </c>
      <c r="J2662">
        <f>IF(AND(D2662&lt;&gt;"dram",D2662&lt;&gt;"control"),H2662,0)</f>
        <v>8452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375</v>
      </c>
      <c r="C2663" t="s">
        <v>88</v>
      </c>
      <c r="D2663" t="s">
        <v>89</v>
      </c>
      <c r="E2663" t="s">
        <v>391</v>
      </c>
      <c r="F2663">
        <v>0</v>
      </c>
      <c r="G2663">
        <f>MAX(I2657,I2656)</f>
        <v>3592850</v>
      </c>
      <c r="H2663">
        <f>0</f>
        <v>8452</v>
      </c>
      <c r="I2663">
        <f>G2663+H2663</f>
        <v>3601302</v>
      </c>
      <c r="J2663">
        <f>IF(AND(D2663&lt;&gt;"dram",D2663&lt;&gt;"control"),H2663,0)</f>
        <v>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370</v>
      </c>
      <c r="C2664" t="s">
        <v>82</v>
      </c>
      <c r="D2664" t="s">
        <v>83</v>
      </c>
      <c r="E2664" t="s">
        <v>392</v>
      </c>
      <c r="F2664">
        <v>512</v>
      </c>
      <c r="G2664">
        <f>MAX(I2663,I2661)</f>
        <v>3601302</v>
      </c>
      <c r="H2664">
        <f>CEILING((dram_access_latency+F2664/dram_bandwidth)*frequency,1)</f>
        <v>108</v>
      </c>
      <c r="I2664">
        <f>G2664+H2664</f>
        <v>3601410</v>
      </c>
      <c r="J2664">
        <f>IF(AND(D2664&lt;&gt;"dram",D2664&lt;&gt;"control"),H2664,0)</f>
        <v>0</v>
      </c>
      <c r="K2664">
        <f>IF(D2664="dram",H2664,0)</f>
        <v>108</v>
      </c>
      <c r="L2664">
        <v>512</v>
      </c>
      <c r="M2664">
        <v>0</v>
      </c>
    </row>
    <row r="2665" spans="1:13">
      <c r="A2665">
        <v>2663</v>
      </c>
      <c r="B2665" t="s">
        <v>371</v>
      </c>
      <c r="C2665" t="s">
        <v>82</v>
      </c>
      <c r="D2665" t="s">
        <v>83</v>
      </c>
      <c r="E2665" t="s">
        <v>392</v>
      </c>
      <c r="F2665">
        <v>262144</v>
      </c>
      <c r="G2665">
        <f>MAX(I2663,I2664)</f>
        <v>3601410</v>
      </c>
      <c r="H2665">
        <f>CEILING((dram_access_latency+F2665/dram_bandwidth)*frequency,1)</f>
        <v>4196</v>
      </c>
      <c r="I2665">
        <f>G2665+H2665</f>
        <v>3605606</v>
      </c>
      <c r="J2665">
        <f>IF(AND(D2665&lt;&gt;"dram",D2665&lt;&gt;"control"),H2665,0)</f>
        <v>0</v>
      </c>
      <c r="K2665">
        <f>IF(D2665="dram",H2665,0)</f>
        <v>4196</v>
      </c>
      <c r="L2665">
        <v>262144</v>
      </c>
      <c r="M2665">
        <v>0</v>
      </c>
    </row>
    <row r="2666" spans="1:13">
      <c r="A2666">
        <v>2664</v>
      </c>
      <c r="B2666" t="s">
        <v>372</v>
      </c>
      <c r="C2666" t="s">
        <v>82</v>
      </c>
      <c r="D2666" t="s">
        <v>83</v>
      </c>
      <c r="E2666" t="s">
        <v>392</v>
      </c>
      <c r="F2666">
        <v>16</v>
      </c>
      <c r="G2666">
        <f>MAX(I2663,I2665)</f>
        <v>3605606</v>
      </c>
      <c r="H2666">
        <f>CEILING((dram_access_latency+F2666/dram_bandwidth)*frequency,1)</f>
        <v>101</v>
      </c>
      <c r="I2666">
        <f>G2666+H2666</f>
        <v>3605707</v>
      </c>
      <c r="J2666">
        <f>IF(AND(D2666&lt;&gt;"dram",D2666&lt;&gt;"control"),H2666,0)</f>
        <v>0</v>
      </c>
      <c r="K2666">
        <f>IF(D2666="dram",H2666,0)</f>
        <v>101</v>
      </c>
      <c r="L2666">
        <v>16</v>
      </c>
      <c r="M2666">
        <v>0</v>
      </c>
    </row>
    <row r="2667" spans="1:13">
      <c r="A2667">
        <v>2665</v>
      </c>
      <c r="B2667" t="s">
        <v>373</v>
      </c>
      <c r="C2667" t="s">
        <v>82</v>
      </c>
      <c r="D2667" t="s">
        <v>83</v>
      </c>
      <c r="E2667" t="s">
        <v>392</v>
      </c>
      <c r="F2667">
        <v>8192</v>
      </c>
      <c r="G2667">
        <f>MAX(I2663,I2666)</f>
        <v>3605707</v>
      </c>
      <c r="H2667">
        <f>CEILING((dram_access_latency+F2667/dram_bandwidth)*frequency,1)</f>
        <v>228</v>
      </c>
      <c r="I2667">
        <f>G2667+H2667</f>
        <v>3605935</v>
      </c>
      <c r="J2667">
        <f>IF(AND(D2667&lt;&gt;"dram",D2667&lt;&gt;"control"),H2667,0)</f>
        <v>0</v>
      </c>
      <c r="K2667">
        <f>IF(D2667="dram",H2667,0)</f>
        <v>228</v>
      </c>
      <c r="L2667">
        <v>8192</v>
      </c>
      <c r="M2667">
        <v>0</v>
      </c>
    </row>
    <row r="2668" spans="1:13">
      <c r="A2668">
        <v>2666</v>
      </c>
      <c r="B2668" t="s">
        <v>62</v>
      </c>
      <c r="C2668" t="s">
        <v>90</v>
      </c>
      <c r="D2668" t="s">
        <v>108</v>
      </c>
      <c r="E2668" t="s">
        <v>392</v>
      </c>
      <c r="F2668">
        <v>0</v>
      </c>
      <c r="G2668">
        <f>MAX(I2662,I2662,I2664,I2665,I2666,I2667,I2581)</f>
        <v>3609754</v>
      </c>
      <c r="H2668">
        <f>'Operations'!I26</f>
        <v>8452</v>
      </c>
      <c r="I2668">
        <f>G2668+H2668</f>
        <v>3618206</v>
      </c>
      <c r="J2668">
        <f>IF(AND(D2668&lt;&gt;"dram",D2668&lt;&gt;"control"),H2668,0)</f>
        <v>8452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375</v>
      </c>
      <c r="C2669" t="s">
        <v>88</v>
      </c>
      <c r="D2669" t="s">
        <v>89</v>
      </c>
      <c r="E2669" t="s">
        <v>392</v>
      </c>
      <c r="F2669">
        <v>0</v>
      </c>
      <c r="G2669">
        <f>MAX(I2663,I2662)</f>
        <v>3601302</v>
      </c>
      <c r="H2669">
        <f>0</f>
        <v>8452</v>
      </c>
      <c r="I2669">
        <f>G2669+H2669</f>
        <v>3609754</v>
      </c>
      <c r="J2669">
        <f>IF(AND(D2669&lt;&gt;"dram",D2669&lt;&gt;"control"),H2669,0)</f>
        <v>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370</v>
      </c>
      <c r="C2670" t="s">
        <v>82</v>
      </c>
      <c r="D2670" t="s">
        <v>83</v>
      </c>
      <c r="E2670" t="s">
        <v>393</v>
      </c>
      <c r="F2670">
        <v>512</v>
      </c>
      <c r="G2670">
        <f>MAX(I2669,I2667)</f>
        <v>3609754</v>
      </c>
      <c r="H2670">
        <f>CEILING((dram_access_latency+F2670/dram_bandwidth)*frequency,1)</f>
        <v>108</v>
      </c>
      <c r="I2670">
        <f>G2670+H2670</f>
        <v>3609862</v>
      </c>
      <c r="J2670">
        <f>IF(AND(D2670&lt;&gt;"dram",D2670&lt;&gt;"control"),H2670,0)</f>
        <v>0</v>
      </c>
      <c r="K2670">
        <f>IF(D2670="dram",H2670,0)</f>
        <v>108</v>
      </c>
      <c r="L2670">
        <v>512</v>
      </c>
      <c r="M2670">
        <v>0</v>
      </c>
    </row>
    <row r="2671" spans="1:13">
      <c r="A2671">
        <v>2669</v>
      </c>
      <c r="B2671" t="s">
        <v>371</v>
      </c>
      <c r="C2671" t="s">
        <v>82</v>
      </c>
      <c r="D2671" t="s">
        <v>83</v>
      </c>
      <c r="E2671" t="s">
        <v>393</v>
      </c>
      <c r="F2671">
        <v>262144</v>
      </c>
      <c r="G2671">
        <f>MAX(I2669,I2670)</f>
        <v>3609862</v>
      </c>
      <c r="H2671">
        <f>CEILING((dram_access_latency+F2671/dram_bandwidth)*frequency,1)</f>
        <v>4196</v>
      </c>
      <c r="I2671">
        <f>G2671+H2671</f>
        <v>3614058</v>
      </c>
      <c r="J2671">
        <f>IF(AND(D2671&lt;&gt;"dram",D2671&lt;&gt;"control"),H2671,0)</f>
        <v>0</v>
      </c>
      <c r="K2671">
        <f>IF(D2671="dram",H2671,0)</f>
        <v>4196</v>
      </c>
      <c r="L2671">
        <v>262144</v>
      </c>
      <c r="M2671">
        <v>0</v>
      </c>
    </row>
    <row r="2672" spans="1:13">
      <c r="A2672">
        <v>2670</v>
      </c>
      <c r="B2672" t="s">
        <v>372</v>
      </c>
      <c r="C2672" t="s">
        <v>82</v>
      </c>
      <c r="D2672" t="s">
        <v>83</v>
      </c>
      <c r="E2672" t="s">
        <v>393</v>
      </c>
      <c r="F2672">
        <v>16</v>
      </c>
      <c r="G2672">
        <f>MAX(I2669,I2671)</f>
        <v>3614058</v>
      </c>
      <c r="H2672">
        <f>CEILING((dram_access_latency+F2672/dram_bandwidth)*frequency,1)</f>
        <v>101</v>
      </c>
      <c r="I2672">
        <f>G2672+H2672</f>
        <v>3614159</v>
      </c>
      <c r="J2672">
        <f>IF(AND(D2672&lt;&gt;"dram",D2672&lt;&gt;"control"),H2672,0)</f>
        <v>0</v>
      </c>
      <c r="K2672">
        <f>IF(D2672="dram",H2672,0)</f>
        <v>101</v>
      </c>
      <c r="L2672">
        <v>16</v>
      </c>
      <c r="M2672">
        <v>0</v>
      </c>
    </row>
    <row r="2673" spans="1:13">
      <c r="A2673">
        <v>2671</v>
      </c>
      <c r="B2673" t="s">
        <v>373</v>
      </c>
      <c r="C2673" t="s">
        <v>82</v>
      </c>
      <c r="D2673" t="s">
        <v>83</v>
      </c>
      <c r="E2673" t="s">
        <v>393</v>
      </c>
      <c r="F2673">
        <v>8192</v>
      </c>
      <c r="G2673">
        <f>MAX(I2669,I2672)</f>
        <v>3614159</v>
      </c>
      <c r="H2673">
        <f>CEILING((dram_access_latency+F2673/dram_bandwidth)*frequency,1)</f>
        <v>228</v>
      </c>
      <c r="I2673">
        <f>G2673+H2673</f>
        <v>3614387</v>
      </c>
      <c r="J2673">
        <f>IF(AND(D2673&lt;&gt;"dram",D2673&lt;&gt;"control"),H2673,0)</f>
        <v>0</v>
      </c>
      <c r="K2673">
        <f>IF(D2673="dram",H2673,0)</f>
        <v>228</v>
      </c>
      <c r="L2673">
        <v>8192</v>
      </c>
      <c r="M2673">
        <v>0</v>
      </c>
    </row>
    <row r="2674" spans="1:13">
      <c r="A2674">
        <v>2672</v>
      </c>
      <c r="B2674" t="s">
        <v>62</v>
      </c>
      <c r="C2674" t="s">
        <v>90</v>
      </c>
      <c r="D2674" t="s">
        <v>108</v>
      </c>
      <c r="E2674" t="s">
        <v>393</v>
      </c>
      <c r="F2674">
        <v>0</v>
      </c>
      <c r="G2674">
        <f>MAX(I2668,I2668,I2670,I2671,I2672,I2673,I2581)</f>
        <v>3618206</v>
      </c>
      <c r="H2674">
        <f>'Operations'!I26</f>
        <v>8452</v>
      </c>
      <c r="I2674">
        <f>G2674+H2674</f>
        <v>3626658</v>
      </c>
      <c r="J2674">
        <f>IF(AND(D2674&lt;&gt;"dram",D2674&lt;&gt;"control"),H2674,0)</f>
        <v>8452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375</v>
      </c>
      <c r="C2675" t="s">
        <v>88</v>
      </c>
      <c r="D2675" t="s">
        <v>89</v>
      </c>
      <c r="E2675" t="s">
        <v>393</v>
      </c>
      <c r="F2675">
        <v>0</v>
      </c>
      <c r="G2675">
        <f>MAX(I2669,I2668)</f>
        <v>3609754</v>
      </c>
      <c r="H2675">
        <f>0</f>
        <v>8452</v>
      </c>
      <c r="I2675">
        <f>G2675+H2675</f>
        <v>3618206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370</v>
      </c>
      <c r="C2676" t="s">
        <v>82</v>
      </c>
      <c r="D2676" t="s">
        <v>83</v>
      </c>
      <c r="E2676" t="s">
        <v>394</v>
      </c>
      <c r="F2676">
        <v>512</v>
      </c>
      <c r="G2676">
        <f>MAX(I2675,I2673)</f>
        <v>3618206</v>
      </c>
      <c r="H2676">
        <f>CEILING((dram_access_latency+F2676/dram_bandwidth)*frequency,1)</f>
        <v>108</v>
      </c>
      <c r="I2676">
        <f>G2676+H2676</f>
        <v>3618314</v>
      </c>
      <c r="J2676">
        <f>IF(AND(D2676&lt;&gt;"dram",D2676&lt;&gt;"control"),H2676,0)</f>
        <v>0</v>
      </c>
      <c r="K2676">
        <f>IF(D2676="dram",H2676,0)</f>
        <v>108</v>
      </c>
      <c r="L2676">
        <v>512</v>
      </c>
      <c r="M2676">
        <v>0</v>
      </c>
    </row>
    <row r="2677" spans="1:13">
      <c r="A2677">
        <v>2675</v>
      </c>
      <c r="B2677" t="s">
        <v>371</v>
      </c>
      <c r="C2677" t="s">
        <v>82</v>
      </c>
      <c r="D2677" t="s">
        <v>83</v>
      </c>
      <c r="E2677" t="s">
        <v>394</v>
      </c>
      <c r="F2677">
        <v>262144</v>
      </c>
      <c r="G2677">
        <f>MAX(I2675,I2676)</f>
        <v>3618314</v>
      </c>
      <c r="H2677">
        <f>CEILING((dram_access_latency+F2677/dram_bandwidth)*frequency,1)</f>
        <v>4196</v>
      </c>
      <c r="I2677">
        <f>G2677+H2677</f>
        <v>3622510</v>
      </c>
      <c r="J2677">
        <f>IF(AND(D2677&lt;&gt;"dram",D2677&lt;&gt;"control"),H2677,0)</f>
        <v>0</v>
      </c>
      <c r="K2677">
        <f>IF(D2677="dram",H2677,0)</f>
        <v>4196</v>
      </c>
      <c r="L2677">
        <v>262144</v>
      </c>
      <c r="M2677">
        <v>0</v>
      </c>
    </row>
    <row r="2678" spans="1:13">
      <c r="A2678">
        <v>2676</v>
      </c>
      <c r="B2678" t="s">
        <v>372</v>
      </c>
      <c r="C2678" t="s">
        <v>82</v>
      </c>
      <c r="D2678" t="s">
        <v>83</v>
      </c>
      <c r="E2678" t="s">
        <v>394</v>
      </c>
      <c r="F2678">
        <v>16</v>
      </c>
      <c r="G2678">
        <f>MAX(I2675,I2677)</f>
        <v>3622510</v>
      </c>
      <c r="H2678">
        <f>CEILING((dram_access_latency+F2678/dram_bandwidth)*frequency,1)</f>
        <v>101</v>
      </c>
      <c r="I2678">
        <f>G2678+H2678</f>
        <v>3622611</v>
      </c>
      <c r="J2678">
        <f>IF(AND(D2678&lt;&gt;"dram",D2678&lt;&gt;"control"),H2678,0)</f>
        <v>0</v>
      </c>
      <c r="K2678">
        <f>IF(D2678="dram",H2678,0)</f>
        <v>101</v>
      </c>
      <c r="L2678">
        <v>16</v>
      </c>
      <c r="M2678">
        <v>0</v>
      </c>
    </row>
    <row r="2679" spans="1:13">
      <c r="A2679">
        <v>2677</v>
      </c>
      <c r="B2679" t="s">
        <v>373</v>
      </c>
      <c r="C2679" t="s">
        <v>82</v>
      </c>
      <c r="D2679" t="s">
        <v>83</v>
      </c>
      <c r="E2679" t="s">
        <v>394</v>
      </c>
      <c r="F2679">
        <v>8192</v>
      </c>
      <c r="G2679">
        <f>MAX(I2675,I2678)</f>
        <v>3622611</v>
      </c>
      <c r="H2679">
        <f>CEILING((dram_access_latency+F2679/dram_bandwidth)*frequency,1)</f>
        <v>228</v>
      </c>
      <c r="I2679">
        <f>G2679+H2679</f>
        <v>3622839</v>
      </c>
      <c r="J2679">
        <f>IF(AND(D2679&lt;&gt;"dram",D2679&lt;&gt;"control"),H2679,0)</f>
        <v>0</v>
      </c>
      <c r="K2679">
        <f>IF(D2679="dram",H2679,0)</f>
        <v>228</v>
      </c>
      <c r="L2679">
        <v>8192</v>
      </c>
      <c r="M2679">
        <v>0</v>
      </c>
    </row>
    <row r="2680" spans="1:13">
      <c r="A2680">
        <v>2678</v>
      </c>
      <c r="B2680" t="s">
        <v>62</v>
      </c>
      <c r="C2680" t="s">
        <v>90</v>
      </c>
      <c r="D2680" t="s">
        <v>108</v>
      </c>
      <c r="E2680" t="s">
        <v>394</v>
      </c>
      <c r="F2680">
        <v>0</v>
      </c>
      <c r="G2680">
        <f>MAX(I2674,I2674,I2676,I2677,I2678,I2679,I2581)</f>
        <v>3626658</v>
      </c>
      <c r="H2680">
        <f>'Operations'!I26</f>
        <v>8452</v>
      </c>
      <c r="I2680">
        <f>G2680+H2680</f>
        <v>3635110</v>
      </c>
      <c r="J2680">
        <f>IF(AND(D2680&lt;&gt;"dram",D2680&lt;&gt;"control"),H2680,0)</f>
        <v>8452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375</v>
      </c>
      <c r="C2681" t="s">
        <v>88</v>
      </c>
      <c r="D2681" t="s">
        <v>89</v>
      </c>
      <c r="E2681" t="s">
        <v>394</v>
      </c>
      <c r="F2681">
        <v>0</v>
      </c>
      <c r="G2681">
        <f>MAX(I2675,I2674)</f>
        <v>3618206</v>
      </c>
      <c r="H2681">
        <f>0</f>
        <v>8452</v>
      </c>
      <c r="I2681">
        <f>G2681+H2681</f>
        <v>3626658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370</v>
      </c>
      <c r="C2682" t="s">
        <v>82</v>
      </c>
      <c r="D2682" t="s">
        <v>83</v>
      </c>
      <c r="E2682" t="s">
        <v>395</v>
      </c>
      <c r="F2682">
        <v>512</v>
      </c>
      <c r="G2682">
        <f>MAX(I2681,I2679)</f>
        <v>3626658</v>
      </c>
      <c r="H2682">
        <f>CEILING((dram_access_latency+F2682/dram_bandwidth)*frequency,1)</f>
        <v>108</v>
      </c>
      <c r="I2682">
        <f>G2682+H2682</f>
        <v>3626766</v>
      </c>
      <c r="J2682">
        <f>IF(AND(D2682&lt;&gt;"dram",D2682&lt;&gt;"control"),H2682,0)</f>
        <v>0</v>
      </c>
      <c r="K2682">
        <f>IF(D2682="dram",H2682,0)</f>
        <v>108</v>
      </c>
      <c r="L2682">
        <v>512</v>
      </c>
      <c r="M2682">
        <v>0</v>
      </c>
    </row>
    <row r="2683" spans="1:13">
      <c r="A2683">
        <v>2681</v>
      </c>
      <c r="B2683" t="s">
        <v>371</v>
      </c>
      <c r="C2683" t="s">
        <v>82</v>
      </c>
      <c r="D2683" t="s">
        <v>83</v>
      </c>
      <c r="E2683" t="s">
        <v>395</v>
      </c>
      <c r="F2683">
        <v>262144</v>
      </c>
      <c r="G2683">
        <f>MAX(I2681,I2682)</f>
        <v>3626766</v>
      </c>
      <c r="H2683">
        <f>CEILING((dram_access_latency+F2683/dram_bandwidth)*frequency,1)</f>
        <v>4196</v>
      </c>
      <c r="I2683">
        <f>G2683+H2683</f>
        <v>3630962</v>
      </c>
      <c r="J2683">
        <f>IF(AND(D2683&lt;&gt;"dram",D2683&lt;&gt;"control"),H2683,0)</f>
        <v>0</v>
      </c>
      <c r="K2683">
        <f>IF(D2683="dram",H2683,0)</f>
        <v>4196</v>
      </c>
      <c r="L2683">
        <v>262144</v>
      </c>
      <c r="M2683">
        <v>0</v>
      </c>
    </row>
    <row r="2684" spans="1:13">
      <c r="A2684">
        <v>2682</v>
      </c>
      <c r="B2684" t="s">
        <v>372</v>
      </c>
      <c r="C2684" t="s">
        <v>82</v>
      </c>
      <c r="D2684" t="s">
        <v>83</v>
      </c>
      <c r="E2684" t="s">
        <v>395</v>
      </c>
      <c r="F2684">
        <v>16</v>
      </c>
      <c r="G2684">
        <f>MAX(I2681,I2683)</f>
        <v>3630962</v>
      </c>
      <c r="H2684">
        <f>CEILING((dram_access_latency+F2684/dram_bandwidth)*frequency,1)</f>
        <v>101</v>
      </c>
      <c r="I2684">
        <f>G2684+H2684</f>
        <v>3631063</v>
      </c>
      <c r="J2684">
        <f>IF(AND(D2684&lt;&gt;"dram",D2684&lt;&gt;"control"),H2684,0)</f>
        <v>0</v>
      </c>
      <c r="K2684">
        <f>IF(D2684="dram",H2684,0)</f>
        <v>101</v>
      </c>
      <c r="L2684">
        <v>16</v>
      </c>
      <c r="M2684">
        <v>0</v>
      </c>
    </row>
    <row r="2685" spans="1:13">
      <c r="A2685">
        <v>2683</v>
      </c>
      <c r="B2685" t="s">
        <v>373</v>
      </c>
      <c r="C2685" t="s">
        <v>82</v>
      </c>
      <c r="D2685" t="s">
        <v>83</v>
      </c>
      <c r="E2685" t="s">
        <v>395</v>
      </c>
      <c r="F2685">
        <v>8192</v>
      </c>
      <c r="G2685">
        <f>MAX(I2681,I2684)</f>
        <v>3631063</v>
      </c>
      <c r="H2685">
        <f>CEILING((dram_access_latency+F2685/dram_bandwidth)*frequency,1)</f>
        <v>228</v>
      </c>
      <c r="I2685">
        <f>G2685+H2685</f>
        <v>3631291</v>
      </c>
      <c r="J2685">
        <f>IF(AND(D2685&lt;&gt;"dram",D2685&lt;&gt;"control"),H2685,0)</f>
        <v>0</v>
      </c>
      <c r="K2685">
        <f>IF(D2685="dram",H2685,0)</f>
        <v>228</v>
      </c>
      <c r="L2685">
        <v>8192</v>
      </c>
      <c r="M2685">
        <v>0</v>
      </c>
    </row>
    <row r="2686" spans="1:13">
      <c r="A2686">
        <v>2684</v>
      </c>
      <c r="B2686" t="s">
        <v>62</v>
      </c>
      <c r="C2686" t="s">
        <v>90</v>
      </c>
      <c r="D2686" t="s">
        <v>108</v>
      </c>
      <c r="E2686" t="s">
        <v>395</v>
      </c>
      <c r="F2686">
        <v>0</v>
      </c>
      <c r="G2686">
        <f>MAX(I2680,I2680,I2682,I2683,I2684,I2685,I2581)</f>
        <v>3635110</v>
      </c>
      <c r="H2686">
        <f>'Operations'!I26</f>
        <v>8452</v>
      </c>
      <c r="I2686">
        <f>G2686+H2686</f>
        <v>3643562</v>
      </c>
      <c r="J2686">
        <f>IF(AND(D2686&lt;&gt;"dram",D2686&lt;&gt;"control"),H2686,0)</f>
        <v>8452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375</v>
      </c>
      <c r="C2687" t="s">
        <v>88</v>
      </c>
      <c r="D2687" t="s">
        <v>89</v>
      </c>
      <c r="E2687" t="s">
        <v>395</v>
      </c>
      <c r="F2687">
        <v>0</v>
      </c>
      <c r="G2687">
        <f>MAX(I2681,I2680)</f>
        <v>3626658</v>
      </c>
      <c r="H2687">
        <f>0</f>
        <v>8452</v>
      </c>
      <c r="I2687">
        <f>G2687+H2687</f>
        <v>3635110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370</v>
      </c>
      <c r="C2688" t="s">
        <v>82</v>
      </c>
      <c r="D2688" t="s">
        <v>83</v>
      </c>
      <c r="E2688" t="s">
        <v>396</v>
      </c>
      <c r="F2688">
        <v>512</v>
      </c>
      <c r="G2688">
        <f>MAX(I2687,I2685)</f>
        <v>3635110</v>
      </c>
      <c r="H2688">
        <f>CEILING((dram_access_latency+F2688/dram_bandwidth)*frequency,1)</f>
        <v>108</v>
      </c>
      <c r="I2688">
        <f>G2688+H2688</f>
        <v>3635218</v>
      </c>
      <c r="J2688">
        <f>IF(AND(D2688&lt;&gt;"dram",D2688&lt;&gt;"control"),H2688,0)</f>
        <v>0</v>
      </c>
      <c r="K2688">
        <f>IF(D2688="dram",H2688,0)</f>
        <v>108</v>
      </c>
      <c r="L2688">
        <v>512</v>
      </c>
      <c r="M2688">
        <v>0</v>
      </c>
    </row>
    <row r="2689" spans="1:13">
      <c r="A2689">
        <v>2687</v>
      </c>
      <c r="B2689" t="s">
        <v>371</v>
      </c>
      <c r="C2689" t="s">
        <v>82</v>
      </c>
      <c r="D2689" t="s">
        <v>83</v>
      </c>
      <c r="E2689" t="s">
        <v>396</v>
      </c>
      <c r="F2689">
        <v>262144</v>
      </c>
      <c r="G2689">
        <f>MAX(I2687,I2688)</f>
        <v>3635218</v>
      </c>
      <c r="H2689">
        <f>CEILING((dram_access_latency+F2689/dram_bandwidth)*frequency,1)</f>
        <v>4196</v>
      </c>
      <c r="I2689">
        <f>G2689+H2689</f>
        <v>3639414</v>
      </c>
      <c r="J2689">
        <f>IF(AND(D2689&lt;&gt;"dram",D2689&lt;&gt;"control"),H2689,0)</f>
        <v>0</v>
      </c>
      <c r="K2689">
        <f>IF(D2689="dram",H2689,0)</f>
        <v>4196</v>
      </c>
      <c r="L2689">
        <v>262144</v>
      </c>
      <c r="M2689">
        <v>0</v>
      </c>
    </row>
    <row r="2690" spans="1:13">
      <c r="A2690">
        <v>2688</v>
      </c>
      <c r="B2690" t="s">
        <v>372</v>
      </c>
      <c r="C2690" t="s">
        <v>82</v>
      </c>
      <c r="D2690" t="s">
        <v>83</v>
      </c>
      <c r="E2690" t="s">
        <v>396</v>
      </c>
      <c r="F2690">
        <v>16</v>
      </c>
      <c r="G2690">
        <f>MAX(I2687,I2689)</f>
        <v>3639414</v>
      </c>
      <c r="H2690">
        <f>CEILING((dram_access_latency+F2690/dram_bandwidth)*frequency,1)</f>
        <v>101</v>
      </c>
      <c r="I2690">
        <f>G2690+H2690</f>
        <v>3639515</v>
      </c>
      <c r="J2690">
        <f>IF(AND(D2690&lt;&gt;"dram",D2690&lt;&gt;"control"),H2690,0)</f>
        <v>0</v>
      </c>
      <c r="K2690">
        <f>IF(D2690="dram",H2690,0)</f>
        <v>101</v>
      </c>
      <c r="L2690">
        <v>16</v>
      </c>
      <c r="M2690">
        <v>0</v>
      </c>
    </row>
    <row r="2691" spans="1:13">
      <c r="A2691">
        <v>2689</v>
      </c>
      <c r="B2691" t="s">
        <v>373</v>
      </c>
      <c r="C2691" t="s">
        <v>82</v>
      </c>
      <c r="D2691" t="s">
        <v>83</v>
      </c>
      <c r="E2691" t="s">
        <v>396</v>
      </c>
      <c r="F2691">
        <v>8192</v>
      </c>
      <c r="G2691">
        <f>MAX(I2687,I2690)</f>
        <v>3639515</v>
      </c>
      <c r="H2691">
        <f>CEILING((dram_access_latency+F2691/dram_bandwidth)*frequency,1)</f>
        <v>228</v>
      </c>
      <c r="I2691">
        <f>G2691+H2691</f>
        <v>3639743</v>
      </c>
      <c r="J2691">
        <f>IF(AND(D2691&lt;&gt;"dram",D2691&lt;&gt;"control"),H2691,0)</f>
        <v>0</v>
      </c>
      <c r="K2691">
        <f>IF(D2691="dram",H2691,0)</f>
        <v>228</v>
      </c>
      <c r="L2691">
        <v>8192</v>
      </c>
      <c r="M2691">
        <v>0</v>
      </c>
    </row>
    <row r="2692" spans="1:13">
      <c r="A2692">
        <v>2690</v>
      </c>
      <c r="B2692" t="s">
        <v>62</v>
      </c>
      <c r="C2692" t="s">
        <v>90</v>
      </c>
      <c r="D2692" t="s">
        <v>108</v>
      </c>
      <c r="E2692" t="s">
        <v>396</v>
      </c>
      <c r="F2692">
        <v>0</v>
      </c>
      <c r="G2692">
        <f>MAX(I2686,I2686,I2688,I2689,I2690,I2691,I2581)</f>
        <v>3643562</v>
      </c>
      <c r="H2692">
        <f>'Operations'!I26</f>
        <v>8452</v>
      </c>
      <c r="I2692">
        <f>G2692+H2692</f>
        <v>3652014</v>
      </c>
      <c r="J2692">
        <f>IF(AND(D2692&lt;&gt;"dram",D2692&lt;&gt;"control"),H2692,0)</f>
        <v>8452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375</v>
      </c>
      <c r="C2693" t="s">
        <v>88</v>
      </c>
      <c r="D2693" t="s">
        <v>89</v>
      </c>
      <c r="E2693" t="s">
        <v>396</v>
      </c>
      <c r="F2693">
        <v>0</v>
      </c>
      <c r="G2693">
        <f>MAX(I2687,I2686)</f>
        <v>3635110</v>
      </c>
      <c r="H2693">
        <f>0</f>
        <v>8452</v>
      </c>
      <c r="I2693">
        <f>G2693+H2693</f>
        <v>3643562</v>
      </c>
      <c r="J2693">
        <f>IF(AND(D2693&lt;&gt;"dram",D2693&lt;&gt;"control"),H2693,0)</f>
        <v>0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370</v>
      </c>
      <c r="C2694" t="s">
        <v>82</v>
      </c>
      <c r="D2694" t="s">
        <v>83</v>
      </c>
      <c r="E2694" t="s">
        <v>397</v>
      </c>
      <c r="F2694">
        <v>512</v>
      </c>
      <c r="G2694">
        <f>MAX(I2693,I2691)</f>
        <v>3643562</v>
      </c>
      <c r="H2694">
        <f>CEILING((dram_access_latency+F2694/dram_bandwidth)*frequency,1)</f>
        <v>108</v>
      </c>
      <c r="I2694">
        <f>G2694+H2694</f>
        <v>3643670</v>
      </c>
      <c r="J2694">
        <f>IF(AND(D2694&lt;&gt;"dram",D2694&lt;&gt;"control"),H2694,0)</f>
        <v>0</v>
      </c>
      <c r="K2694">
        <f>IF(D2694="dram",H2694,0)</f>
        <v>108</v>
      </c>
      <c r="L2694">
        <v>512</v>
      </c>
      <c r="M2694">
        <v>0</v>
      </c>
    </row>
    <row r="2695" spans="1:13">
      <c r="A2695">
        <v>2693</v>
      </c>
      <c r="B2695" t="s">
        <v>371</v>
      </c>
      <c r="C2695" t="s">
        <v>82</v>
      </c>
      <c r="D2695" t="s">
        <v>83</v>
      </c>
      <c r="E2695" t="s">
        <v>397</v>
      </c>
      <c r="F2695">
        <v>262144</v>
      </c>
      <c r="G2695">
        <f>MAX(I2693,I2694)</f>
        <v>3643670</v>
      </c>
      <c r="H2695">
        <f>CEILING((dram_access_latency+F2695/dram_bandwidth)*frequency,1)</f>
        <v>4196</v>
      </c>
      <c r="I2695">
        <f>G2695+H2695</f>
        <v>3647866</v>
      </c>
      <c r="J2695">
        <f>IF(AND(D2695&lt;&gt;"dram",D2695&lt;&gt;"control"),H2695,0)</f>
        <v>0</v>
      </c>
      <c r="K2695">
        <f>IF(D2695="dram",H2695,0)</f>
        <v>4196</v>
      </c>
      <c r="L2695">
        <v>262144</v>
      </c>
      <c r="M2695">
        <v>0</v>
      </c>
    </row>
    <row r="2696" spans="1:13">
      <c r="A2696">
        <v>2694</v>
      </c>
      <c r="B2696" t="s">
        <v>372</v>
      </c>
      <c r="C2696" t="s">
        <v>82</v>
      </c>
      <c r="D2696" t="s">
        <v>83</v>
      </c>
      <c r="E2696" t="s">
        <v>397</v>
      </c>
      <c r="F2696">
        <v>16</v>
      </c>
      <c r="G2696">
        <f>MAX(I2693,I2695)</f>
        <v>3647866</v>
      </c>
      <c r="H2696">
        <f>CEILING((dram_access_latency+F2696/dram_bandwidth)*frequency,1)</f>
        <v>101</v>
      </c>
      <c r="I2696">
        <f>G2696+H2696</f>
        <v>3647967</v>
      </c>
      <c r="J2696">
        <f>IF(AND(D2696&lt;&gt;"dram",D2696&lt;&gt;"control"),H2696,0)</f>
        <v>0</v>
      </c>
      <c r="K2696">
        <f>IF(D2696="dram",H2696,0)</f>
        <v>101</v>
      </c>
      <c r="L2696">
        <v>16</v>
      </c>
      <c r="M2696">
        <v>0</v>
      </c>
    </row>
    <row r="2697" spans="1:13">
      <c r="A2697">
        <v>2695</v>
      </c>
      <c r="B2697" t="s">
        <v>373</v>
      </c>
      <c r="C2697" t="s">
        <v>82</v>
      </c>
      <c r="D2697" t="s">
        <v>83</v>
      </c>
      <c r="E2697" t="s">
        <v>397</v>
      </c>
      <c r="F2697">
        <v>8192</v>
      </c>
      <c r="G2697">
        <f>MAX(I2693,I2696)</f>
        <v>3647967</v>
      </c>
      <c r="H2697">
        <f>CEILING((dram_access_latency+F2697/dram_bandwidth)*frequency,1)</f>
        <v>228</v>
      </c>
      <c r="I2697">
        <f>G2697+H2697</f>
        <v>3648195</v>
      </c>
      <c r="J2697">
        <f>IF(AND(D2697&lt;&gt;"dram",D2697&lt;&gt;"control"),H2697,0)</f>
        <v>0</v>
      </c>
      <c r="K2697">
        <f>IF(D2697="dram",H2697,0)</f>
        <v>228</v>
      </c>
      <c r="L2697">
        <v>8192</v>
      </c>
      <c r="M2697">
        <v>0</v>
      </c>
    </row>
    <row r="2698" spans="1:13">
      <c r="A2698">
        <v>2696</v>
      </c>
      <c r="B2698" t="s">
        <v>62</v>
      </c>
      <c r="C2698" t="s">
        <v>90</v>
      </c>
      <c r="D2698" t="s">
        <v>108</v>
      </c>
      <c r="E2698" t="s">
        <v>397</v>
      </c>
      <c r="F2698">
        <v>0</v>
      </c>
      <c r="G2698">
        <f>MAX(I2692,I2692,I2694,I2695,I2696,I2697,I2581)</f>
        <v>3652014</v>
      </c>
      <c r="H2698">
        <f>'Operations'!I26</f>
        <v>8452</v>
      </c>
      <c r="I2698">
        <f>G2698+H2698</f>
        <v>3660466</v>
      </c>
      <c r="J2698">
        <f>IF(AND(D2698&lt;&gt;"dram",D2698&lt;&gt;"control"),H2698,0)</f>
        <v>8452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375</v>
      </c>
      <c r="C2699" t="s">
        <v>88</v>
      </c>
      <c r="D2699" t="s">
        <v>89</v>
      </c>
      <c r="E2699" t="s">
        <v>397</v>
      </c>
      <c r="F2699">
        <v>0</v>
      </c>
      <c r="G2699">
        <f>MAX(I2693,I2692)</f>
        <v>3643562</v>
      </c>
      <c r="H2699">
        <f>0</f>
        <v>8452</v>
      </c>
      <c r="I2699">
        <f>G2699+H2699</f>
        <v>3652014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370</v>
      </c>
      <c r="C2700" t="s">
        <v>82</v>
      </c>
      <c r="D2700" t="s">
        <v>83</v>
      </c>
      <c r="E2700" t="s">
        <v>398</v>
      </c>
      <c r="F2700">
        <v>512</v>
      </c>
      <c r="G2700">
        <f>MAX(I2699,I2697)</f>
        <v>3652014</v>
      </c>
      <c r="H2700">
        <f>CEILING((dram_access_latency+F2700/dram_bandwidth)*frequency,1)</f>
        <v>108</v>
      </c>
      <c r="I2700">
        <f>G2700+H2700</f>
        <v>3652122</v>
      </c>
      <c r="J2700">
        <f>IF(AND(D2700&lt;&gt;"dram",D2700&lt;&gt;"control"),H2700,0)</f>
        <v>0</v>
      </c>
      <c r="K2700">
        <f>IF(D2700="dram",H2700,0)</f>
        <v>108</v>
      </c>
      <c r="L2700">
        <v>512</v>
      </c>
      <c r="M2700">
        <v>0</v>
      </c>
    </row>
    <row r="2701" spans="1:13">
      <c r="A2701">
        <v>2699</v>
      </c>
      <c r="B2701" t="s">
        <v>371</v>
      </c>
      <c r="C2701" t="s">
        <v>82</v>
      </c>
      <c r="D2701" t="s">
        <v>83</v>
      </c>
      <c r="E2701" t="s">
        <v>398</v>
      </c>
      <c r="F2701">
        <v>262144</v>
      </c>
      <c r="G2701">
        <f>MAX(I2699,I2700)</f>
        <v>3652122</v>
      </c>
      <c r="H2701">
        <f>CEILING((dram_access_latency+F2701/dram_bandwidth)*frequency,1)</f>
        <v>4196</v>
      </c>
      <c r="I2701">
        <f>G2701+H2701</f>
        <v>3656318</v>
      </c>
      <c r="J2701">
        <f>IF(AND(D2701&lt;&gt;"dram",D2701&lt;&gt;"control"),H2701,0)</f>
        <v>0</v>
      </c>
      <c r="K2701">
        <f>IF(D2701="dram",H2701,0)</f>
        <v>4196</v>
      </c>
      <c r="L2701">
        <v>262144</v>
      </c>
      <c r="M2701">
        <v>0</v>
      </c>
    </row>
    <row r="2702" spans="1:13">
      <c r="A2702">
        <v>2700</v>
      </c>
      <c r="B2702" t="s">
        <v>372</v>
      </c>
      <c r="C2702" t="s">
        <v>82</v>
      </c>
      <c r="D2702" t="s">
        <v>83</v>
      </c>
      <c r="E2702" t="s">
        <v>398</v>
      </c>
      <c r="F2702">
        <v>16</v>
      </c>
      <c r="G2702">
        <f>MAX(I2699,I2701)</f>
        <v>3656318</v>
      </c>
      <c r="H2702">
        <f>CEILING((dram_access_latency+F2702/dram_bandwidth)*frequency,1)</f>
        <v>101</v>
      </c>
      <c r="I2702">
        <f>G2702+H2702</f>
        <v>3656419</v>
      </c>
      <c r="J2702">
        <f>IF(AND(D2702&lt;&gt;"dram",D2702&lt;&gt;"control"),H2702,0)</f>
        <v>0</v>
      </c>
      <c r="K2702">
        <f>IF(D2702="dram",H2702,0)</f>
        <v>101</v>
      </c>
      <c r="L2702">
        <v>16</v>
      </c>
      <c r="M2702">
        <v>0</v>
      </c>
    </row>
    <row r="2703" spans="1:13">
      <c r="A2703">
        <v>2701</v>
      </c>
      <c r="B2703" t="s">
        <v>373</v>
      </c>
      <c r="C2703" t="s">
        <v>82</v>
      </c>
      <c r="D2703" t="s">
        <v>83</v>
      </c>
      <c r="E2703" t="s">
        <v>398</v>
      </c>
      <c r="F2703">
        <v>8192</v>
      </c>
      <c r="G2703">
        <f>MAX(I2699,I2702)</f>
        <v>3656419</v>
      </c>
      <c r="H2703">
        <f>CEILING((dram_access_latency+F2703/dram_bandwidth)*frequency,1)</f>
        <v>228</v>
      </c>
      <c r="I2703">
        <f>G2703+H2703</f>
        <v>3656647</v>
      </c>
      <c r="J2703">
        <f>IF(AND(D2703&lt;&gt;"dram",D2703&lt;&gt;"control"),H2703,0)</f>
        <v>0</v>
      </c>
      <c r="K2703">
        <f>IF(D2703="dram",H2703,0)</f>
        <v>228</v>
      </c>
      <c r="L2703">
        <v>8192</v>
      </c>
      <c r="M2703">
        <v>0</v>
      </c>
    </row>
    <row r="2704" spans="1:13">
      <c r="A2704">
        <v>2702</v>
      </c>
      <c r="B2704" t="s">
        <v>62</v>
      </c>
      <c r="C2704" t="s">
        <v>90</v>
      </c>
      <c r="D2704" t="s">
        <v>108</v>
      </c>
      <c r="E2704" t="s">
        <v>398</v>
      </c>
      <c r="F2704">
        <v>0</v>
      </c>
      <c r="G2704">
        <f>MAX(I2698,I2698,I2700,I2701,I2702,I2703,I2581)</f>
        <v>3660466</v>
      </c>
      <c r="H2704">
        <f>'Operations'!I26</f>
        <v>8452</v>
      </c>
      <c r="I2704">
        <f>G2704+H2704</f>
        <v>3668918</v>
      </c>
      <c r="J2704">
        <f>IF(AND(D2704&lt;&gt;"dram",D2704&lt;&gt;"control"),H2704,0)</f>
        <v>8452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375</v>
      </c>
      <c r="C2705" t="s">
        <v>88</v>
      </c>
      <c r="D2705" t="s">
        <v>89</v>
      </c>
      <c r="E2705" t="s">
        <v>398</v>
      </c>
      <c r="F2705">
        <v>0</v>
      </c>
      <c r="G2705">
        <f>MAX(I2699,I2698)</f>
        <v>3652014</v>
      </c>
      <c r="H2705">
        <f>0</f>
        <v>8452</v>
      </c>
      <c r="I2705">
        <f>G2705+H2705</f>
        <v>3660466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370</v>
      </c>
      <c r="C2706" t="s">
        <v>82</v>
      </c>
      <c r="D2706" t="s">
        <v>83</v>
      </c>
      <c r="E2706" t="s">
        <v>399</v>
      </c>
      <c r="F2706">
        <v>512</v>
      </c>
      <c r="G2706">
        <f>MAX(I2705,I2703)</f>
        <v>3660466</v>
      </c>
      <c r="H2706">
        <f>CEILING((dram_access_latency+F2706/dram_bandwidth)*frequency,1)</f>
        <v>108</v>
      </c>
      <c r="I2706">
        <f>G2706+H2706</f>
        <v>3660574</v>
      </c>
      <c r="J2706">
        <f>IF(AND(D2706&lt;&gt;"dram",D2706&lt;&gt;"control"),H2706,0)</f>
        <v>0</v>
      </c>
      <c r="K2706">
        <f>IF(D2706="dram",H2706,0)</f>
        <v>108</v>
      </c>
      <c r="L2706">
        <v>512</v>
      </c>
      <c r="M2706">
        <v>0</v>
      </c>
    </row>
    <row r="2707" spans="1:13">
      <c r="A2707">
        <v>2705</v>
      </c>
      <c r="B2707" t="s">
        <v>371</v>
      </c>
      <c r="C2707" t="s">
        <v>82</v>
      </c>
      <c r="D2707" t="s">
        <v>83</v>
      </c>
      <c r="E2707" t="s">
        <v>399</v>
      </c>
      <c r="F2707">
        <v>262144</v>
      </c>
      <c r="G2707">
        <f>MAX(I2705,I2706)</f>
        <v>3660574</v>
      </c>
      <c r="H2707">
        <f>CEILING((dram_access_latency+F2707/dram_bandwidth)*frequency,1)</f>
        <v>4196</v>
      </c>
      <c r="I2707">
        <f>G2707+H2707</f>
        <v>3664770</v>
      </c>
      <c r="J2707">
        <f>IF(AND(D2707&lt;&gt;"dram",D2707&lt;&gt;"control"),H2707,0)</f>
        <v>0</v>
      </c>
      <c r="K2707">
        <f>IF(D2707="dram",H2707,0)</f>
        <v>4196</v>
      </c>
      <c r="L2707">
        <v>262144</v>
      </c>
      <c r="M2707">
        <v>0</v>
      </c>
    </row>
    <row r="2708" spans="1:13">
      <c r="A2708">
        <v>2706</v>
      </c>
      <c r="B2708" t="s">
        <v>372</v>
      </c>
      <c r="C2708" t="s">
        <v>82</v>
      </c>
      <c r="D2708" t="s">
        <v>83</v>
      </c>
      <c r="E2708" t="s">
        <v>399</v>
      </c>
      <c r="F2708">
        <v>16</v>
      </c>
      <c r="G2708">
        <f>MAX(I2705,I2707)</f>
        <v>3664770</v>
      </c>
      <c r="H2708">
        <f>CEILING((dram_access_latency+F2708/dram_bandwidth)*frequency,1)</f>
        <v>101</v>
      </c>
      <c r="I2708">
        <f>G2708+H2708</f>
        <v>3664871</v>
      </c>
      <c r="J2708">
        <f>IF(AND(D2708&lt;&gt;"dram",D2708&lt;&gt;"control"),H2708,0)</f>
        <v>0</v>
      </c>
      <c r="K2708">
        <f>IF(D2708="dram",H2708,0)</f>
        <v>101</v>
      </c>
      <c r="L2708">
        <v>16</v>
      </c>
      <c r="M2708">
        <v>0</v>
      </c>
    </row>
    <row r="2709" spans="1:13">
      <c r="A2709">
        <v>2707</v>
      </c>
      <c r="B2709" t="s">
        <v>373</v>
      </c>
      <c r="C2709" t="s">
        <v>82</v>
      </c>
      <c r="D2709" t="s">
        <v>83</v>
      </c>
      <c r="E2709" t="s">
        <v>399</v>
      </c>
      <c r="F2709">
        <v>8192</v>
      </c>
      <c r="G2709">
        <f>MAX(I2705,I2708)</f>
        <v>3664871</v>
      </c>
      <c r="H2709">
        <f>CEILING((dram_access_latency+F2709/dram_bandwidth)*frequency,1)</f>
        <v>228</v>
      </c>
      <c r="I2709">
        <f>G2709+H2709</f>
        <v>3665099</v>
      </c>
      <c r="J2709">
        <f>IF(AND(D2709&lt;&gt;"dram",D2709&lt;&gt;"control"),H2709,0)</f>
        <v>0</v>
      </c>
      <c r="K2709">
        <f>IF(D2709="dram",H2709,0)</f>
        <v>228</v>
      </c>
      <c r="L2709">
        <v>8192</v>
      </c>
      <c r="M2709">
        <v>0</v>
      </c>
    </row>
    <row r="2710" spans="1:13">
      <c r="A2710">
        <v>2708</v>
      </c>
      <c r="B2710" t="s">
        <v>62</v>
      </c>
      <c r="C2710" t="s">
        <v>90</v>
      </c>
      <c r="D2710" t="s">
        <v>108</v>
      </c>
      <c r="E2710" t="s">
        <v>399</v>
      </c>
      <c r="F2710">
        <v>0</v>
      </c>
      <c r="G2710">
        <f>MAX(I2704,I2704,I2706,I2707,I2708,I2709,I2581)</f>
        <v>3668918</v>
      </c>
      <c r="H2710">
        <f>'Operations'!I26</f>
        <v>8452</v>
      </c>
      <c r="I2710">
        <f>G2710+H2710</f>
        <v>3677370</v>
      </c>
      <c r="J2710">
        <f>IF(AND(D2710&lt;&gt;"dram",D2710&lt;&gt;"control"),H2710,0)</f>
        <v>8452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375</v>
      </c>
      <c r="C2711" t="s">
        <v>88</v>
      </c>
      <c r="D2711" t="s">
        <v>89</v>
      </c>
      <c r="E2711" t="s">
        <v>399</v>
      </c>
      <c r="F2711">
        <v>0</v>
      </c>
      <c r="G2711">
        <f>MAX(I2705,I2704)</f>
        <v>3660466</v>
      </c>
      <c r="H2711">
        <f>0</f>
        <v>8452</v>
      </c>
      <c r="I2711">
        <f>G2711+H2711</f>
        <v>3668918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370</v>
      </c>
      <c r="C2712" t="s">
        <v>82</v>
      </c>
      <c r="D2712" t="s">
        <v>83</v>
      </c>
      <c r="E2712" t="s">
        <v>400</v>
      </c>
      <c r="F2712">
        <v>512</v>
      </c>
      <c r="G2712">
        <f>MAX(I2711,I2709)</f>
        <v>3668918</v>
      </c>
      <c r="H2712">
        <f>CEILING((dram_access_latency+F2712/dram_bandwidth)*frequency,1)</f>
        <v>108</v>
      </c>
      <c r="I2712">
        <f>G2712+H2712</f>
        <v>3669026</v>
      </c>
      <c r="J2712">
        <f>IF(AND(D2712&lt;&gt;"dram",D2712&lt;&gt;"control"),H2712,0)</f>
        <v>0</v>
      </c>
      <c r="K2712">
        <f>IF(D2712="dram",H2712,0)</f>
        <v>108</v>
      </c>
      <c r="L2712">
        <v>512</v>
      </c>
      <c r="M2712">
        <v>0</v>
      </c>
    </row>
    <row r="2713" spans="1:13">
      <c r="A2713">
        <v>2711</v>
      </c>
      <c r="B2713" t="s">
        <v>371</v>
      </c>
      <c r="C2713" t="s">
        <v>82</v>
      </c>
      <c r="D2713" t="s">
        <v>83</v>
      </c>
      <c r="E2713" t="s">
        <v>400</v>
      </c>
      <c r="F2713">
        <v>262144</v>
      </c>
      <c r="G2713">
        <f>MAX(I2711,I2712)</f>
        <v>3669026</v>
      </c>
      <c r="H2713">
        <f>CEILING((dram_access_latency+F2713/dram_bandwidth)*frequency,1)</f>
        <v>4196</v>
      </c>
      <c r="I2713">
        <f>G2713+H2713</f>
        <v>3673222</v>
      </c>
      <c r="J2713">
        <f>IF(AND(D2713&lt;&gt;"dram",D2713&lt;&gt;"control"),H2713,0)</f>
        <v>0</v>
      </c>
      <c r="K2713">
        <f>IF(D2713="dram",H2713,0)</f>
        <v>4196</v>
      </c>
      <c r="L2713">
        <v>262144</v>
      </c>
      <c r="M2713">
        <v>0</v>
      </c>
    </row>
    <row r="2714" spans="1:13">
      <c r="A2714">
        <v>2712</v>
      </c>
      <c r="B2714" t="s">
        <v>372</v>
      </c>
      <c r="C2714" t="s">
        <v>82</v>
      </c>
      <c r="D2714" t="s">
        <v>83</v>
      </c>
      <c r="E2714" t="s">
        <v>400</v>
      </c>
      <c r="F2714">
        <v>16</v>
      </c>
      <c r="G2714">
        <f>MAX(I2711,I2713)</f>
        <v>3673222</v>
      </c>
      <c r="H2714">
        <f>CEILING((dram_access_latency+F2714/dram_bandwidth)*frequency,1)</f>
        <v>101</v>
      </c>
      <c r="I2714">
        <f>G2714+H2714</f>
        <v>3673323</v>
      </c>
      <c r="J2714">
        <f>IF(AND(D2714&lt;&gt;"dram",D2714&lt;&gt;"control"),H2714,0)</f>
        <v>0</v>
      </c>
      <c r="K2714">
        <f>IF(D2714="dram",H2714,0)</f>
        <v>101</v>
      </c>
      <c r="L2714">
        <v>16</v>
      </c>
      <c r="M2714">
        <v>0</v>
      </c>
    </row>
    <row r="2715" spans="1:13">
      <c r="A2715">
        <v>2713</v>
      </c>
      <c r="B2715" t="s">
        <v>373</v>
      </c>
      <c r="C2715" t="s">
        <v>82</v>
      </c>
      <c r="D2715" t="s">
        <v>83</v>
      </c>
      <c r="E2715" t="s">
        <v>400</v>
      </c>
      <c r="F2715">
        <v>8192</v>
      </c>
      <c r="G2715">
        <f>MAX(I2711,I2714)</f>
        <v>3673323</v>
      </c>
      <c r="H2715">
        <f>CEILING((dram_access_latency+F2715/dram_bandwidth)*frequency,1)</f>
        <v>228</v>
      </c>
      <c r="I2715">
        <f>G2715+H2715</f>
        <v>3673551</v>
      </c>
      <c r="J2715">
        <f>IF(AND(D2715&lt;&gt;"dram",D2715&lt;&gt;"control"),H2715,0)</f>
        <v>0</v>
      </c>
      <c r="K2715">
        <f>IF(D2715="dram",H2715,0)</f>
        <v>228</v>
      </c>
      <c r="L2715">
        <v>8192</v>
      </c>
      <c r="M2715">
        <v>0</v>
      </c>
    </row>
    <row r="2716" spans="1:13">
      <c r="A2716">
        <v>2714</v>
      </c>
      <c r="B2716" t="s">
        <v>62</v>
      </c>
      <c r="C2716" t="s">
        <v>90</v>
      </c>
      <c r="D2716" t="s">
        <v>108</v>
      </c>
      <c r="E2716" t="s">
        <v>400</v>
      </c>
      <c r="F2716">
        <v>0</v>
      </c>
      <c r="G2716">
        <f>MAX(I2710,I2710,I2712,I2713,I2714,I2715,I2581)</f>
        <v>3677370</v>
      </c>
      <c r="H2716">
        <f>'Operations'!I26</f>
        <v>8452</v>
      </c>
      <c r="I2716">
        <f>G2716+H2716</f>
        <v>3685822</v>
      </c>
      <c r="J2716">
        <f>IF(AND(D2716&lt;&gt;"dram",D2716&lt;&gt;"control"),H2716,0)</f>
        <v>8452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375</v>
      </c>
      <c r="C2717" t="s">
        <v>88</v>
      </c>
      <c r="D2717" t="s">
        <v>89</v>
      </c>
      <c r="E2717" t="s">
        <v>400</v>
      </c>
      <c r="F2717">
        <v>0</v>
      </c>
      <c r="G2717">
        <f>MAX(I2711,I2710)</f>
        <v>3668918</v>
      </c>
      <c r="H2717">
        <f>0</f>
        <v>8452</v>
      </c>
      <c r="I2717">
        <f>G2717+H2717</f>
        <v>3677370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370</v>
      </c>
      <c r="C2718" t="s">
        <v>82</v>
      </c>
      <c r="D2718" t="s">
        <v>83</v>
      </c>
      <c r="E2718" t="s">
        <v>401</v>
      </c>
      <c r="F2718">
        <v>512</v>
      </c>
      <c r="G2718">
        <f>MAX(I2717,I2715)</f>
        <v>3677370</v>
      </c>
      <c r="H2718">
        <f>CEILING((dram_access_latency+F2718/dram_bandwidth)*frequency,1)</f>
        <v>108</v>
      </c>
      <c r="I2718">
        <f>G2718+H2718</f>
        <v>3677478</v>
      </c>
      <c r="J2718">
        <f>IF(AND(D2718&lt;&gt;"dram",D2718&lt;&gt;"control"),H2718,0)</f>
        <v>0</v>
      </c>
      <c r="K2718">
        <f>IF(D2718="dram",H2718,0)</f>
        <v>108</v>
      </c>
      <c r="L2718">
        <v>512</v>
      </c>
      <c r="M2718">
        <v>0</v>
      </c>
    </row>
    <row r="2719" spans="1:13">
      <c r="A2719">
        <v>2717</v>
      </c>
      <c r="B2719" t="s">
        <v>371</v>
      </c>
      <c r="C2719" t="s">
        <v>82</v>
      </c>
      <c r="D2719" t="s">
        <v>83</v>
      </c>
      <c r="E2719" t="s">
        <v>401</v>
      </c>
      <c r="F2719">
        <v>262144</v>
      </c>
      <c r="G2719">
        <f>MAX(I2717,I2718)</f>
        <v>3677478</v>
      </c>
      <c r="H2719">
        <f>CEILING((dram_access_latency+F2719/dram_bandwidth)*frequency,1)</f>
        <v>4196</v>
      </c>
      <c r="I2719">
        <f>G2719+H2719</f>
        <v>3681674</v>
      </c>
      <c r="J2719">
        <f>IF(AND(D2719&lt;&gt;"dram",D2719&lt;&gt;"control"),H2719,0)</f>
        <v>0</v>
      </c>
      <c r="K2719">
        <f>IF(D2719="dram",H2719,0)</f>
        <v>4196</v>
      </c>
      <c r="L2719">
        <v>262144</v>
      </c>
      <c r="M2719">
        <v>0</v>
      </c>
    </row>
    <row r="2720" spans="1:13">
      <c r="A2720">
        <v>2718</v>
      </c>
      <c r="B2720" t="s">
        <v>372</v>
      </c>
      <c r="C2720" t="s">
        <v>82</v>
      </c>
      <c r="D2720" t="s">
        <v>83</v>
      </c>
      <c r="E2720" t="s">
        <v>401</v>
      </c>
      <c r="F2720">
        <v>16</v>
      </c>
      <c r="G2720">
        <f>MAX(I2717,I2719)</f>
        <v>3681674</v>
      </c>
      <c r="H2720">
        <f>CEILING((dram_access_latency+F2720/dram_bandwidth)*frequency,1)</f>
        <v>101</v>
      </c>
      <c r="I2720">
        <f>G2720+H2720</f>
        <v>3681775</v>
      </c>
      <c r="J2720">
        <f>IF(AND(D2720&lt;&gt;"dram",D2720&lt;&gt;"control"),H2720,0)</f>
        <v>0</v>
      </c>
      <c r="K2720">
        <f>IF(D2720="dram",H2720,0)</f>
        <v>101</v>
      </c>
      <c r="L2720">
        <v>16</v>
      </c>
      <c r="M2720">
        <v>0</v>
      </c>
    </row>
    <row r="2721" spans="1:13">
      <c r="A2721">
        <v>2719</v>
      </c>
      <c r="B2721" t="s">
        <v>373</v>
      </c>
      <c r="C2721" t="s">
        <v>82</v>
      </c>
      <c r="D2721" t="s">
        <v>83</v>
      </c>
      <c r="E2721" t="s">
        <v>401</v>
      </c>
      <c r="F2721">
        <v>8192</v>
      </c>
      <c r="G2721">
        <f>MAX(I2717,I2720)</f>
        <v>3681775</v>
      </c>
      <c r="H2721">
        <f>CEILING((dram_access_latency+F2721/dram_bandwidth)*frequency,1)</f>
        <v>228</v>
      </c>
      <c r="I2721">
        <f>G2721+H2721</f>
        <v>3682003</v>
      </c>
      <c r="J2721">
        <f>IF(AND(D2721&lt;&gt;"dram",D2721&lt;&gt;"control"),H2721,0)</f>
        <v>0</v>
      </c>
      <c r="K2721">
        <f>IF(D2721="dram",H2721,0)</f>
        <v>228</v>
      </c>
      <c r="L2721">
        <v>8192</v>
      </c>
      <c r="M2721">
        <v>0</v>
      </c>
    </row>
    <row r="2722" spans="1:13">
      <c r="A2722">
        <v>2720</v>
      </c>
      <c r="B2722" t="s">
        <v>62</v>
      </c>
      <c r="C2722" t="s">
        <v>90</v>
      </c>
      <c r="D2722" t="s">
        <v>108</v>
      </c>
      <c r="E2722" t="s">
        <v>401</v>
      </c>
      <c r="F2722">
        <v>0</v>
      </c>
      <c r="G2722">
        <f>MAX(I2716,I2716,I2718,I2719,I2720,I2721,I2581)</f>
        <v>3685822</v>
      </c>
      <c r="H2722">
        <f>'Operations'!I26</f>
        <v>8452</v>
      </c>
      <c r="I2722">
        <f>G2722+H2722</f>
        <v>3694274</v>
      </c>
      <c r="J2722">
        <f>IF(AND(D2722&lt;&gt;"dram",D2722&lt;&gt;"control"),H2722,0)</f>
        <v>8452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375</v>
      </c>
      <c r="C2723" t="s">
        <v>88</v>
      </c>
      <c r="D2723" t="s">
        <v>89</v>
      </c>
      <c r="E2723" t="s">
        <v>401</v>
      </c>
      <c r="F2723">
        <v>0</v>
      </c>
      <c r="G2723">
        <f>MAX(I2717,I2716)</f>
        <v>3677370</v>
      </c>
      <c r="H2723">
        <f>0</f>
        <v>8452</v>
      </c>
      <c r="I2723">
        <f>G2723+H2723</f>
        <v>3685822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370</v>
      </c>
      <c r="C2724" t="s">
        <v>82</v>
      </c>
      <c r="D2724" t="s">
        <v>83</v>
      </c>
      <c r="E2724" t="s">
        <v>402</v>
      </c>
      <c r="F2724">
        <v>512</v>
      </c>
      <c r="G2724">
        <f>MAX(I2723,I2721)</f>
        <v>3685822</v>
      </c>
      <c r="H2724">
        <f>CEILING((dram_access_latency+F2724/dram_bandwidth)*frequency,1)</f>
        <v>108</v>
      </c>
      <c r="I2724">
        <f>G2724+H2724</f>
        <v>3685930</v>
      </c>
      <c r="J2724">
        <f>IF(AND(D2724&lt;&gt;"dram",D2724&lt;&gt;"control"),H2724,0)</f>
        <v>0</v>
      </c>
      <c r="K2724">
        <f>IF(D2724="dram",H2724,0)</f>
        <v>108</v>
      </c>
      <c r="L2724">
        <v>512</v>
      </c>
      <c r="M2724">
        <v>0</v>
      </c>
    </row>
    <row r="2725" spans="1:13">
      <c r="A2725">
        <v>2723</v>
      </c>
      <c r="B2725" t="s">
        <v>371</v>
      </c>
      <c r="C2725" t="s">
        <v>82</v>
      </c>
      <c r="D2725" t="s">
        <v>83</v>
      </c>
      <c r="E2725" t="s">
        <v>402</v>
      </c>
      <c r="F2725">
        <v>262144</v>
      </c>
      <c r="G2725">
        <f>MAX(I2723,I2724)</f>
        <v>3685930</v>
      </c>
      <c r="H2725">
        <f>CEILING((dram_access_latency+F2725/dram_bandwidth)*frequency,1)</f>
        <v>4196</v>
      </c>
      <c r="I2725">
        <f>G2725+H2725</f>
        <v>3690126</v>
      </c>
      <c r="J2725">
        <f>IF(AND(D2725&lt;&gt;"dram",D2725&lt;&gt;"control"),H2725,0)</f>
        <v>0</v>
      </c>
      <c r="K2725">
        <f>IF(D2725="dram",H2725,0)</f>
        <v>4196</v>
      </c>
      <c r="L2725">
        <v>262144</v>
      </c>
      <c r="M2725">
        <v>0</v>
      </c>
    </row>
    <row r="2726" spans="1:13">
      <c r="A2726">
        <v>2724</v>
      </c>
      <c r="B2726" t="s">
        <v>372</v>
      </c>
      <c r="C2726" t="s">
        <v>82</v>
      </c>
      <c r="D2726" t="s">
        <v>83</v>
      </c>
      <c r="E2726" t="s">
        <v>402</v>
      </c>
      <c r="F2726">
        <v>16</v>
      </c>
      <c r="G2726">
        <f>MAX(I2723,I2725)</f>
        <v>3690126</v>
      </c>
      <c r="H2726">
        <f>CEILING((dram_access_latency+F2726/dram_bandwidth)*frequency,1)</f>
        <v>101</v>
      </c>
      <c r="I2726">
        <f>G2726+H2726</f>
        <v>3690227</v>
      </c>
      <c r="J2726">
        <f>IF(AND(D2726&lt;&gt;"dram",D2726&lt;&gt;"control"),H2726,0)</f>
        <v>0</v>
      </c>
      <c r="K2726">
        <f>IF(D2726="dram",H2726,0)</f>
        <v>101</v>
      </c>
      <c r="L2726">
        <v>16</v>
      </c>
      <c r="M2726">
        <v>0</v>
      </c>
    </row>
    <row r="2727" spans="1:13">
      <c r="A2727">
        <v>2725</v>
      </c>
      <c r="B2727" t="s">
        <v>373</v>
      </c>
      <c r="C2727" t="s">
        <v>82</v>
      </c>
      <c r="D2727" t="s">
        <v>83</v>
      </c>
      <c r="E2727" t="s">
        <v>402</v>
      </c>
      <c r="F2727">
        <v>8192</v>
      </c>
      <c r="G2727">
        <f>MAX(I2723,I2726)</f>
        <v>3690227</v>
      </c>
      <c r="H2727">
        <f>CEILING((dram_access_latency+F2727/dram_bandwidth)*frequency,1)</f>
        <v>228</v>
      </c>
      <c r="I2727">
        <f>G2727+H2727</f>
        <v>3690455</v>
      </c>
      <c r="J2727">
        <f>IF(AND(D2727&lt;&gt;"dram",D2727&lt;&gt;"control"),H2727,0)</f>
        <v>0</v>
      </c>
      <c r="K2727">
        <f>IF(D2727="dram",H2727,0)</f>
        <v>228</v>
      </c>
      <c r="L2727">
        <v>8192</v>
      </c>
      <c r="M2727">
        <v>0</v>
      </c>
    </row>
    <row r="2728" spans="1:13">
      <c r="A2728">
        <v>2726</v>
      </c>
      <c r="B2728" t="s">
        <v>62</v>
      </c>
      <c r="C2728" t="s">
        <v>90</v>
      </c>
      <c r="D2728" t="s">
        <v>108</v>
      </c>
      <c r="E2728" t="s">
        <v>402</v>
      </c>
      <c r="F2728">
        <v>0</v>
      </c>
      <c r="G2728">
        <f>MAX(I2722,I2722,I2724,I2725,I2726,I2727,I2581)</f>
        <v>3694274</v>
      </c>
      <c r="H2728">
        <f>'Operations'!I26</f>
        <v>8452</v>
      </c>
      <c r="I2728">
        <f>G2728+H2728</f>
        <v>3702726</v>
      </c>
      <c r="J2728">
        <f>IF(AND(D2728&lt;&gt;"dram",D2728&lt;&gt;"control"),H2728,0)</f>
        <v>8452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375</v>
      </c>
      <c r="C2729" t="s">
        <v>88</v>
      </c>
      <c r="D2729" t="s">
        <v>89</v>
      </c>
      <c r="E2729" t="s">
        <v>402</v>
      </c>
      <c r="F2729">
        <v>0</v>
      </c>
      <c r="G2729">
        <f>MAX(I2723,I2722)</f>
        <v>3685822</v>
      </c>
      <c r="H2729">
        <f>0</f>
        <v>8452</v>
      </c>
      <c r="I2729">
        <f>G2729+H2729</f>
        <v>3694274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370</v>
      </c>
      <c r="C2730" t="s">
        <v>82</v>
      </c>
      <c r="D2730" t="s">
        <v>83</v>
      </c>
      <c r="E2730" t="s">
        <v>403</v>
      </c>
      <c r="F2730">
        <v>512</v>
      </c>
      <c r="G2730">
        <f>MAX(I2729,I2727)</f>
        <v>3694274</v>
      </c>
      <c r="H2730">
        <f>CEILING((dram_access_latency+F2730/dram_bandwidth)*frequency,1)</f>
        <v>108</v>
      </c>
      <c r="I2730">
        <f>G2730+H2730</f>
        <v>3694382</v>
      </c>
      <c r="J2730">
        <f>IF(AND(D2730&lt;&gt;"dram",D2730&lt;&gt;"control"),H2730,0)</f>
        <v>0</v>
      </c>
      <c r="K2730">
        <f>IF(D2730="dram",H2730,0)</f>
        <v>108</v>
      </c>
      <c r="L2730">
        <v>512</v>
      </c>
      <c r="M2730">
        <v>0</v>
      </c>
    </row>
    <row r="2731" spans="1:13">
      <c r="A2731">
        <v>2729</v>
      </c>
      <c r="B2731" t="s">
        <v>371</v>
      </c>
      <c r="C2731" t="s">
        <v>82</v>
      </c>
      <c r="D2731" t="s">
        <v>83</v>
      </c>
      <c r="E2731" t="s">
        <v>403</v>
      </c>
      <c r="F2731">
        <v>262144</v>
      </c>
      <c r="G2731">
        <f>MAX(I2729,I2730)</f>
        <v>3694382</v>
      </c>
      <c r="H2731">
        <f>CEILING((dram_access_latency+F2731/dram_bandwidth)*frequency,1)</f>
        <v>4196</v>
      </c>
      <c r="I2731">
        <f>G2731+H2731</f>
        <v>3698578</v>
      </c>
      <c r="J2731">
        <f>IF(AND(D2731&lt;&gt;"dram",D2731&lt;&gt;"control"),H2731,0)</f>
        <v>0</v>
      </c>
      <c r="K2731">
        <f>IF(D2731="dram",H2731,0)</f>
        <v>4196</v>
      </c>
      <c r="L2731">
        <v>262144</v>
      </c>
      <c r="M2731">
        <v>0</v>
      </c>
    </row>
    <row r="2732" spans="1:13">
      <c r="A2732">
        <v>2730</v>
      </c>
      <c r="B2732" t="s">
        <v>372</v>
      </c>
      <c r="C2732" t="s">
        <v>82</v>
      </c>
      <c r="D2732" t="s">
        <v>83</v>
      </c>
      <c r="E2732" t="s">
        <v>403</v>
      </c>
      <c r="F2732">
        <v>16</v>
      </c>
      <c r="G2732">
        <f>MAX(I2729,I2731)</f>
        <v>3698578</v>
      </c>
      <c r="H2732">
        <f>CEILING((dram_access_latency+F2732/dram_bandwidth)*frequency,1)</f>
        <v>101</v>
      </c>
      <c r="I2732">
        <f>G2732+H2732</f>
        <v>3698679</v>
      </c>
      <c r="J2732">
        <f>IF(AND(D2732&lt;&gt;"dram",D2732&lt;&gt;"control"),H2732,0)</f>
        <v>0</v>
      </c>
      <c r="K2732">
        <f>IF(D2732="dram",H2732,0)</f>
        <v>101</v>
      </c>
      <c r="L2732">
        <v>16</v>
      </c>
      <c r="M2732">
        <v>0</v>
      </c>
    </row>
    <row r="2733" spans="1:13">
      <c r="A2733">
        <v>2731</v>
      </c>
      <c r="B2733" t="s">
        <v>373</v>
      </c>
      <c r="C2733" t="s">
        <v>82</v>
      </c>
      <c r="D2733" t="s">
        <v>83</v>
      </c>
      <c r="E2733" t="s">
        <v>403</v>
      </c>
      <c r="F2733">
        <v>8192</v>
      </c>
      <c r="G2733">
        <f>MAX(I2729,I2732)</f>
        <v>3698679</v>
      </c>
      <c r="H2733">
        <f>CEILING((dram_access_latency+F2733/dram_bandwidth)*frequency,1)</f>
        <v>228</v>
      </c>
      <c r="I2733">
        <f>G2733+H2733</f>
        <v>3698907</v>
      </c>
      <c r="J2733">
        <f>IF(AND(D2733&lt;&gt;"dram",D2733&lt;&gt;"control"),H2733,0)</f>
        <v>0</v>
      </c>
      <c r="K2733">
        <f>IF(D2733="dram",H2733,0)</f>
        <v>228</v>
      </c>
      <c r="L2733">
        <v>8192</v>
      </c>
      <c r="M2733">
        <v>0</v>
      </c>
    </row>
    <row r="2734" spans="1:13">
      <c r="A2734">
        <v>2732</v>
      </c>
      <c r="B2734" t="s">
        <v>62</v>
      </c>
      <c r="C2734" t="s">
        <v>90</v>
      </c>
      <c r="D2734" t="s">
        <v>108</v>
      </c>
      <c r="E2734" t="s">
        <v>403</v>
      </c>
      <c r="F2734">
        <v>0</v>
      </c>
      <c r="G2734">
        <f>MAX(I2728,I2728,I2730,I2731,I2732,I2733,I2581)</f>
        <v>3702726</v>
      </c>
      <c r="H2734">
        <f>'Operations'!I26</f>
        <v>8452</v>
      </c>
      <c r="I2734">
        <f>G2734+H2734</f>
        <v>3711178</v>
      </c>
      <c r="J2734">
        <f>IF(AND(D2734&lt;&gt;"dram",D2734&lt;&gt;"control"),H2734,0)</f>
        <v>8452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375</v>
      </c>
      <c r="C2735" t="s">
        <v>88</v>
      </c>
      <c r="D2735" t="s">
        <v>89</v>
      </c>
      <c r="E2735" t="s">
        <v>403</v>
      </c>
      <c r="F2735">
        <v>0</v>
      </c>
      <c r="G2735">
        <f>MAX(I2729,I2728)</f>
        <v>3694274</v>
      </c>
      <c r="H2735">
        <f>0</f>
        <v>8452</v>
      </c>
      <c r="I2735">
        <f>G2735+H2735</f>
        <v>3702726</v>
      </c>
      <c r="J2735">
        <f>IF(AND(D2735&lt;&gt;"dram",D2735&lt;&gt;"control"),H2735,0)</f>
        <v>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370</v>
      </c>
      <c r="C2736" t="s">
        <v>82</v>
      </c>
      <c r="D2736" t="s">
        <v>83</v>
      </c>
      <c r="E2736" t="s">
        <v>404</v>
      </c>
      <c r="F2736">
        <v>512</v>
      </c>
      <c r="G2736">
        <f>MAX(I2735,I2733)</f>
        <v>3702726</v>
      </c>
      <c r="H2736">
        <f>CEILING((dram_access_latency+F2736/dram_bandwidth)*frequency,1)</f>
        <v>108</v>
      </c>
      <c r="I2736">
        <f>G2736+H2736</f>
        <v>3702834</v>
      </c>
      <c r="J2736">
        <f>IF(AND(D2736&lt;&gt;"dram",D2736&lt;&gt;"control"),H2736,0)</f>
        <v>0</v>
      </c>
      <c r="K2736">
        <f>IF(D2736="dram",H2736,0)</f>
        <v>108</v>
      </c>
      <c r="L2736">
        <v>512</v>
      </c>
      <c r="M2736">
        <v>0</v>
      </c>
    </row>
    <row r="2737" spans="1:13">
      <c r="A2737">
        <v>2735</v>
      </c>
      <c r="B2737" t="s">
        <v>371</v>
      </c>
      <c r="C2737" t="s">
        <v>82</v>
      </c>
      <c r="D2737" t="s">
        <v>83</v>
      </c>
      <c r="E2737" t="s">
        <v>404</v>
      </c>
      <c r="F2737">
        <v>262144</v>
      </c>
      <c r="G2737">
        <f>MAX(I2735,I2736)</f>
        <v>3702834</v>
      </c>
      <c r="H2737">
        <f>CEILING((dram_access_latency+F2737/dram_bandwidth)*frequency,1)</f>
        <v>4196</v>
      </c>
      <c r="I2737">
        <f>G2737+H2737</f>
        <v>3707030</v>
      </c>
      <c r="J2737">
        <f>IF(AND(D2737&lt;&gt;"dram",D2737&lt;&gt;"control"),H2737,0)</f>
        <v>0</v>
      </c>
      <c r="K2737">
        <f>IF(D2737="dram",H2737,0)</f>
        <v>4196</v>
      </c>
      <c r="L2737">
        <v>262144</v>
      </c>
      <c r="M2737">
        <v>0</v>
      </c>
    </row>
    <row r="2738" spans="1:13">
      <c r="A2738">
        <v>2736</v>
      </c>
      <c r="B2738" t="s">
        <v>372</v>
      </c>
      <c r="C2738" t="s">
        <v>82</v>
      </c>
      <c r="D2738" t="s">
        <v>83</v>
      </c>
      <c r="E2738" t="s">
        <v>404</v>
      </c>
      <c r="F2738">
        <v>16</v>
      </c>
      <c r="G2738">
        <f>MAX(I2735,I2737)</f>
        <v>3707030</v>
      </c>
      <c r="H2738">
        <f>CEILING((dram_access_latency+F2738/dram_bandwidth)*frequency,1)</f>
        <v>101</v>
      </c>
      <c r="I2738">
        <f>G2738+H2738</f>
        <v>3707131</v>
      </c>
      <c r="J2738">
        <f>IF(AND(D2738&lt;&gt;"dram",D2738&lt;&gt;"control"),H2738,0)</f>
        <v>0</v>
      </c>
      <c r="K2738">
        <f>IF(D2738="dram",H2738,0)</f>
        <v>101</v>
      </c>
      <c r="L2738">
        <v>16</v>
      </c>
      <c r="M2738">
        <v>0</v>
      </c>
    </row>
    <row r="2739" spans="1:13">
      <c r="A2739">
        <v>2737</v>
      </c>
      <c r="B2739" t="s">
        <v>373</v>
      </c>
      <c r="C2739" t="s">
        <v>82</v>
      </c>
      <c r="D2739" t="s">
        <v>83</v>
      </c>
      <c r="E2739" t="s">
        <v>404</v>
      </c>
      <c r="F2739">
        <v>8192</v>
      </c>
      <c r="G2739">
        <f>MAX(I2735,I2738)</f>
        <v>3707131</v>
      </c>
      <c r="H2739">
        <f>CEILING((dram_access_latency+F2739/dram_bandwidth)*frequency,1)</f>
        <v>228</v>
      </c>
      <c r="I2739">
        <f>G2739+H2739</f>
        <v>3707359</v>
      </c>
      <c r="J2739">
        <f>IF(AND(D2739&lt;&gt;"dram",D2739&lt;&gt;"control"),H2739,0)</f>
        <v>0</v>
      </c>
      <c r="K2739">
        <f>IF(D2739="dram",H2739,0)</f>
        <v>228</v>
      </c>
      <c r="L2739">
        <v>8192</v>
      </c>
      <c r="M2739">
        <v>0</v>
      </c>
    </row>
    <row r="2740" spans="1:13">
      <c r="A2740">
        <v>2738</v>
      </c>
      <c r="B2740" t="s">
        <v>62</v>
      </c>
      <c r="C2740" t="s">
        <v>90</v>
      </c>
      <c r="D2740" t="s">
        <v>108</v>
      </c>
      <c r="E2740" t="s">
        <v>404</v>
      </c>
      <c r="F2740">
        <v>0</v>
      </c>
      <c r="G2740">
        <f>MAX(I2734,I2734,I2736,I2737,I2738,I2739,I2581)</f>
        <v>3711178</v>
      </c>
      <c r="H2740">
        <f>'Operations'!I26</f>
        <v>8452</v>
      </c>
      <c r="I2740">
        <f>G2740+H2740</f>
        <v>3719630</v>
      </c>
      <c r="J2740">
        <f>IF(AND(D2740&lt;&gt;"dram",D2740&lt;&gt;"control"),H2740,0)</f>
        <v>8452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375</v>
      </c>
      <c r="C2741" t="s">
        <v>88</v>
      </c>
      <c r="D2741" t="s">
        <v>89</v>
      </c>
      <c r="E2741" t="s">
        <v>404</v>
      </c>
      <c r="F2741">
        <v>0</v>
      </c>
      <c r="G2741">
        <f>MAX(I2735,I2734)</f>
        <v>3702726</v>
      </c>
      <c r="H2741">
        <f>0</f>
        <v>8452</v>
      </c>
      <c r="I2741">
        <f>G2741+H2741</f>
        <v>3711178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370</v>
      </c>
      <c r="C2742" t="s">
        <v>82</v>
      </c>
      <c r="D2742" t="s">
        <v>83</v>
      </c>
      <c r="E2742" t="s">
        <v>405</v>
      </c>
      <c r="F2742">
        <v>512</v>
      </c>
      <c r="G2742">
        <f>MAX(I2741,I2739)</f>
        <v>3711178</v>
      </c>
      <c r="H2742">
        <f>CEILING((dram_access_latency+F2742/dram_bandwidth)*frequency,1)</f>
        <v>108</v>
      </c>
      <c r="I2742">
        <f>G2742+H2742</f>
        <v>3711286</v>
      </c>
      <c r="J2742">
        <f>IF(AND(D2742&lt;&gt;"dram",D2742&lt;&gt;"control"),H2742,0)</f>
        <v>0</v>
      </c>
      <c r="K2742">
        <f>IF(D2742="dram",H2742,0)</f>
        <v>108</v>
      </c>
      <c r="L2742">
        <v>512</v>
      </c>
      <c r="M2742">
        <v>0</v>
      </c>
    </row>
    <row r="2743" spans="1:13">
      <c r="A2743">
        <v>2741</v>
      </c>
      <c r="B2743" t="s">
        <v>371</v>
      </c>
      <c r="C2743" t="s">
        <v>82</v>
      </c>
      <c r="D2743" t="s">
        <v>83</v>
      </c>
      <c r="E2743" t="s">
        <v>405</v>
      </c>
      <c r="F2743">
        <v>262144</v>
      </c>
      <c r="G2743">
        <f>MAX(I2741,I2742)</f>
        <v>3711286</v>
      </c>
      <c r="H2743">
        <f>CEILING((dram_access_latency+F2743/dram_bandwidth)*frequency,1)</f>
        <v>4196</v>
      </c>
      <c r="I2743">
        <f>G2743+H2743</f>
        <v>3715482</v>
      </c>
      <c r="J2743">
        <f>IF(AND(D2743&lt;&gt;"dram",D2743&lt;&gt;"control"),H2743,0)</f>
        <v>0</v>
      </c>
      <c r="K2743">
        <f>IF(D2743="dram",H2743,0)</f>
        <v>4196</v>
      </c>
      <c r="L2743">
        <v>262144</v>
      </c>
      <c r="M2743">
        <v>0</v>
      </c>
    </row>
    <row r="2744" spans="1:13">
      <c r="A2744">
        <v>2742</v>
      </c>
      <c r="B2744" t="s">
        <v>372</v>
      </c>
      <c r="C2744" t="s">
        <v>82</v>
      </c>
      <c r="D2744" t="s">
        <v>83</v>
      </c>
      <c r="E2744" t="s">
        <v>405</v>
      </c>
      <c r="F2744">
        <v>16</v>
      </c>
      <c r="G2744">
        <f>MAX(I2741,I2743)</f>
        <v>3715482</v>
      </c>
      <c r="H2744">
        <f>CEILING((dram_access_latency+F2744/dram_bandwidth)*frequency,1)</f>
        <v>101</v>
      </c>
      <c r="I2744">
        <f>G2744+H2744</f>
        <v>3715583</v>
      </c>
      <c r="J2744">
        <f>IF(AND(D2744&lt;&gt;"dram",D2744&lt;&gt;"control"),H2744,0)</f>
        <v>0</v>
      </c>
      <c r="K2744">
        <f>IF(D2744="dram",H2744,0)</f>
        <v>101</v>
      </c>
      <c r="L2744">
        <v>16</v>
      </c>
      <c r="M2744">
        <v>0</v>
      </c>
    </row>
    <row r="2745" spans="1:13">
      <c r="A2745">
        <v>2743</v>
      </c>
      <c r="B2745" t="s">
        <v>373</v>
      </c>
      <c r="C2745" t="s">
        <v>82</v>
      </c>
      <c r="D2745" t="s">
        <v>83</v>
      </c>
      <c r="E2745" t="s">
        <v>405</v>
      </c>
      <c r="F2745">
        <v>8192</v>
      </c>
      <c r="G2745">
        <f>MAX(I2741,I2744)</f>
        <v>3715583</v>
      </c>
      <c r="H2745">
        <f>CEILING((dram_access_latency+F2745/dram_bandwidth)*frequency,1)</f>
        <v>228</v>
      </c>
      <c r="I2745">
        <f>G2745+H2745</f>
        <v>3715811</v>
      </c>
      <c r="J2745">
        <f>IF(AND(D2745&lt;&gt;"dram",D2745&lt;&gt;"control"),H2745,0)</f>
        <v>0</v>
      </c>
      <c r="K2745">
        <f>IF(D2745="dram",H2745,0)</f>
        <v>228</v>
      </c>
      <c r="L2745">
        <v>8192</v>
      </c>
      <c r="M2745">
        <v>0</v>
      </c>
    </row>
    <row r="2746" spans="1:13">
      <c r="A2746">
        <v>2744</v>
      </c>
      <c r="B2746" t="s">
        <v>62</v>
      </c>
      <c r="C2746" t="s">
        <v>90</v>
      </c>
      <c r="D2746" t="s">
        <v>108</v>
      </c>
      <c r="E2746" t="s">
        <v>405</v>
      </c>
      <c r="F2746">
        <v>0</v>
      </c>
      <c r="G2746">
        <f>MAX(I2740,I2740,I2742,I2743,I2744,I2745,I2581)</f>
        <v>3719630</v>
      </c>
      <c r="H2746">
        <f>'Operations'!I26</f>
        <v>8452</v>
      </c>
      <c r="I2746">
        <f>G2746+H2746</f>
        <v>3728082</v>
      </c>
      <c r="J2746">
        <f>IF(AND(D2746&lt;&gt;"dram",D2746&lt;&gt;"control"),H2746,0)</f>
        <v>8452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375</v>
      </c>
      <c r="C2747" t="s">
        <v>88</v>
      </c>
      <c r="D2747" t="s">
        <v>89</v>
      </c>
      <c r="E2747" t="s">
        <v>405</v>
      </c>
      <c r="F2747">
        <v>0</v>
      </c>
      <c r="G2747">
        <f>MAX(I2741,I2740)</f>
        <v>3711178</v>
      </c>
      <c r="H2747">
        <f>0</f>
        <v>8452</v>
      </c>
      <c r="I2747">
        <f>G2747+H2747</f>
        <v>3719630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370</v>
      </c>
      <c r="C2748" t="s">
        <v>82</v>
      </c>
      <c r="D2748" t="s">
        <v>83</v>
      </c>
      <c r="E2748" t="s">
        <v>406</v>
      </c>
      <c r="F2748">
        <v>512</v>
      </c>
      <c r="G2748">
        <f>MAX(I2747,I2745)</f>
        <v>3719630</v>
      </c>
      <c r="H2748">
        <f>CEILING((dram_access_latency+F2748/dram_bandwidth)*frequency,1)</f>
        <v>108</v>
      </c>
      <c r="I2748">
        <f>G2748+H2748</f>
        <v>3719738</v>
      </c>
      <c r="J2748">
        <f>IF(AND(D2748&lt;&gt;"dram",D2748&lt;&gt;"control"),H2748,0)</f>
        <v>0</v>
      </c>
      <c r="K2748">
        <f>IF(D2748="dram",H2748,0)</f>
        <v>108</v>
      </c>
      <c r="L2748">
        <v>512</v>
      </c>
      <c r="M2748">
        <v>0</v>
      </c>
    </row>
    <row r="2749" spans="1:13">
      <c r="A2749">
        <v>2747</v>
      </c>
      <c r="B2749" t="s">
        <v>371</v>
      </c>
      <c r="C2749" t="s">
        <v>82</v>
      </c>
      <c r="D2749" t="s">
        <v>83</v>
      </c>
      <c r="E2749" t="s">
        <v>406</v>
      </c>
      <c r="F2749">
        <v>262144</v>
      </c>
      <c r="G2749">
        <f>MAX(I2747,I2748)</f>
        <v>3719738</v>
      </c>
      <c r="H2749">
        <f>CEILING((dram_access_latency+F2749/dram_bandwidth)*frequency,1)</f>
        <v>4196</v>
      </c>
      <c r="I2749">
        <f>G2749+H2749</f>
        <v>3723934</v>
      </c>
      <c r="J2749">
        <f>IF(AND(D2749&lt;&gt;"dram",D2749&lt;&gt;"control"),H2749,0)</f>
        <v>0</v>
      </c>
      <c r="K2749">
        <f>IF(D2749="dram",H2749,0)</f>
        <v>4196</v>
      </c>
      <c r="L2749">
        <v>262144</v>
      </c>
      <c r="M2749">
        <v>0</v>
      </c>
    </row>
    <row r="2750" spans="1:13">
      <c r="A2750">
        <v>2748</v>
      </c>
      <c r="B2750" t="s">
        <v>372</v>
      </c>
      <c r="C2750" t="s">
        <v>82</v>
      </c>
      <c r="D2750" t="s">
        <v>83</v>
      </c>
      <c r="E2750" t="s">
        <v>406</v>
      </c>
      <c r="F2750">
        <v>16</v>
      </c>
      <c r="G2750">
        <f>MAX(I2747,I2749)</f>
        <v>3723934</v>
      </c>
      <c r="H2750">
        <f>CEILING((dram_access_latency+F2750/dram_bandwidth)*frequency,1)</f>
        <v>101</v>
      </c>
      <c r="I2750">
        <f>G2750+H2750</f>
        <v>3724035</v>
      </c>
      <c r="J2750">
        <f>IF(AND(D2750&lt;&gt;"dram",D2750&lt;&gt;"control"),H2750,0)</f>
        <v>0</v>
      </c>
      <c r="K2750">
        <f>IF(D2750="dram",H2750,0)</f>
        <v>101</v>
      </c>
      <c r="L2750">
        <v>16</v>
      </c>
      <c r="M2750">
        <v>0</v>
      </c>
    </row>
    <row r="2751" spans="1:13">
      <c r="A2751">
        <v>2749</v>
      </c>
      <c r="B2751" t="s">
        <v>373</v>
      </c>
      <c r="C2751" t="s">
        <v>82</v>
      </c>
      <c r="D2751" t="s">
        <v>83</v>
      </c>
      <c r="E2751" t="s">
        <v>406</v>
      </c>
      <c r="F2751">
        <v>8192</v>
      </c>
      <c r="G2751">
        <f>MAX(I2747,I2750)</f>
        <v>3724035</v>
      </c>
      <c r="H2751">
        <f>CEILING((dram_access_latency+F2751/dram_bandwidth)*frequency,1)</f>
        <v>228</v>
      </c>
      <c r="I2751">
        <f>G2751+H2751</f>
        <v>3724263</v>
      </c>
      <c r="J2751">
        <f>IF(AND(D2751&lt;&gt;"dram",D2751&lt;&gt;"control"),H2751,0)</f>
        <v>0</v>
      </c>
      <c r="K2751">
        <f>IF(D2751="dram",H2751,0)</f>
        <v>228</v>
      </c>
      <c r="L2751">
        <v>8192</v>
      </c>
      <c r="M2751">
        <v>0</v>
      </c>
    </row>
    <row r="2752" spans="1:13">
      <c r="A2752">
        <v>2750</v>
      </c>
      <c r="B2752" t="s">
        <v>62</v>
      </c>
      <c r="C2752" t="s">
        <v>90</v>
      </c>
      <c r="D2752" t="s">
        <v>108</v>
      </c>
      <c r="E2752" t="s">
        <v>406</v>
      </c>
      <c r="F2752">
        <v>0</v>
      </c>
      <c r="G2752">
        <f>MAX(I2746,I2746,I2748,I2749,I2750,I2751,I2581)</f>
        <v>3728082</v>
      </c>
      <c r="H2752">
        <f>'Operations'!I26</f>
        <v>8452</v>
      </c>
      <c r="I2752">
        <f>G2752+H2752</f>
        <v>3736534</v>
      </c>
      <c r="J2752">
        <f>IF(AND(D2752&lt;&gt;"dram",D2752&lt;&gt;"control"),H2752,0)</f>
        <v>8452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375</v>
      </c>
      <c r="C2753" t="s">
        <v>88</v>
      </c>
      <c r="D2753" t="s">
        <v>89</v>
      </c>
      <c r="E2753" t="s">
        <v>406</v>
      </c>
      <c r="F2753">
        <v>0</v>
      </c>
      <c r="G2753">
        <f>MAX(I2747,I2746)</f>
        <v>3719630</v>
      </c>
      <c r="H2753">
        <f>0</f>
        <v>8452</v>
      </c>
      <c r="I2753">
        <f>G2753+H2753</f>
        <v>3728082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370</v>
      </c>
      <c r="C2754" t="s">
        <v>82</v>
      </c>
      <c r="D2754" t="s">
        <v>83</v>
      </c>
      <c r="E2754" t="s">
        <v>407</v>
      </c>
      <c r="F2754">
        <v>512</v>
      </c>
      <c r="G2754">
        <f>MAX(I2753,I2751)</f>
        <v>3728082</v>
      </c>
      <c r="H2754">
        <f>CEILING((dram_access_latency+F2754/dram_bandwidth)*frequency,1)</f>
        <v>108</v>
      </c>
      <c r="I2754">
        <f>G2754+H2754</f>
        <v>3728190</v>
      </c>
      <c r="J2754">
        <f>IF(AND(D2754&lt;&gt;"dram",D2754&lt;&gt;"control"),H2754,0)</f>
        <v>0</v>
      </c>
      <c r="K2754">
        <f>IF(D2754="dram",H2754,0)</f>
        <v>108</v>
      </c>
      <c r="L2754">
        <v>512</v>
      </c>
      <c r="M2754">
        <v>0</v>
      </c>
    </row>
    <row r="2755" spans="1:13">
      <c r="A2755">
        <v>2753</v>
      </c>
      <c r="B2755" t="s">
        <v>371</v>
      </c>
      <c r="C2755" t="s">
        <v>82</v>
      </c>
      <c r="D2755" t="s">
        <v>83</v>
      </c>
      <c r="E2755" t="s">
        <v>407</v>
      </c>
      <c r="F2755">
        <v>262144</v>
      </c>
      <c r="G2755">
        <f>MAX(I2753,I2754)</f>
        <v>3728190</v>
      </c>
      <c r="H2755">
        <f>CEILING((dram_access_latency+F2755/dram_bandwidth)*frequency,1)</f>
        <v>4196</v>
      </c>
      <c r="I2755">
        <f>G2755+H2755</f>
        <v>3732386</v>
      </c>
      <c r="J2755">
        <f>IF(AND(D2755&lt;&gt;"dram",D2755&lt;&gt;"control"),H2755,0)</f>
        <v>0</v>
      </c>
      <c r="K2755">
        <f>IF(D2755="dram",H2755,0)</f>
        <v>4196</v>
      </c>
      <c r="L2755">
        <v>262144</v>
      </c>
      <c r="M2755">
        <v>0</v>
      </c>
    </row>
    <row r="2756" spans="1:13">
      <c r="A2756">
        <v>2754</v>
      </c>
      <c r="B2756" t="s">
        <v>372</v>
      </c>
      <c r="C2756" t="s">
        <v>82</v>
      </c>
      <c r="D2756" t="s">
        <v>83</v>
      </c>
      <c r="E2756" t="s">
        <v>407</v>
      </c>
      <c r="F2756">
        <v>16</v>
      </c>
      <c r="G2756">
        <f>MAX(I2753,I2755)</f>
        <v>3732386</v>
      </c>
      <c r="H2756">
        <f>CEILING((dram_access_latency+F2756/dram_bandwidth)*frequency,1)</f>
        <v>101</v>
      </c>
      <c r="I2756">
        <f>G2756+H2756</f>
        <v>3732487</v>
      </c>
      <c r="J2756">
        <f>IF(AND(D2756&lt;&gt;"dram",D2756&lt;&gt;"control"),H2756,0)</f>
        <v>0</v>
      </c>
      <c r="K2756">
        <f>IF(D2756="dram",H2756,0)</f>
        <v>101</v>
      </c>
      <c r="L2756">
        <v>16</v>
      </c>
      <c r="M2756">
        <v>0</v>
      </c>
    </row>
    <row r="2757" spans="1:13">
      <c r="A2757">
        <v>2755</v>
      </c>
      <c r="B2757" t="s">
        <v>373</v>
      </c>
      <c r="C2757" t="s">
        <v>82</v>
      </c>
      <c r="D2757" t="s">
        <v>83</v>
      </c>
      <c r="E2757" t="s">
        <v>407</v>
      </c>
      <c r="F2757">
        <v>8192</v>
      </c>
      <c r="G2757">
        <f>MAX(I2753,I2756)</f>
        <v>3732487</v>
      </c>
      <c r="H2757">
        <f>CEILING((dram_access_latency+F2757/dram_bandwidth)*frequency,1)</f>
        <v>228</v>
      </c>
      <c r="I2757">
        <f>G2757+H2757</f>
        <v>3732715</v>
      </c>
      <c r="J2757">
        <f>IF(AND(D2757&lt;&gt;"dram",D2757&lt;&gt;"control"),H2757,0)</f>
        <v>0</v>
      </c>
      <c r="K2757">
        <f>IF(D2757="dram",H2757,0)</f>
        <v>228</v>
      </c>
      <c r="L2757">
        <v>8192</v>
      </c>
      <c r="M2757">
        <v>0</v>
      </c>
    </row>
    <row r="2758" spans="1:13">
      <c r="A2758">
        <v>2756</v>
      </c>
      <c r="B2758" t="s">
        <v>62</v>
      </c>
      <c r="C2758" t="s">
        <v>90</v>
      </c>
      <c r="D2758" t="s">
        <v>108</v>
      </c>
      <c r="E2758" t="s">
        <v>407</v>
      </c>
      <c r="F2758">
        <v>0</v>
      </c>
      <c r="G2758">
        <f>MAX(I2752,I2752,I2754,I2755,I2756,I2757,I2581)</f>
        <v>3736534</v>
      </c>
      <c r="H2758">
        <f>'Operations'!I26</f>
        <v>8452</v>
      </c>
      <c r="I2758">
        <f>G2758+H2758</f>
        <v>3744986</v>
      </c>
      <c r="J2758">
        <f>IF(AND(D2758&lt;&gt;"dram",D2758&lt;&gt;"control"),H2758,0)</f>
        <v>8452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375</v>
      </c>
      <c r="C2759" t="s">
        <v>88</v>
      </c>
      <c r="D2759" t="s">
        <v>89</v>
      </c>
      <c r="E2759" t="s">
        <v>407</v>
      </c>
      <c r="F2759">
        <v>0</v>
      </c>
      <c r="G2759">
        <f>MAX(I2753,I2752)</f>
        <v>3728082</v>
      </c>
      <c r="H2759">
        <f>0</f>
        <v>8452</v>
      </c>
      <c r="I2759">
        <f>G2759+H2759</f>
        <v>3736534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370</v>
      </c>
      <c r="C2760" t="s">
        <v>82</v>
      </c>
      <c r="D2760" t="s">
        <v>83</v>
      </c>
      <c r="E2760" t="s">
        <v>408</v>
      </c>
      <c r="F2760">
        <v>512</v>
      </c>
      <c r="G2760">
        <f>MAX(I2759,I2757)</f>
        <v>3736534</v>
      </c>
      <c r="H2760">
        <f>CEILING((dram_access_latency+F2760/dram_bandwidth)*frequency,1)</f>
        <v>108</v>
      </c>
      <c r="I2760">
        <f>G2760+H2760</f>
        <v>3736642</v>
      </c>
      <c r="J2760">
        <f>IF(AND(D2760&lt;&gt;"dram",D2760&lt;&gt;"control"),H2760,0)</f>
        <v>0</v>
      </c>
      <c r="K2760">
        <f>IF(D2760="dram",H2760,0)</f>
        <v>108</v>
      </c>
      <c r="L2760">
        <v>512</v>
      </c>
      <c r="M2760">
        <v>0</v>
      </c>
    </row>
    <row r="2761" spans="1:13">
      <c r="A2761">
        <v>2759</v>
      </c>
      <c r="B2761" t="s">
        <v>371</v>
      </c>
      <c r="C2761" t="s">
        <v>82</v>
      </c>
      <c r="D2761" t="s">
        <v>83</v>
      </c>
      <c r="E2761" t="s">
        <v>408</v>
      </c>
      <c r="F2761">
        <v>262144</v>
      </c>
      <c r="G2761">
        <f>MAX(I2759,I2760)</f>
        <v>3736642</v>
      </c>
      <c r="H2761">
        <f>CEILING((dram_access_latency+F2761/dram_bandwidth)*frequency,1)</f>
        <v>4196</v>
      </c>
      <c r="I2761">
        <f>G2761+H2761</f>
        <v>3740838</v>
      </c>
      <c r="J2761">
        <f>IF(AND(D2761&lt;&gt;"dram",D2761&lt;&gt;"control"),H2761,0)</f>
        <v>0</v>
      </c>
      <c r="K2761">
        <f>IF(D2761="dram",H2761,0)</f>
        <v>4196</v>
      </c>
      <c r="L2761">
        <v>262144</v>
      </c>
      <c r="M2761">
        <v>0</v>
      </c>
    </row>
    <row r="2762" spans="1:13">
      <c r="A2762">
        <v>2760</v>
      </c>
      <c r="B2762" t="s">
        <v>372</v>
      </c>
      <c r="C2762" t="s">
        <v>82</v>
      </c>
      <c r="D2762" t="s">
        <v>83</v>
      </c>
      <c r="E2762" t="s">
        <v>408</v>
      </c>
      <c r="F2762">
        <v>16</v>
      </c>
      <c r="G2762">
        <f>MAX(I2759,I2761)</f>
        <v>3740838</v>
      </c>
      <c r="H2762">
        <f>CEILING((dram_access_latency+F2762/dram_bandwidth)*frequency,1)</f>
        <v>101</v>
      </c>
      <c r="I2762">
        <f>G2762+H2762</f>
        <v>3740939</v>
      </c>
      <c r="J2762">
        <f>IF(AND(D2762&lt;&gt;"dram",D2762&lt;&gt;"control"),H2762,0)</f>
        <v>0</v>
      </c>
      <c r="K2762">
        <f>IF(D2762="dram",H2762,0)</f>
        <v>101</v>
      </c>
      <c r="L2762">
        <v>16</v>
      </c>
      <c r="M2762">
        <v>0</v>
      </c>
    </row>
    <row r="2763" spans="1:13">
      <c r="A2763">
        <v>2761</v>
      </c>
      <c r="B2763" t="s">
        <v>373</v>
      </c>
      <c r="C2763" t="s">
        <v>82</v>
      </c>
      <c r="D2763" t="s">
        <v>83</v>
      </c>
      <c r="E2763" t="s">
        <v>408</v>
      </c>
      <c r="F2763">
        <v>8192</v>
      </c>
      <c r="G2763">
        <f>MAX(I2759,I2762)</f>
        <v>3740939</v>
      </c>
      <c r="H2763">
        <f>CEILING((dram_access_latency+F2763/dram_bandwidth)*frequency,1)</f>
        <v>228</v>
      </c>
      <c r="I2763">
        <f>G2763+H2763</f>
        <v>3741167</v>
      </c>
      <c r="J2763">
        <f>IF(AND(D2763&lt;&gt;"dram",D2763&lt;&gt;"control"),H2763,0)</f>
        <v>0</v>
      </c>
      <c r="K2763">
        <f>IF(D2763="dram",H2763,0)</f>
        <v>228</v>
      </c>
      <c r="L2763">
        <v>8192</v>
      </c>
      <c r="M2763">
        <v>0</v>
      </c>
    </row>
    <row r="2764" spans="1:13">
      <c r="A2764">
        <v>2762</v>
      </c>
      <c r="B2764" t="s">
        <v>62</v>
      </c>
      <c r="C2764" t="s">
        <v>90</v>
      </c>
      <c r="D2764" t="s">
        <v>108</v>
      </c>
      <c r="E2764" t="s">
        <v>408</v>
      </c>
      <c r="F2764">
        <v>0</v>
      </c>
      <c r="G2764">
        <f>MAX(I2758,I2758,I2760,I2761,I2762,I2763,I2581)</f>
        <v>3744986</v>
      </c>
      <c r="H2764">
        <f>'Operations'!I26</f>
        <v>8452</v>
      </c>
      <c r="I2764">
        <f>G2764+H2764</f>
        <v>3753438</v>
      </c>
      <c r="J2764">
        <f>IF(AND(D2764&lt;&gt;"dram",D2764&lt;&gt;"control"),H2764,0)</f>
        <v>8452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375</v>
      </c>
      <c r="C2765" t="s">
        <v>88</v>
      </c>
      <c r="D2765" t="s">
        <v>89</v>
      </c>
      <c r="E2765" t="s">
        <v>408</v>
      </c>
      <c r="F2765">
        <v>0</v>
      </c>
      <c r="G2765">
        <f>MAX(I2759,I2758)</f>
        <v>3736534</v>
      </c>
      <c r="H2765">
        <f>0</f>
        <v>8452</v>
      </c>
      <c r="I2765">
        <f>G2765+H2765</f>
        <v>3744986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370</v>
      </c>
      <c r="C2766" t="s">
        <v>82</v>
      </c>
      <c r="D2766" t="s">
        <v>83</v>
      </c>
      <c r="E2766" t="s">
        <v>409</v>
      </c>
      <c r="F2766">
        <v>512</v>
      </c>
      <c r="G2766">
        <f>MAX(I2765,I2763)</f>
        <v>3744986</v>
      </c>
      <c r="H2766">
        <f>CEILING((dram_access_latency+F2766/dram_bandwidth)*frequency,1)</f>
        <v>108</v>
      </c>
      <c r="I2766">
        <f>G2766+H2766</f>
        <v>3745094</v>
      </c>
      <c r="J2766">
        <f>IF(AND(D2766&lt;&gt;"dram",D2766&lt;&gt;"control"),H2766,0)</f>
        <v>0</v>
      </c>
      <c r="K2766">
        <f>IF(D2766="dram",H2766,0)</f>
        <v>108</v>
      </c>
      <c r="L2766">
        <v>512</v>
      </c>
      <c r="M2766">
        <v>0</v>
      </c>
    </row>
    <row r="2767" spans="1:13">
      <c r="A2767">
        <v>2765</v>
      </c>
      <c r="B2767" t="s">
        <v>371</v>
      </c>
      <c r="C2767" t="s">
        <v>82</v>
      </c>
      <c r="D2767" t="s">
        <v>83</v>
      </c>
      <c r="E2767" t="s">
        <v>409</v>
      </c>
      <c r="F2767">
        <v>262144</v>
      </c>
      <c r="G2767">
        <f>MAX(I2765,I2766)</f>
        <v>3745094</v>
      </c>
      <c r="H2767">
        <f>CEILING((dram_access_latency+F2767/dram_bandwidth)*frequency,1)</f>
        <v>4196</v>
      </c>
      <c r="I2767">
        <f>G2767+H2767</f>
        <v>3749290</v>
      </c>
      <c r="J2767">
        <f>IF(AND(D2767&lt;&gt;"dram",D2767&lt;&gt;"control"),H2767,0)</f>
        <v>0</v>
      </c>
      <c r="K2767">
        <f>IF(D2767="dram",H2767,0)</f>
        <v>4196</v>
      </c>
      <c r="L2767">
        <v>262144</v>
      </c>
      <c r="M2767">
        <v>0</v>
      </c>
    </row>
    <row r="2768" spans="1:13">
      <c r="A2768">
        <v>2766</v>
      </c>
      <c r="B2768" t="s">
        <v>372</v>
      </c>
      <c r="C2768" t="s">
        <v>82</v>
      </c>
      <c r="D2768" t="s">
        <v>83</v>
      </c>
      <c r="E2768" t="s">
        <v>409</v>
      </c>
      <c r="F2768">
        <v>16</v>
      </c>
      <c r="G2768">
        <f>MAX(I2765,I2767)</f>
        <v>3749290</v>
      </c>
      <c r="H2768">
        <f>CEILING((dram_access_latency+F2768/dram_bandwidth)*frequency,1)</f>
        <v>101</v>
      </c>
      <c r="I2768">
        <f>G2768+H2768</f>
        <v>3749391</v>
      </c>
      <c r="J2768">
        <f>IF(AND(D2768&lt;&gt;"dram",D2768&lt;&gt;"control"),H2768,0)</f>
        <v>0</v>
      </c>
      <c r="K2768">
        <f>IF(D2768="dram",H2768,0)</f>
        <v>101</v>
      </c>
      <c r="L2768">
        <v>16</v>
      </c>
      <c r="M2768">
        <v>0</v>
      </c>
    </row>
    <row r="2769" spans="1:13">
      <c r="A2769">
        <v>2767</v>
      </c>
      <c r="B2769" t="s">
        <v>373</v>
      </c>
      <c r="C2769" t="s">
        <v>82</v>
      </c>
      <c r="D2769" t="s">
        <v>83</v>
      </c>
      <c r="E2769" t="s">
        <v>409</v>
      </c>
      <c r="F2769">
        <v>8192</v>
      </c>
      <c r="G2769">
        <f>MAX(I2765,I2768)</f>
        <v>3749391</v>
      </c>
      <c r="H2769">
        <f>CEILING((dram_access_latency+F2769/dram_bandwidth)*frequency,1)</f>
        <v>228</v>
      </c>
      <c r="I2769">
        <f>G2769+H2769</f>
        <v>3749619</v>
      </c>
      <c r="J2769">
        <f>IF(AND(D2769&lt;&gt;"dram",D2769&lt;&gt;"control"),H2769,0)</f>
        <v>0</v>
      </c>
      <c r="K2769">
        <f>IF(D2769="dram",H2769,0)</f>
        <v>228</v>
      </c>
      <c r="L2769">
        <v>8192</v>
      </c>
      <c r="M2769">
        <v>0</v>
      </c>
    </row>
    <row r="2770" spans="1:13">
      <c r="A2770">
        <v>2768</v>
      </c>
      <c r="B2770" t="s">
        <v>62</v>
      </c>
      <c r="C2770" t="s">
        <v>90</v>
      </c>
      <c r="D2770" t="s">
        <v>108</v>
      </c>
      <c r="E2770" t="s">
        <v>409</v>
      </c>
      <c r="F2770">
        <v>0</v>
      </c>
      <c r="G2770">
        <f>MAX(I2764,I2764,I2766,I2767,I2768,I2769,I2581)</f>
        <v>3753438</v>
      </c>
      <c r="H2770">
        <f>'Operations'!I26</f>
        <v>8452</v>
      </c>
      <c r="I2770">
        <f>G2770+H2770</f>
        <v>3761890</v>
      </c>
      <c r="J2770">
        <f>IF(AND(D2770&lt;&gt;"dram",D2770&lt;&gt;"control"),H2770,0)</f>
        <v>8452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375</v>
      </c>
      <c r="C2771" t="s">
        <v>88</v>
      </c>
      <c r="D2771" t="s">
        <v>89</v>
      </c>
      <c r="E2771" t="s">
        <v>409</v>
      </c>
      <c r="F2771">
        <v>0</v>
      </c>
      <c r="G2771">
        <f>MAX(I2765,I2764)</f>
        <v>3744986</v>
      </c>
      <c r="H2771">
        <f>0</f>
        <v>8452</v>
      </c>
      <c r="I2771">
        <f>G2771+H2771</f>
        <v>3753438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370</v>
      </c>
      <c r="C2772" t="s">
        <v>82</v>
      </c>
      <c r="D2772" t="s">
        <v>83</v>
      </c>
      <c r="E2772" t="s">
        <v>410</v>
      </c>
      <c r="F2772">
        <v>512</v>
      </c>
      <c r="G2772">
        <f>MAX(I2771,I2769)</f>
        <v>3753438</v>
      </c>
      <c r="H2772">
        <f>CEILING((dram_access_latency+F2772/dram_bandwidth)*frequency,1)</f>
        <v>108</v>
      </c>
      <c r="I2772">
        <f>G2772+H2772</f>
        <v>3753546</v>
      </c>
      <c r="J2772">
        <f>IF(AND(D2772&lt;&gt;"dram",D2772&lt;&gt;"control"),H2772,0)</f>
        <v>0</v>
      </c>
      <c r="K2772">
        <f>IF(D2772="dram",H2772,0)</f>
        <v>108</v>
      </c>
      <c r="L2772">
        <v>512</v>
      </c>
      <c r="M2772">
        <v>0</v>
      </c>
    </row>
    <row r="2773" spans="1:13">
      <c r="A2773">
        <v>2771</v>
      </c>
      <c r="B2773" t="s">
        <v>371</v>
      </c>
      <c r="C2773" t="s">
        <v>82</v>
      </c>
      <c r="D2773" t="s">
        <v>83</v>
      </c>
      <c r="E2773" t="s">
        <v>410</v>
      </c>
      <c r="F2773">
        <v>262144</v>
      </c>
      <c r="G2773">
        <f>MAX(I2771,I2772)</f>
        <v>3753546</v>
      </c>
      <c r="H2773">
        <f>CEILING((dram_access_latency+F2773/dram_bandwidth)*frequency,1)</f>
        <v>4196</v>
      </c>
      <c r="I2773">
        <f>G2773+H2773</f>
        <v>3757742</v>
      </c>
      <c r="J2773">
        <f>IF(AND(D2773&lt;&gt;"dram",D2773&lt;&gt;"control"),H2773,0)</f>
        <v>0</v>
      </c>
      <c r="K2773">
        <f>IF(D2773="dram",H2773,0)</f>
        <v>4196</v>
      </c>
      <c r="L2773">
        <v>262144</v>
      </c>
      <c r="M2773">
        <v>0</v>
      </c>
    </row>
    <row r="2774" spans="1:13">
      <c r="A2774">
        <v>2772</v>
      </c>
      <c r="B2774" t="s">
        <v>372</v>
      </c>
      <c r="C2774" t="s">
        <v>82</v>
      </c>
      <c r="D2774" t="s">
        <v>83</v>
      </c>
      <c r="E2774" t="s">
        <v>410</v>
      </c>
      <c r="F2774">
        <v>16</v>
      </c>
      <c r="G2774">
        <f>MAX(I2771,I2773)</f>
        <v>3757742</v>
      </c>
      <c r="H2774">
        <f>CEILING((dram_access_latency+F2774/dram_bandwidth)*frequency,1)</f>
        <v>101</v>
      </c>
      <c r="I2774">
        <f>G2774+H2774</f>
        <v>3757843</v>
      </c>
      <c r="J2774">
        <f>IF(AND(D2774&lt;&gt;"dram",D2774&lt;&gt;"control"),H2774,0)</f>
        <v>0</v>
      </c>
      <c r="K2774">
        <f>IF(D2774="dram",H2774,0)</f>
        <v>101</v>
      </c>
      <c r="L2774">
        <v>16</v>
      </c>
      <c r="M2774">
        <v>0</v>
      </c>
    </row>
    <row r="2775" spans="1:13">
      <c r="A2775">
        <v>2773</v>
      </c>
      <c r="B2775" t="s">
        <v>373</v>
      </c>
      <c r="C2775" t="s">
        <v>82</v>
      </c>
      <c r="D2775" t="s">
        <v>83</v>
      </c>
      <c r="E2775" t="s">
        <v>410</v>
      </c>
      <c r="F2775">
        <v>8192</v>
      </c>
      <c r="G2775">
        <f>MAX(I2771,I2774)</f>
        <v>3757843</v>
      </c>
      <c r="H2775">
        <f>CEILING((dram_access_latency+F2775/dram_bandwidth)*frequency,1)</f>
        <v>228</v>
      </c>
      <c r="I2775">
        <f>G2775+H2775</f>
        <v>3758071</v>
      </c>
      <c r="J2775">
        <f>IF(AND(D2775&lt;&gt;"dram",D2775&lt;&gt;"control"),H2775,0)</f>
        <v>0</v>
      </c>
      <c r="K2775">
        <f>IF(D2775="dram",H2775,0)</f>
        <v>228</v>
      </c>
      <c r="L2775">
        <v>8192</v>
      </c>
      <c r="M2775">
        <v>0</v>
      </c>
    </row>
    <row r="2776" spans="1:13">
      <c r="A2776">
        <v>2774</v>
      </c>
      <c r="B2776" t="s">
        <v>62</v>
      </c>
      <c r="C2776" t="s">
        <v>90</v>
      </c>
      <c r="D2776" t="s">
        <v>108</v>
      </c>
      <c r="E2776" t="s">
        <v>410</v>
      </c>
      <c r="F2776">
        <v>0</v>
      </c>
      <c r="G2776">
        <f>MAX(I2770,I2770,I2772,I2773,I2774,I2775,I2581)</f>
        <v>3761890</v>
      </c>
      <c r="H2776">
        <f>'Operations'!I26</f>
        <v>8452</v>
      </c>
      <c r="I2776">
        <f>G2776+H2776</f>
        <v>3770342</v>
      </c>
      <c r="J2776">
        <f>IF(AND(D2776&lt;&gt;"dram",D2776&lt;&gt;"control"),H2776,0)</f>
        <v>8452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375</v>
      </c>
      <c r="C2777" t="s">
        <v>88</v>
      </c>
      <c r="D2777" t="s">
        <v>89</v>
      </c>
      <c r="E2777" t="s">
        <v>410</v>
      </c>
      <c r="F2777">
        <v>0</v>
      </c>
      <c r="G2777">
        <f>MAX(I2771,I2770)</f>
        <v>3753438</v>
      </c>
      <c r="H2777">
        <f>0</f>
        <v>8452</v>
      </c>
      <c r="I2777">
        <f>G2777+H2777</f>
        <v>3761890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370</v>
      </c>
      <c r="C2778" t="s">
        <v>82</v>
      </c>
      <c r="D2778" t="s">
        <v>83</v>
      </c>
      <c r="E2778" t="s">
        <v>411</v>
      </c>
      <c r="F2778">
        <v>512</v>
      </c>
      <c r="G2778">
        <f>MAX(I2777,I2775)</f>
        <v>3761890</v>
      </c>
      <c r="H2778">
        <f>CEILING((dram_access_latency+F2778/dram_bandwidth)*frequency,1)</f>
        <v>108</v>
      </c>
      <c r="I2778">
        <f>G2778+H2778</f>
        <v>3761998</v>
      </c>
      <c r="J2778">
        <f>IF(AND(D2778&lt;&gt;"dram",D2778&lt;&gt;"control"),H2778,0)</f>
        <v>0</v>
      </c>
      <c r="K2778">
        <f>IF(D2778="dram",H2778,0)</f>
        <v>108</v>
      </c>
      <c r="L2778">
        <v>512</v>
      </c>
      <c r="M2778">
        <v>0</v>
      </c>
    </row>
    <row r="2779" spans="1:13">
      <c r="A2779">
        <v>2777</v>
      </c>
      <c r="B2779" t="s">
        <v>371</v>
      </c>
      <c r="C2779" t="s">
        <v>82</v>
      </c>
      <c r="D2779" t="s">
        <v>83</v>
      </c>
      <c r="E2779" t="s">
        <v>411</v>
      </c>
      <c r="F2779">
        <v>262144</v>
      </c>
      <c r="G2779">
        <f>MAX(I2777,I2778)</f>
        <v>3761998</v>
      </c>
      <c r="H2779">
        <f>CEILING((dram_access_latency+F2779/dram_bandwidth)*frequency,1)</f>
        <v>4196</v>
      </c>
      <c r="I2779">
        <f>G2779+H2779</f>
        <v>3766194</v>
      </c>
      <c r="J2779">
        <f>IF(AND(D2779&lt;&gt;"dram",D2779&lt;&gt;"control"),H2779,0)</f>
        <v>0</v>
      </c>
      <c r="K2779">
        <f>IF(D2779="dram",H2779,0)</f>
        <v>4196</v>
      </c>
      <c r="L2779">
        <v>262144</v>
      </c>
      <c r="M2779">
        <v>0</v>
      </c>
    </row>
    <row r="2780" spans="1:13">
      <c r="A2780">
        <v>2778</v>
      </c>
      <c r="B2780" t="s">
        <v>372</v>
      </c>
      <c r="C2780" t="s">
        <v>82</v>
      </c>
      <c r="D2780" t="s">
        <v>83</v>
      </c>
      <c r="E2780" t="s">
        <v>411</v>
      </c>
      <c r="F2780">
        <v>16</v>
      </c>
      <c r="G2780">
        <f>MAX(I2777,I2779)</f>
        <v>3766194</v>
      </c>
      <c r="H2780">
        <f>CEILING((dram_access_latency+F2780/dram_bandwidth)*frequency,1)</f>
        <v>101</v>
      </c>
      <c r="I2780">
        <f>G2780+H2780</f>
        <v>3766295</v>
      </c>
      <c r="J2780">
        <f>IF(AND(D2780&lt;&gt;"dram",D2780&lt;&gt;"control"),H2780,0)</f>
        <v>0</v>
      </c>
      <c r="K2780">
        <f>IF(D2780="dram",H2780,0)</f>
        <v>101</v>
      </c>
      <c r="L2780">
        <v>16</v>
      </c>
      <c r="M2780">
        <v>0</v>
      </c>
    </row>
    <row r="2781" spans="1:13">
      <c r="A2781">
        <v>2779</v>
      </c>
      <c r="B2781" t="s">
        <v>373</v>
      </c>
      <c r="C2781" t="s">
        <v>82</v>
      </c>
      <c r="D2781" t="s">
        <v>83</v>
      </c>
      <c r="E2781" t="s">
        <v>411</v>
      </c>
      <c r="F2781">
        <v>8192</v>
      </c>
      <c r="G2781">
        <f>MAX(I2777,I2780)</f>
        <v>3766295</v>
      </c>
      <c r="H2781">
        <f>CEILING((dram_access_latency+F2781/dram_bandwidth)*frequency,1)</f>
        <v>228</v>
      </c>
      <c r="I2781">
        <f>G2781+H2781</f>
        <v>3766523</v>
      </c>
      <c r="J2781">
        <f>IF(AND(D2781&lt;&gt;"dram",D2781&lt;&gt;"control"),H2781,0)</f>
        <v>0</v>
      </c>
      <c r="K2781">
        <f>IF(D2781="dram",H2781,0)</f>
        <v>228</v>
      </c>
      <c r="L2781">
        <v>8192</v>
      </c>
      <c r="M2781">
        <v>0</v>
      </c>
    </row>
    <row r="2782" spans="1:13">
      <c r="A2782">
        <v>2780</v>
      </c>
      <c r="B2782" t="s">
        <v>62</v>
      </c>
      <c r="C2782" t="s">
        <v>90</v>
      </c>
      <c r="D2782" t="s">
        <v>108</v>
      </c>
      <c r="E2782" t="s">
        <v>411</v>
      </c>
      <c r="F2782">
        <v>0</v>
      </c>
      <c r="G2782">
        <f>MAX(I2776,I2776,I2778,I2779,I2780,I2781,I2581)</f>
        <v>3770342</v>
      </c>
      <c r="H2782">
        <f>'Operations'!I26</f>
        <v>8452</v>
      </c>
      <c r="I2782">
        <f>G2782+H2782</f>
        <v>3778794</v>
      </c>
      <c r="J2782">
        <f>IF(AND(D2782&lt;&gt;"dram",D2782&lt;&gt;"control"),H2782,0)</f>
        <v>8452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375</v>
      </c>
      <c r="C2783" t="s">
        <v>88</v>
      </c>
      <c r="D2783" t="s">
        <v>89</v>
      </c>
      <c r="E2783" t="s">
        <v>411</v>
      </c>
      <c r="F2783">
        <v>0</v>
      </c>
      <c r="G2783">
        <f>MAX(I2777,I2776)</f>
        <v>3761890</v>
      </c>
      <c r="H2783">
        <f>0</f>
        <v>8452</v>
      </c>
      <c r="I2783">
        <f>G2783+H2783</f>
        <v>3770342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370</v>
      </c>
      <c r="C2784" t="s">
        <v>82</v>
      </c>
      <c r="D2784" t="s">
        <v>83</v>
      </c>
      <c r="E2784" t="s">
        <v>412</v>
      </c>
      <c r="F2784">
        <v>512</v>
      </c>
      <c r="G2784">
        <f>MAX(I2783,I2781)</f>
        <v>3770342</v>
      </c>
      <c r="H2784">
        <f>CEILING((dram_access_latency+F2784/dram_bandwidth)*frequency,1)</f>
        <v>108</v>
      </c>
      <c r="I2784">
        <f>G2784+H2784</f>
        <v>3770450</v>
      </c>
      <c r="J2784">
        <f>IF(AND(D2784&lt;&gt;"dram",D2784&lt;&gt;"control"),H2784,0)</f>
        <v>0</v>
      </c>
      <c r="K2784">
        <f>IF(D2784="dram",H2784,0)</f>
        <v>108</v>
      </c>
      <c r="L2784">
        <v>512</v>
      </c>
      <c r="M2784">
        <v>0</v>
      </c>
    </row>
    <row r="2785" spans="1:13">
      <c r="A2785">
        <v>2783</v>
      </c>
      <c r="B2785" t="s">
        <v>371</v>
      </c>
      <c r="C2785" t="s">
        <v>82</v>
      </c>
      <c r="D2785" t="s">
        <v>83</v>
      </c>
      <c r="E2785" t="s">
        <v>412</v>
      </c>
      <c r="F2785">
        <v>262144</v>
      </c>
      <c r="G2785">
        <f>MAX(I2783,I2784)</f>
        <v>3770450</v>
      </c>
      <c r="H2785">
        <f>CEILING((dram_access_latency+F2785/dram_bandwidth)*frequency,1)</f>
        <v>4196</v>
      </c>
      <c r="I2785">
        <f>G2785+H2785</f>
        <v>3774646</v>
      </c>
      <c r="J2785">
        <f>IF(AND(D2785&lt;&gt;"dram",D2785&lt;&gt;"control"),H2785,0)</f>
        <v>0</v>
      </c>
      <c r="K2785">
        <f>IF(D2785="dram",H2785,0)</f>
        <v>4196</v>
      </c>
      <c r="L2785">
        <v>262144</v>
      </c>
      <c r="M2785">
        <v>0</v>
      </c>
    </row>
    <row r="2786" spans="1:13">
      <c r="A2786">
        <v>2784</v>
      </c>
      <c r="B2786" t="s">
        <v>372</v>
      </c>
      <c r="C2786" t="s">
        <v>82</v>
      </c>
      <c r="D2786" t="s">
        <v>83</v>
      </c>
      <c r="E2786" t="s">
        <v>412</v>
      </c>
      <c r="F2786">
        <v>16</v>
      </c>
      <c r="G2786">
        <f>MAX(I2783,I2785)</f>
        <v>3774646</v>
      </c>
      <c r="H2786">
        <f>CEILING((dram_access_latency+F2786/dram_bandwidth)*frequency,1)</f>
        <v>101</v>
      </c>
      <c r="I2786">
        <f>G2786+H2786</f>
        <v>3774747</v>
      </c>
      <c r="J2786">
        <f>IF(AND(D2786&lt;&gt;"dram",D2786&lt;&gt;"control"),H2786,0)</f>
        <v>0</v>
      </c>
      <c r="K2786">
        <f>IF(D2786="dram",H2786,0)</f>
        <v>101</v>
      </c>
      <c r="L2786">
        <v>16</v>
      </c>
      <c r="M2786">
        <v>0</v>
      </c>
    </row>
    <row r="2787" spans="1:13">
      <c r="A2787">
        <v>2785</v>
      </c>
      <c r="B2787" t="s">
        <v>373</v>
      </c>
      <c r="C2787" t="s">
        <v>82</v>
      </c>
      <c r="D2787" t="s">
        <v>83</v>
      </c>
      <c r="E2787" t="s">
        <v>412</v>
      </c>
      <c r="F2787">
        <v>8192</v>
      </c>
      <c r="G2787">
        <f>MAX(I2783,I2786)</f>
        <v>3774747</v>
      </c>
      <c r="H2787">
        <f>CEILING((dram_access_latency+F2787/dram_bandwidth)*frequency,1)</f>
        <v>228</v>
      </c>
      <c r="I2787">
        <f>G2787+H2787</f>
        <v>3774975</v>
      </c>
      <c r="J2787">
        <f>IF(AND(D2787&lt;&gt;"dram",D2787&lt;&gt;"control"),H2787,0)</f>
        <v>0</v>
      </c>
      <c r="K2787">
        <f>IF(D2787="dram",H2787,0)</f>
        <v>228</v>
      </c>
      <c r="L2787">
        <v>8192</v>
      </c>
      <c r="M2787">
        <v>0</v>
      </c>
    </row>
    <row r="2788" spans="1:13">
      <c r="A2788">
        <v>2786</v>
      </c>
      <c r="B2788" t="s">
        <v>62</v>
      </c>
      <c r="C2788" t="s">
        <v>90</v>
      </c>
      <c r="D2788" t="s">
        <v>108</v>
      </c>
      <c r="E2788" t="s">
        <v>412</v>
      </c>
      <c r="F2788">
        <v>0</v>
      </c>
      <c r="G2788">
        <f>MAX(I2782,I2782,I2784,I2785,I2786,I2787,I2581)</f>
        <v>3778794</v>
      </c>
      <c r="H2788">
        <f>'Operations'!I26</f>
        <v>8452</v>
      </c>
      <c r="I2788">
        <f>G2788+H2788</f>
        <v>3787246</v>
      </c>
      <c r="J2788">
        <f>IF(AND(D2788&lt;&gt;"dram",D2788&lt;&gt;"control"),H2788,0)</f>
        <v>8452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375</v>
      </c>
      <c r="C2789" t="s">
        <v>88</v>
      </c>
      <c r="D2789" t="s">
        <v>89</v>
      </c>
      <c r="E2789" t="s">
        <v>412</v>
      </c>
      <c r="F2789">
        <v>0</v>
      </c>
      <c r="G2789">
        <f>MAX(I2783,I2782)</f>
        <v>3770342</v>
      </c>
      <c r="H2789">
        <f>0</f>
        <v>8452</v>
      </c>
      <c r="I2789">
        <f>G2789+H2789</f>
        <v>3778794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370</v>
      </c>
      <c r="C2790" t="s">
        <v>82</v>
      </c>
      <c r="D2790" t="s">
        <v>83</v>
      </c>
      <c r="E2790" t="s">
        <v>413</v>
      </c>
      <c r="F2790">
        <v>512</v>
      </c>
      <c r="G2790">
        <f>MAX(I2789,I2787)</f>
        <v>3778794</v>
      </c>
      <c r="H2790">
        <f>CEILING((dram_access_latency+F2790/dram_bandwidth)*frequency,1)</f>
        <v>108</v>
      </c>
      <c r="I2790">
        <f>G2790+H2790</f>
        <v>3778902</v>
      </c>
      <c r="J2790">
        <f>IF(AND(D2790&lt;&gt;"dram",D2790&lt;&gt;"control"),H2790,0)</f>
        <v>0</v>
      </c>
      <c r="K2790">
        <f>IF(D2790="dram",H2790,0)</f>
        <v>108</v>
      </c>
      <c r="L2790">
        <v>512</v>
      </c>
      <c r="M2790">
        <v>0</v>
      </c>
    </row>
    <row r="2791" spans="1:13">
      <c r="A2791">
        <v>2789</v>
      </c>
      <c r="B2791" t="s">
        <v>371</v>
      </c>
      <c r="C2791" t="s">
        <v>82</v>
      </c>
      <c r="D2791" t="s">
        <v>83</v>
      </c>
      <c r="E2791" t="s">
        <v>413</v>
      </c>
      <c r="F2791">
        <v>262144</v>
      </c>
      <c r="G2791">
        <f>MAX(I2789,I2790)</f>
        <v>3778902</v>
      </c>
      <c r="H2791">
        <f>CEILING((dram_access_latency+F2791/dram_bandwidth)*frequency,1)</f>
        <v>4196</v>
      </c>
      <c r="I2791">
        <f>G2791+H2791</f>
        <v>3783098</v>
      </c>
      <c r="J2791">
        <f>IF(AND(D2791&lt;&gt;"dram",D2791&lt;&gt;"control"),H2791,0)</f>
        <v>0</v>
      </c>
      <c r="K2791">
        <f>IF(D2791="dram",H2791,0)</f>
        <v>4196</v>
      </c>
      <c r="L2791">
        <v>262144</v>
      </c>
      <c r="M2791">
        <v>0</v>
      </c>
    </row>
    <row r="2792" spans="1:13">
      <c r="A2792">
        <v>2790</v>
      </c>
      <c r="B2792" t="s">
        <v>372</v>
      </c>
      <c r="C2792" t="s">
        <v>82</v>
      </c>
      <c r="D2792" t="s">
        <v>83</v>
      </c>
      <c r="E2792" t="s">
        <v>413</v>
      </c>
      <c r="F2792">
        <v>16</v>
      </c>
      <c r="G2792">
        <f>MAX(I2789,I2791)</f>
        <v>3783098</v>
      </c>
      <c r="H2792">
        <f>CEILING((dram_access_latency+F2792/dram_bandwidth)*frequency,1)</f>
        <v>101</v>
      </c>
      <c r="I2792">
        <f>G2792+H2792</f>
        <v>3783199</v>
      </c>
      <c r="J2792">
        <f>IF(AND(D2792&lt;&gt;"dram",D2792&lt;&gt;"control"),H2792,0)</f>
        <v>0</v>
      </c>
      <c r="K2792">
        <f>IF(D2792="dram",H2792,0)</f>
        <v>101</v>
      </c>
      <c r="L2792">
        <v>16</v>
      </c>
      <c r="M2792">
        <v>0</v>
      </c>
    </row>
    <row r="2793" spans="1:13">
      <c r="A2793">
        <v>2791</v>
      </c>
      <c r="B2793" t="s">
        <v>373</v>
      </c>
      <c r="C2793" t="s">
        <v>82</v>
      </c>
      <c r="D2793" t="s">
        <v>83</v>
      </c>
      <c r="E2793" t="s">
        <v>413</v>
      </c>
      <c r="F2793">
        <v>8192</v>
      </c>
      <c r="G2793">
        <f>MAX(I2789,I2792)</f>
        <v>3783199</v>
      </c>
      <c r="H2793">
        <f>CEILING((dram_access_latency+F2793/dram_bandwidth)*frequency,1)</f>
        <v>228</v>
      </c>
      <c r="I2793">
        <f>G2793+H2793</f>
        <v>3783427</v>
      </c>
      <c r="J2793">
        <f>IF(AND(D2793&lt;&gt;"dram",D2793&lt;&gt;"control"),H2793,0)</f>
        <v>0</v>
      </c>
      <c r="K2793">
        <f>IF(D2793="dram",H2793,0)</f>
        <v>228</v>
      </c>
      <c r="L2793">
        <v>8192</v>
      </c>
      <c r="M2793">
        <v>0</v>
      </c>
    </row>
    <row r="2794" spans="1:13">
      <c r="A2794">
        <v>2792</v>
      </c>
      <c r="B2794" t="s">
        <v>62</v>
      </c>
      <c r="C2794" t="s">
        <v>90</v>
      </c>
      <c r="D2794" t="s">
        <v>108</v>
      </c>
      <c r="E2794" t="s">
        <v>413</v>
      </c>
      <c r="F2794">
        <v>0</v>
      </c>
      <c r="G2794">
        <f>MAX(I2788,I2788,I2790,I2791,I2792,I2793,I2581)</f>
        <v>3787246</v>
      </c>
      <c r="H2794">
        <f>'Operations'!I26</f>
        <v>8452</v>
      </c>
      <c r="I2794">
        <f>G2794+H2794</f>
        <v>3795698</v>
      </c>
      <c r="J2794">
        <f>IF(AND(D2794&lt;&gt;"dram",D2794&lt;&gt;"control"),H2794,0)</f>
        <v>8452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375</v>
      </c>
      <c r="C2795" t="s">
        <v>88</v>
      </c>
      <c r="D2795" t="s">
        <v>89</v>
      </c>
      <c r="E2795" t="s">
        <v>413</v>
      </c>
      <c r="F2795">
        <v>0</v>
      </c>
      <c r="G2795">
        <f>MAX(I2789,I2788)</f>
        <v>3778794</v>
      </c>
      <c r="H2795">
        <f>0</f>
        <v>8452</v>
      </c>
      <c r="I2795">
        <f>G2795+H2795</f>
        <v>3787246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370</v>
      </c>
      <c r="C2796" t="s">
        <v>82</v>
      </c>
      <c r="D2796" t="s">
        <v>83</v>
      </c>
      <c r="E2796" t="s">
        <v>414</v>
      </c>
      <c r="F2796">
        <v>512</v>
      </c>
      <c r="G2796">
        <f>MAX(I2795,I2793)</f>
        <v>3787246</v>
      </c>
      <c r="H2796">
        <f>CEILING((dram_access_latency+F2796/dram_bandwidth)*frequency,1)</f>
        <v>108</v>
      </c>
      <c r="I2796">
        <f>G2796+H2796</f>
        <v>3787354</v>
      </c>
      <c r="J2796">
        <f>IF(AND(D2796&lt;&gt;"dram",D2796&lt;&gt;"control"),H2796,0)</f>
        <v>0</v>
      </c>
      <c r="K2796">
        <f>IF(D2796="dram",H2796,0)</f>
        <v>108</v>
      </c>
      <c r="L2796">
        <v>512</v>
      </c>
      <c r="M2796">
        <v>0</v>
      </c>
    </row>
    <row r="2797" spans="1:13">
      <c r="A2797">
        <v>2795</v>
      </c>
      <c r="B2797" t="s">
        <v>371</v>
      </c>
      <c r="C2797" t="s">
        <v>82</v>
      </c>
      <c r="D2797" t="s">
        <v>83</v>
      </c>
      <c r="E2797" t="s">
        <v>414</v>
      </c>
      <c r="F2797">
        <v>262144</v>
      </c>
      <c r="G2797">
        <f>MAX(I2795,I2796)</f>
        <v>3787354</v>
      </c>
      <c r="H2797">
        <f>CEILING((dram_access_latency+F2797/dram_bandwidth)*frequency,1)</f>
        <v>4196</v>
      </c>
      <c r="I2797">
        <f>G2797+H2797</f>
        <v>3791550</v>
      </c>
      <c r="J2797">
        <f>IF(AND(D2797&lt;&gt;"dram",D2797&lt;&gt;"control"),H2797,0)</f>
        <v>0</v>
      </c>
      <c r="K2797">
        <f>IF(D2797="dram",H2797,0)</f>
        <v>4196</v>
      </c>
      <c r="L2797">
        <v>262144</v>
      </c>
      <c r="M2797">
        <v>0</v>
      </c>
    </row>
    <row r="2798" spans="1:13">
      <c r="A2798">
        <v>2796</v>
      </c>
      <c r="B2798" t="s">
        <v>372</v>
      </c>
      <c r="C2798" t="s">
        <v>82</v>
      </c>
      <c r="D2798" t="s">
        <v>83</v>
      </c>
      <c r="E2798" t="s">
        <v>414</v>
      </c>
      <c r="F2798">
        <v>16</v>
      </c>
      <c r="G2798">
        <f>MAX(I2795,I2797)</f>
        <v>3791550</v>
      </c>
      <c r="H2798">
        <f>CEILING((dram_access_latency+F2798/dram_bandwidth)*frequency,1)</f>
        <v>101</v>
      </c>
      <c r="I2798">
        <f>G2798+H2798</f>
        <v>3791651</v>
      </c>
      <c r="J2798">
        <f>IF(AND(D2798&lt;&gt;"dram",D2798&lt;&gt;"control"),H2798,0)</f>
        <v>0</v>
      </c>
      <c r="K2798">
        <f>IF(D2798="dram",H2798,0)</f>
        <v>101</v>
      </c>
      <c r="L2798">
        <v>16</v>
      </c>
      <c r="M2798">
        <v>0</v>
      </c>
    </row>
    <row r="2799" spans="1:13">
      <c r="A2799">
        <v>2797</v>
      </c>
      <c r="B2799" t="s">
        <v>373</v>
      </c>
      <c r="C2799" t="s">
        <v>82</v>
      </c>
      <c r="D2799" t="s">
        <v>83</v>
      </c>
      <c r="E2799" t="s">
        <v>414</v>
      </c>
      <c r="F2799">
        <v>8192</v>
      </c>
      <c r="G2799">
        <f>MAX(I2795,I2798)</f>
        <v>3791651</v>
      </c>
      <c r="H2799">
        <f>CEILING((dram_access_latency+F2799/dram_bandwidth)*frequency,1)</f>
        <v>228</v>
      </c>
      <c r="I2799">
        <f>G2799+H2799</f>
        <v>3791879</v>
      </c>
      <c r="J2799">
        <f>IF(AND(D2799&lt;&gt;"dram",D2799&lt;&gt;"control"),H2799,0)</f>
        <v>0</v>
      </c>
      <c r="K2799">
        <f>IF(D2799="dram",H2799,0)</f>
        <v>228</v>
      </c>
      <c r="L2799">
        <v>8192</v>
      </c>
      <c r="M2799">
        <v>0</v>
      </c>
    </row>
    <row r="2800" spans="1:13">
      <c r="A2800">
        <v>2798</v>
      </c>
      <c r="B2800" t="s">
        <v>62</v>
      </c>
      <c r="C2800" t="s">
        <v>90</v>
      </c>
      <c r="D2800" t="s">
        <v>108</v>
      </c>
      <c r="E2800" t="s">
        <v>414</v>
      </c>
      <c r="F2800">
        <v>0</v>
      </c>
      <c r="G2800">
        <f>MAX(I2794,I2794,I2796,I2797,I2798,I2799,I2581)</f>
        <v>3795698</v>
      </c>
      <c r="H2800">
        <f>'Operations'!I26</f>
        <v>8452</v>
      </c>
      <c r="I2800">
        <f>G2800+H2800</f>
        <v>3804150</v>
      </c>
      <c r="J2800">
        <f>IF(AND(D2800&lt;&gt;"dram",D2800&lt;&gt;"control"),H2800,0)</f>
        <v>8452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375</v>
      </c>
      <c r="C2801" t="s">
        <v>88</v>
      </c>
      <c r="D2801" t="s">
        <v>89</v>
      </c>
      <c r="E2801" t="s">
        <v>414</v>
      </c>
      <c r="F2801">
        <v>0</v>
      </c>
      <c r="G2801">
        <f>MAX(I2795,I2794)</f>
        <v>3787246</v>
      </c>
      <c r="H2801">
        <f>0</f>
        <v>8452</v>
      </c>
      <c r="I2801">
        <f>G2801+H2801</f>
        <v>3795698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370</v>
      </c>
      <c r="C2802" t="s">
        <v>82</v>
      </c>
      <c r="D2802" t="s">
        <v>83</v>
      </c>
      <c r="E2802" t="s">
        <v>415</v>
      </c>
      <c r="F2802">
        <v>512</v>
      </c>
      <c r="G2802">
        <f>MAX(I2801,I2799)</f>
        <v>3795698</v>
      </c>
      <c r="H2802">
        <f>CEILING((dram_access_latency+F2802/dram_bandwidth)*frequency,1)</f>
        <v>108</v>
      </c>
      <c r="I2802">
        <f>G2802+H2802</f>
        <v>3795806</v>
      </c>
      <c r="J2802">
        <f>IF(AND(D2802&lt;&gt;"dram",D2802&lt;&gt;"control"),H2802,0)</f>
        <v>0</v>
      </c>
      <c r="K2802">
        <f>IF(D2802="dram",H2802,0)</f>
        <v>108</v>
      </c>
      <c r="L2802">
        <v>512</v>
      </c>
      <c r="M2802">
        <v>0</v>
      </c>
    </row>
    <row r="2803" spans="1:13">
      <c r="A2803">
        <v>2801</v>
      </c>
      <c r="B2803" t="s">
        <v>371</v>
      </c>
      <c r="C2803" t="s">
        <v>82</v>
      </c>
      <c r="D2803" t="s">
        <v>83</v>
      </c>
      <c r="E2803" t="s">
        <v>415</v>
      </c>
      <c r="F2803">
        <v>262144</v>
      </c>
      <c r="G2803">
        <f>MAX(I2801,I2802)</f>
        <v>3795806</v>
      </c>
      <c r="H2803">
        <f>CEILING((dram_access_latency+F2803/dram_bandwidth)*frequency,1)</f>
        <v>4196</v>
      </c>
      <c r="I2803">
        <f>G2803+H2803</f>
        <v>3800002</v>
      </c>
      <c r="J2803">
        <f>IF(AND(D2803&lt;&gt;"dram",D2803&lt;&gt;"control"),H2803,0)</f>
        <v>0</v>
      </c>
      <c r="K2803">
        <f>IF(D2803="dram",H2803,0)</f>
        <v>4196</v>
      </c>
      <c r="L2803">
        <v>262144</v>
      </c>
      <c r="M2803">
        <v>0</v>
      </c>
    </row>
    <row r="2804" spans="1:13">
      <c r="A2804">
        <v>2802</v>
      </c>
      <c r="B2804" t="s">
        <v>372</v>
      </c>
      <c r="C2804" t="s">
        <v>82</v>
      </c>
      <c r="D2804" t="s">
        <v>83</v>
      </c>
      <c r="E2804" t="s">
        <v>415</v>
      </c>
      <c r="F2804">
        <v>16</v>
      </c>
      <c r="G2804">
        <f>MAX(I2801,I2803)</f>
        <v>3800002</v>
      </c>
      <c r="H2804">
        <f>CEILING((dram_access_latency+F2804/dram_bandwidth)*frequency,1)</f>
        <v>101</v>
      </c>
      <c r="I2804">
        <f>G2804+H2804</f>
        <v>3800103</v>
      </c>
      <c r="J2804">
        <f>IF(AND(D2804&lt;&gt;"dram",D2804&lt;&gt;"control"),H2804,0)</f>
        <v>0</v>
      </c>
      <c r="K2804">
        <f>IF(D2804="dram",H2804,0)</f>
        <v>101</v>
      </c>
      <c r="L2804">
        <v>16</v>
      </c>
      <c r="M2804">
        <v>0</v>
      </c>
    </row>
    <row r="2805" spans="1:13">
      <c r="A2805">
        <v>2803</v>
      </c>
      <c r="B2805" t="s">
        <v>373</v>
      </c>
      <c r="C2805" t="s">
        <v>82</v>
      </c>
      <c r="D2805" t="s">
        <v>83</v>
      </c>
      <c r="E2805" t="s">
        <v>415</v>
      </c>
      <c r="F2805">
        <v>8192</v>
      </c>
      <c r="G2805">
        <f>MAX(I2801,I2804)</f>
        <v>3800103</v>
      </c>
      <c r="H2805">
        <f>CEILING((dram_access_latency+F2805/dram_bandwidth)*frequency,1)</f>
        <v>228</v>
      </c>
      <c r="I2805">
        <f>G2805+H2805</f>
        <v>3800331</v>
      </c>
      <c r="J2805">
        <f>IF(AND(D2805&lt;&gt;"dram",D2805&lt;&gt;"control"),H2805,0)</f>
        <v>0</v>
      </c>
      <c r="K2805">
        <f>IF(D2805="dram",H2805,0)</f>
        <v>228</v>
      </c>
      <c r="L2805">
        <v>8192</v>
      </c>
      <c r="M2805">
        <v>0</v>
      </c>
    </row>
    <row r="2806" spans="1:13">
      <c r="A2806">
        <v>2804</v>
      </c>
      <c r="B2806" t="s">
        <v>62</v>
      </c>
      <c r="C2806" t="s">
        <v>90</v>
      </c>
      <c r="D2806" t="s">
        <v>108</v>
      </c>
      <c r="E2806" t="s">
        <v>415</v>
      </c>
      <c r="F2806">
        <v>0</v>
      </c>
      <c r="G2806">
        <f>MAX(I2800,I2800,I2802,I2803,I2804,I2805,I2581)</f>
        <v>3804150</v>
      </c>
      <c r="H2806">
        <f>'Operations'!I26</f>
        <v>8452</v>
      </c>
      <c r="I2806">
        <f>G2806+H2806</f>
        <v>3812602</v>
      </c>
      <c r="J2806">
        <f>IF(AND(D2806&lt;&gt;"dram",D2806&lt;&gt;"control"),H2806,0)</f>
        <v>8452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375</v>
      </c>
      <c r="C2807" t="s">
        <v>88</v>
      </c>
      <c r="D2807" t="s">
        <v>89</v>
      </c>
      <c r="E2807" t="s">
        <v>415</v>
      </c>
      <c r="F2807">
        <v>0</v>
      </c>
      <c r="G2807">
        <f>MAX(I2801,I2800)</f>
        <v>3795698</v>
      </c>
      <c r="H2807">
        <f>0</f>
        <v>8452</v>
      </c>
      <c r="I2807">
        <f>G2807+H2807</f>
        <v>3804150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370</v>
      </c>
      <c r="C2808" t="s">
        <v>82</v>
      </c>
      <c r="D2808" t="s">
        <v>83</v>
      </c>
      <c r="E2808" t="s">
        <v>416</v>
      </c>
      <c r="F2808">
        <v>512</v>
      </c>
      <c r="G2808">
        <f>MAX(I2807,I2805)</f>
        <v>3804150</v>
      </c>
      <c r="H2808">
        <f>CEILING((dram_access_latency+F2808/dram_bandwidth)*frequency,1)</f>
        <v>108</v>
      </c>
      <c r="I2808">
        <f>G2808+H2808</f>
        <v>3804258</v>
      </c>
      <c r="J2808">
        <f>IF(AND(D2808&lt;&gt;"dram",D2808&lt;&gt;"control"),H2808,0)</f>
        <v>0</v>
      </c>
      <c r="K2808">
        <f>IF(D2808="dram",H2808,0)</f>
        <v>108</v>
      </c>
      <c r="L2808">
        <v>512</v>
      </c>
      <c r="M2808">
        <v>0</v>
      </c>
    </row>
    <row r="2809" spans="1:13">
      <c r="A2809">
        <v>2807</v>
      </c>
      <c r="B2809" t="s">
        <v>371</v>
      </c>
      <c r="C2809" t="s">
        <v>82</v>
      </c>
      <c r="D2809" t="s">
        <v>83</v>
      </c>
      <c r="E2809" t="s">
        <v>416</v>
      </c>
      <c r="F2809">
        <v>262144</v>
      </c>
      <c r="G2809">
        <f>MAX(I2807,I2808)</f>
        <v>3804258</v>
      </c>
      <c r="H2809">
        <f>CEILING((dram_access_latency+F2809/dram_bandwidth)*frequency,1)</f>
        <v>4196</v>
      </c>
      <c r="I2809">
        <f>G2809+H2809</f>
        <v>3808454</v>
      </c>
      <c r="J2809">
        <f>IF(AND(D2809&lt;&gt;"dram",D2809&lt;&gt;"control"),H2809,0)</f>
        <v>0</v>
      </c>
      <c r="K2809">
        <f>IF(D2809="dram",H2809,0)</f>
        <v>4196</v>
      </c>
      <c r="L2809">
        <v>262144</v>
      </c>
      <c r="M2809">
        <v>0</v>
      </c>
    </row>
    <row r="2810" spans="1:13">
      <c r="A2810">
        <v>2808</v>
      </c>
      <c r="B2810" t="s">
        <v>372</v>
      </c>
      <c r="C2810" t="s">
        <v>82</v>
      </c>
      <c r="D2810" t="s">
        <v>83</v>
      </c>
      <c r="E2810" t="s">
        <v>416</v>
      </c>
      <c r="F2810">
        <v>16</v>
      </c>
      <c r="G2810">
        <f>MAX(I2807,I2809)</f>
        <v>3808454</v>
      </c>
      <c r="H2810">
        <f>CEILING((dram_access_latency+F2810/dram_bandwidth)*frequency,1)</f>
        <v>101</v>
      </c>
      <c r="I2810">
        <f>G2810+H2810</f>
        <v>3808555</v>
      </c>
      <c r="J2810">
        <f>IF(AND(D2810&lt;&gt;"dram",D2810&lt;&gt;"control"),H2810,0)</f>
        <v>0</v>
      </c>
      <c r="K2810">
        <f>IF(D2810="dram",H2810,0)</f>
        <v>101</v>
      </c>
      <c r="L2810">
        <v>16</v>
      </c>
      <c r="M2810">
        <v>0</v>
      </c>
    </row>
    <row r="2811" spans="1:13">
      <c r="A2811">
        <v>2809</v>
      </c>
      <c r="B2811" t="s">
        <v>373</v>
      </c>
      <c r="C2811" t="s">
        <v>82</v>
      </c>
      <c r="D2811" t="s">
        <v>83</v>
      </c>
      <c r="E2811" t="s">
        <v>416</v>
      </c>
      <c r="F2811">
        <v>8192</v>
      </c>
      <c r="G2811">
        <f>MAX(I2807,I2810)</f>
        <v>3808555</v>
      </c>
      <c r="H2811">
        <f>CEILING((dram_access_latency+F2811/dram_bandwidth)*frequency,1)</f>
        <v>228</v>
      </c>
      <c r="I2811">
        <f>G2811+H2811</f>
        <v>3808783</v>
      </c>
      <c r="J2811">
        <f>IF(AND(D2811&lt;&gt;"dram",D2811&lt;&gt;"control"),H2811,0)</f>
        <v>0</v>
      </c>
      <c r="K2811">
        <f>IF(D2811="dram",H2811,0)</f>
        <v>228</v>
      </c>
      <c r="L2811">
        <v>8192</v>
      </c>
      <c r="M2811">
        <v>0</v>
      </c>
    </row>
    <row r="2812" spans="1:13">
      <c r="A2812">
        <v>2810</v>
      </c>
      <c r="B2812" t="s">
        <v>62</v>
      </c>
      <c r="C2812" t="s">
        <v>90</v>
      </c>
      <c r="D2812" t="s">
        <v>108</v>
      </c>
      <c r="E2812" t="s">
        <v>416</v>
      </c>
      <c r="F2812">
        <v>0</v>
      </c>
      <c r="G2812">
        <f>MAX(I2806,I2806,I2808,I2809,I2810,I2811,I2581)</f>
        <v>3812602</v>
      </c>
      <c r="H2812">
        <f>'Operations'!I26</f>
        <v>8452</v>
      </c>
      <c r="I2812">
        <f>G2812+H2812</f>
        <v>3821054</v>
      </c>
      <c r="J2812">
        <f>IF(AND(D2812&lt;&gt;"dram",D2812&lt;&gt;"control"),H2812,0)</f>
        <v>8452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375</v>
      </c>
      <c r="C2813" t="s">
        <v>88</v>
      </c>
      <c r="D2813" t="s">
        <v>89</v>
      </c>
      <c r="E2813" t="s">
        <v>416</v>
      </c>
      <c r="F2813">
        <v>0</v>
      </c>
      <c r="G2813">
        <f>MAX(I2807,I2806)</f>
        <v>3804150</v>
      </c>
      <c r="H2813">
        <f>0</f>
        <v>8452</v>
      </c>
      <c r="I2813">
        <f>G2813+H2813</f>
        <v>3812602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370</v>
      </c>
      <c r="C2814" t="s">
        <v>82</v>
      </c>
      <c r="D2814" t="s">
        <v>83</v>
      </c>
      <c r="E2814" t="s">
        <v>417</v>
      </c>
      <c r="F2814">
        <v>512</v>
      </c>
      <c r="G2814">
        <f>MAX(I2813,I2811)</f>
        <v>3812602</v>
      </c>
      <c r="H2814">
        <f>CEILING((dram_access_latency+F2814/dram_bandwidth)*frequency,1)</f>
        <v>108</v>
      </c>
      <c r="I2814">
        <f>G2814+H2814</f>
        <v>3812710</v>
      </c>
      <c r="J2814">
        <f>IF(AND(D2814&lt;&gt;"dram",D2814&lt;&gt;"control"),H2814,0)</f>
        <v>0</v>
      </c>
      <c r="K2814">
        <f>IF(D2814="dram",H2814,0)</f>
        <v>108</v>
      </c>
      <c r="L2814">
        <v>512</v>
      </c>
      <c r="M2814">
        <v>0</v>
      </c>
    </row>
    <row r="2815" spans="1:13">
      <c r="A2815">
        <v>2813</v>
      </c>
      <c r="B2815" t="s">
        <v>371</v>
      </c>
      <c r="C2815" t="s">
        <v>82</v>
      </c>
      <c r="D2815" t="s">
        <v>83</v>
      </c>
      <c r="E2815" t="s">
        <v>417</v>
      </c>
      <c r="F2815">
        <v>262144</v>
      </c>
      <c r="G2815">
        <f>MAX(I2813,I2814)</f>
        <v>3812710</v>
      </c>
      <c r="H2815">
        <f>CEILING((dram_access_latency+F2815/dram_bandwidth)*frequency,1)</f>
        <v>4196</v>
      </c>
      <c r="I2815">
        <f>G2815+H2815</f>
        <v>3816906</v>
      </c>
      <c r="J2815">
        <f>IF(AND(D2815&lt;&gt;"dram",D2815&lt;&gt;"control"),H2815,0)</f>
        <v>0</v>
      </c>
      <c r="K2815">
        <f>IF(D2815="dram",H2815,0)</f>
        <v>4196</v>
      </c>
      <c r="L2815">
        <v>262144</v>
      </c>
      <c r="M2815">
        <v>0</v>
      </c>
    </row>
    <row r="2816" spans="1:13">
      <c r="A2816">
        <v>2814</v>
      </c>
      <c r="B2816" t="s">
        <v>372</v>
      </c>
      <c r="C2816" t="s">
        <v>82</v>
      </c>
      <c r="D2816" t="s">
        <v>83</v>
      </c>
      <c r="E2816" t="s">
        <v>417</v>
      </c>
      <c r="F2816">
        <v>16</v>
      </c>
      <c r="G2816">
        <f>MAX(I2813,I2815)</f>
        <v>3816906</v>
      </c>
      <c r="H2816">
        <f>CEILING((dram_access_latency+F2816/dram_bandwidth)*frequency,1)</f>
        <v>101</v>
      </c>
      <c r="I2816">
        <f>G2816+H2816</f>
        <v>3817007</v>
      </c>
      <c r="J2816">
        <f>IF(AND(D2816&lt;&gt;"dram",D2816&lt;&gt;"control"),H2816,0)</f>
        <v>0</v>
      </c>
      <c r="K2816">
        <f>IF(D2816="dram",H2816,0)</f>
        <v>101</v>
      </c>
      <c r="L2816">
        <v>16</v>
      </c>
      <c r="M2816">
        <v>0</v>
      </c>
    </row>
    <row r="2817" spans="1:13">
      <c r="A2817">
        <v>2815</v>
      </c>
      <c r="B2817" t="s">
        <v>373</v>
      </c>
      <c r="C2817" t="s">
        <v>82</v>
      </c>
      <c r="D2817" t="s">
        <v>83</v>
      </c>
      <c r="E2817" t="s">
        <v>417</v>
      </c>
      <c r="F2817">
        <v>8192</v>
      </c>
      <c r="G2817">
        <f>MAX(I2813,I2816)</f>
        <v>3817007</v>
      </c>
      <c r="H2817">
        <f>CEILING((dram_access_latency+F2817/dram_bandwidth)*frequency,1)</f>
        <v>228</v>
      </c>
      <c r="I2817">
        <f>G2817+H2817</f>
        <v>3817235</v>
      </c>
      <c r="J2817">
        <f>IF(AND(D2817&lt;&gt;"dram",D2817&lt;&gt;"control"),H2817,0)</f>
        <v>0</v>
      </c>
      <c r="K2817">
        <f>IF(D2817="dram",H2817,0)</f>
        <v>228</v>
      </c>
      <c r="L2817">
        <v>8192</v>
      </c>
      <c r="M2817">
        <v>0</v>
      </c>
    </row>
    <row r="2818" spans="1:13">
      <c r="A2818">
        <v>2816</v>
      </c>
      <c r="B2818" t="s">
        <v>62</v>
      </c>
      <c r="C2818" t="s">
        <v>90</v>
      </c>
      <c r="D2818" t="s">
        <v>108</v>
      </c>
      <c r="E2818" t="s">
        <v>417</v>
      </c>
      <c r="F2818">
        <v>0</v>
      </c>
      <c r="G2818">
        <f>MAX(I2812,I2812,I2814,I2815,I2816,I2817,I2581)</f>
        <v>3821054</v>
      </c>
      <c r="H2818">
        <f>'Operations'!I26</f>
        <v>8452</v>
      </c>
      <c r="I2818">
        <f>G2818+H2818</f>
        <v>3829506</v>
      </c>
      <c r="J2818">
        <f>IF(AND(D2818&lt;&gt;"dram",D2818&lt;&gt;"control"),H2818,0)</f>
        <v>8452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375</v>
      </c>
      <c r="C2819" t="s">
        <v>88</v>
      </c>
      <c r="D2819" t="s">
        <v>89</v>
      </c>
      <c r="E2819" t="s">
        <v>417</v>
      </c>
      <c r="F2819">
        <v>0</v>
      </c>
      <c r="G2819">
        <f>MAX(I2813,I2812)</f>
        <v>3812602</v>
      </c>
      <c r="H2819">
        <f>0</f>
        <v>8452</v>
      </c>
      <c r="I2819">
        <f>G2819+H2819</f>
        <v>3821054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370</v>
      </c>
      <c r="C2820" t="s">
        <v>82</v>
      </c>
      <c r="D2820" t="s">
        <v>83</v>
      </c>
      <c r="E2820" t="s">
        <v>418</v>
      </c>
      <c r="F2820">
        <v>512</v>
      </c>
      <c r="G2820">
        <f>MAX(I2819,I2817)</f>
        <v>3821054</v>
      </c>
      <c r="H2820">
        <f>CEILING((dram_access_latency+F2820/dram_bandwidth)*frequency,1)</f>
        <v>108</v>
      </c>
      <c r="I2820">
        <f>G2820+H2820</f>
        <v>3821162</v>
      </c>
      <c r="J2820">
        <f>IF(AND(D2820&lt;&gt;"dram",D2820&lt;&gt;"control"),H2820,0)</f>
        <v>0</v>
      </c>
      <c r="K2820">
        <f>IF(D2820="dram",H2820,0)</f>
        <v>108</v>
      </c>
      <c r="L2820">
        <v>512</v>
      </c>
      <c r="M2820">
        <v>0</v>
      </c>
    </row>
    <row r="2821" spans="1:13">
      <c r="A2821">
        <v>2819</v>
      </c>
      <c r="B2821" t="s">
        <v>371</v>
      </c>
      <c r="C2821" t="s">
        <v>82</v>
      </c>
      <c r="D2821" t="s">
        <v>83</v>
      </c>
      <c r="E2821" t="s">
        <v>418</v>
      </c>
      <c r="F2821">
        <v>262144</v>
      </c>
      <c r="G2821">
        <f>MAX(I2819,I2820)</f>
        <v>3821162</v>
      </c>
      <c r="H2821">
        <f>CEILING((dram_access_latency+F2821/dram_bandwidth)*frequency,1)</f>
        <v>4196</v>
      </c>
      <c r="I2821">
        <f>G2821+H2821</f>
        <v>3825358</v>
      </c>
      <c r="J2821">
        <f>IF(AND(D2821&lt;&gt;"dram",D2821&lt;&gt;"control"),H2821,0)</f>
        <v>0</v>
      </c>
      <c r="K2821">
        <f>IF(D2821="dram",H2821,0)</f>
        <v>4196</v>
      </c>
      <c r="L2821">
        <v>262144</v>
      </c>
      <c r="M2821">
        <v>0</v>
      </c>
    </row>
    <row r="2822" spans="1:13">
      <c r="A2822">
        <v>2820</v>
      </c>
      <c r="B2822" t="s">
        <v>372</v>
      </c>
      <c r="C2822" t="s">
        <v>82</v>
      </c>
      <c r="D2822" t="s">
        <v>83</v>
      </c>
      <c r="E2822" t="s">
        <v>418</v>
      </c>
      <c r="F2822">
        <v>16</v>
      </c>
      <c r="G2822">
        <f>MAX(I2819,I2821)</f>
        <v>3825358</v>
      </c>
      <c r="H2822">
        <f>CEILING((dram_access_latency+F2822/dram_bandwidth)*frequency,1)</f>
        <v>101</v>
      </c>
      <c r="I2822">
        <f>G2822+H2822</f>
        <v>3825459</v>
      </c>
      <c r="J2822">
        <f>IF(AND(D2822&lt;&gt;"dram",D2822&lt;&gt;"control"),H2822,0)</f>
        <v>0</v>
      </c>
      <c r="K2822">
        <f>IF(D2822="dram",H2822,0)</f>
        <v>101</v>
      </c>
      <c r="L2822">
        <v>16</v>
      </c>
      <c r="M2822">
        <v>0</v>
      </c>
    </row>
    <row r="2823" spans="1:13">
      <c r="A2823">
        <v>2821</v>
      </c>
      <c r="B2823" t="s">
        <v>373</v>
      </c>
      <c r="C2823" t="s">
        <v>82</v>
      </c>
      <c r="D2823" t="s">
        <v>83</v>
      </c>
      <c r="E2823" t="s">
        <v>418</v>
      </c>
      <c r="F2823">
        <v>8192</v>
      </c>
      <c r="G2823">
        <f>MAX(I2819,I2822)</f>
        <v>3825459</v>
      </c>
      <c r="H2823">
        <f>CEILING((dram_access_latency+F2823/dram_bandwidth)*frequency,1)</f>
        <v>228</v>
      </c>
      <c r="I2823">
        <f>G2823+H2823</f>
        <v>3825687</v>
      </c>
      <c r="J2823">
        <f>IF(AND(D2823&lt;&gt;"dram",D2823&lt;&gt;"control"),H2823,0)</f>
        <v>0</v>
      </c>
      <c r="K2823">
        <f>IF(D2823="dram",H2823,0)</f>
        <v>228</v>
      </c>
      <c r="L2823">
        <v>8192</v>
      </c>
      <c r="M2823">
        <v>0</v>
      </c>
    </row>
    <row r="2824" spans="1:13">
      <c r="A2824">
        <v>2822</v>
      </c>
      <c r="B2824" t="s">
        <v>62</v>
      </c>
      <c r="C2824" t="s">
        <v>90</v>
      </c>
      <c r="D2824" t="s">
        <v>108</v>
      </c>
      <c r="E2824" t="s">
        <v>418</v>
      </c>
      <c r="F2824">
        <v>0</v>
      </c>
      <c r="G2824">
        <f>MAX(I2818,I2818,I2820,I2821,I2822,I2823,I2581)</f>
        <v>3829506</v>
      </c>
      <c r="H2824">
        <f>'Operations'!I26</f>
        <v>8452</v>
      </c>
      <c r="I2824">
        <f>G2824+H2824</f>
        <v>3837958</v>
      </c>
      <c r="J2824">
        <f>IF(AND(D2824&lt;&gt;"dram",D2824&lt;&gt;"control"),H2824,0)</f>
        <v>8452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375</v>
      </c>
      <c r="C2825" t="s">
        <v>88</v>
      </c>
      <c r="D2825" t="s">
        <v>89</v>
      </c>
      <c r="E2825" t="s">
        <v>418</v>
      </c>
      <c r="F2825">
        <v>0</v>
      </c>
      <c r="G2825">
        <f>MAX(I2819,I2818)</f>
        <v>3821054</v>
      </c>
      <c r="H2825">
        <f>0</f>
        <v>8452</v>
      </c>
      <c r="I2825">
        <f>G2825+H2825</f>
        <v>3829506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370</v>
      </c>
      <c r="C2826" t="s">
        <v>82</v>
      </c>
      <c r="D2826" t="s">
        <v>83</v>
      </c>
      <c r="E2826" t="s">
        <v>419</v>
      </c>
      <c r="F2826">
        <v>512</v>
      </c>
      <c r="G2826">
        <f>MAX(I2825,I2823)</f>
        <v>3829506</v>
      </c>
      <c r="H2826">
        <f>CEILING((dram_access_latency+F2826/dram_bandwidth)*frequency,1)</f>
        <v>108</v>
      </c>
      <c r="I2826">
        <f>G2826+H2826</f>
        <v>3829614</v>
      </c>
      <c r="J2826">
        <f>IF(AND(D2826&lt;&gt;"dram",D2826&lt;&gt;"control"),H2826,0)</f>
        <v>0</v>
      </c>
      <c r="K2826">
        <f>IF(D2826="dram",H2826,0)</f>
        <v>108</v>
      </c>
      <c r="L2826">
        <v>512</v>
      </c>
      <c r="M2826">
        <v>0</v>
      </c>
    </row>
    <row r="2827" spans="1:13">
      <c r="A2827">
        <v>2825</v>
      </c>
      <c r="B2827" t="s">
        <v>371</v>
      </c>
      <c r="C2827" t="s">
        <v>82</v>
      </c>
      <c r="D2827" t="s">
        <v>83</v>
      </c>
      <c r="E2827" t="s">
        <v>419</v>
      </c>
      <c r="F2827">
        <v>262144</v>
      </c>
      <c r="G2827">
        <f>MAX(I2825,I2826)</f>
        <v>3829614</v>
      </c>
      <c r="H2827">
        <f>CEILING((dram_access_latency+F2827/dram_bandwidth)*frequency,1)</f>
        <v>4196</v>
      </c>
      <c r="I2827">
        <f>G2827+H2827</f>
        <v>3833810</v>
      </c>
      <c r="J2827">
        <f>IF(AND(D2827&lt;&gt;"dram",D2827&lt;&gt;"control"),H2827,0)</f>
        <v>0</v>
      </c>
      <c r="K2827">
        <f>IF(D2827="dram",H2827,0)</f>
        <v>4196</v>
      </c>
      <c r="L2827">
        <v>262144</v>
      </c>
      <c r="M2827">
        <v>0</v>
      </c>
    </row>
    <row r="2828" spans="1:13">
      <c r="A2828">
        <v>2826</v>
      </c>
      <c r="B2828" t="s">
        <v>372</v>
      </c>
      <c r="C2828" t="s">
        <v>82</v>
      </c>
      <c r="D2828" t="s">
        <v>83</v>
      </c>
      <c r="E2828" t="s">
        <v>419</v>
      </c>
      <c r="F2828">
        <v>16</v>
      </c>
      <c r="G2828">
        <f>MAX(I2825,I2827)</f>
        <v>3833810</v>
      </c>
      <c r="H2828">
        <f>CEILING((dram_access_latency+F2828/dram_bandwidth)*frequency,1)</f>
        <v>101</v>
      </c>
      <c r="I2828">
        <f>G2828+H2828</f>
        <v>3833911</v>
      </c>
      <c r="J2828">
        <f>IF(AND(D2828&lt;&gt;"dram",D2828&lt;&gt;"control"),H2828,0)</f>
        <v>0</v>
      </c>
      <c r="K2828">
        <f>IF(D2828="dram",H2828,0)</f>
        <v>101</v>
      </c>
      <c r="L2828">
        <v>16</v>
      </c>
      <c r="M2828">
        <v>0</v>
      </c>
    </row>
    <row r="2829" spans="1:13">
      <c r="A2829">
        <v>2827</v>
      </c>
      <c r="B2829" t="s">
        <v>373</v>
      </c>
      <c r="C2829" t="s">
        <v>82</v>
      </c>
      <c r="D2829" t="s">
        <v>83</v>
      </c>
      <c r="E2829" t="s">
        <v>419</v>
      </c>
      <c r="F2829">
        <v>8192</v>
      </c>
      <c r="G2829">
        <f>MAX(I2825,I2828)</f>
        <v>3833911</v>
      </c>
      <c r="H2829">
        <f>CEILING((dram_access_latency+F2829/dram_bandwidth)*frequency,1)</f>
        <v>228</v>
      </c>
      <c r="I2829">
        <f>G2829+H2829</f>
        <v>3834139</v>
      </c>
      <c r="J2829">
        <f>IF(AND(D2829&lt;&gt;"dram",D2829&lt;&gt;"control"),H2829,0)</f>
        <v>0</v>
      </c>
      <c r="K2829">
        <f>IF(D2829="dram",H2829,0)</f>
        <v>228</v>
      </c>
      <c r="L2829">
        <v>8192</v>
      </c>
      <c r="M2829">
        <v>0</v>
      </c>
    </row>
    <row r="2830" spans="1:13">
      <c r="A2830">
        <v>2828</v>
      </c>
      <c r="B2830" t="s">
        <v>62</v>
      </c>
      <c r="C2830" t="s">
        <v>90</v>
      </c>
      <c r="D2830" t="s">
        <v>108</v>
      </c>
      <c r="E2830" t="s">
        <v>419</v>
      </c>
      <c r="F2830">
        <v>0</v>
      </c>
      <c r="G2830">
        <f>MAX(I2824,I2824,I2826,I2827,I2828,I2829,I2581)</f>
        <v>3837958</v>
      </c>
      <c r="H2830">
        <f>'Operations'!I26</f>
        <v>8452</v>
      </c>
      <c r="I2830">
        <f>G2830+H2830</f>
        <v>3846410</v>
      </c>
      <c r="J2830">
        <f>IF(AND(D2830&lt;&gt;"dram",D2830&lt;&gt;"control"),H2830,0)</f>
        <v>8452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375</v>
      </c>
      <c r="C2831" t="s">
        <v>88</v>
      </c>
      <c r="D2831" t="s">
        <v>89</v>
      </c>
      <c r="E2831" t="s">
        <v>419</v>
      </c>
      <c r="F2831">
        <v>0</v>
      </c>
      <c r="G2831">
        <f>MAX(I2825,I2824)</f>
        <v>3829506</v>
      </c>
      <c r="H2831">
        <f>0</f>
        <v>8452</v>
      </c>
      <c r="I2831">
        <f>G2831+H2831</f>
        <v>3837958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370</v>
      </c>
      <c r="C2832" t="s">
        <v>82</v>
      </c>
      <c r="D2832" t="s">
        <v>83</v>
      </c>
      <c r="E2832" t="s">
        <v>420</v>
      </c>
      <c r="F2832">
        <v>512</v>
      </c>
      <c r="G2832">
        <f>MAX(I2831,I2829)</f>
        <v>3837958</v>
      </c>
      <c r="H2832">
        <f>CEILING((dram_access_latency+F2832/dram_bandwidth)*frequency,1)</f>
        <v>108</v>
      </c>
      <c r="I2832">
        <f>G2832+H2832</f>
        <v>3838066</v>
      </c>
      <c r="J2832">
        <f>IF(AND(D2832&lt;&gt;"dram",D2832&lt;&gt;"control"),H2832,0)</f>
        <v>0</v>
      </c>
      <c r="K2832">
        <f>IF(D2832="dram",H2832,0)</f>
        <v>108</v>
      </c>
      <c r="L2832">
        <v>512</v>
      </c>
      <c r="M2832">
        <v>0</v>
      </c>
    </row>
    <row r="2833" spans="1:13">
      <c r="A2833">
        <v>2831</v>
      </c>
      <c r="B2833" t="s">
        <v>371</v>
      </c>
      <c r="C2833" t="s">
        <v>82</v>
      </c>
      <c r="D2833" t="s">
        <v>83</v>
      </c>
      <c r="E2833" t="s">
        <v>420</v>
      </c>
      <c r="F2833">
        <v>262144</v>
      </c>
      <c r="G2833">
        <f>MAX(I2831,I2832)</f>
        <v>3838066</v>
      </c>
      <c r="H2833">
        <f>CEILING((dram_access_latency+F2833/dram_bandwidth)*frequency,1)</f>
        <v>4196</v>
      </c>
      <c r="I2833">
        <f>G2833+H2833</f>
        <v>3842262</v>
      </c>
      <c r="J2833">
        <f>IF(AND(D2833&lt;&gt;"dram",D2833&lt;&gt;"control"),H2833,0)</f>
        <v>0</v>
      </c>
      <c r="K2833">
        <f>IF(D2833="dram",H2833,0)</f>
        <v>4196</v>
      </c>
      <c r="L2833">
        <v>262144</v>
      </c>
      <c r="M2833">
        <v>0</v>
      </c>
    </row>
    <row r="2834" spans="1:13">
      <c r="A2834">
        <v>2832</v>
      </c>
      <c r="B2834" t="s">
        <v>372</v>
      </c>
      <c r="C2834" t="s">
        <v>82</v>
      </c>
      <c r="D2834" t="s">
        <v>83</v>
      </c>
      <c r="E2834" t="s">
        <v>420</v>
      </c>
      <c r="F2834">
        <v>16</v>
      </c>
      <c r="G2834">
        <f>MAX(I2831,I2833)</f>
        <v>3842262</v>
      </c>
      <c r="H2834">
        <f>CEILING((dram_access_latency+F2834/dram_bandwidth)*frequency,1)</f>
        <v>101</v>
      </c>
      <c r="I2834">
        <f>G2834+H2834</f>
        <v>3842363</v>
      </c>
      <c r="J2834">
        <f>IF(AND(D2834&lt;&gt;"dram",D2834&lt;&gt;"control"),H2834,0)</f>
        <v>0</v>
      </c>
      <c r="K2834">
        <f>IF(D2834="dram",H2834,0)</f>
        <v>101</v>
      </c>
      <c r="L2834">
        <v>16</v>
      </c>
      <c r="M2834">
        <v>0</v>
      </c>
    </row>
    <row r="2835" spans="1:13">
      <c r="A2835">
        <v>2833</v>
      </c>
      <c r="B2835" t="s">
        <v>373</v>
      </c>
      <c r="C2835" t="s">
        <v>82</v>
      </c>
      <c r="D2835" t="s">
        <v>83</v>
      </c>
      <c r="E2835" t="s">
        <v>420</v>
      </c>
      <c r="F2835">
        <v>8192</v>
      </c>
      <c r="G2835">
        <f>MAX(I2831,I2834)</f>
        <v>3842363</v>
      </c>
      <c r="H2835">
        <f>CEILING((dram_access_latency+F2835/dram_bandwidth)*frequency,1)</f>
        <v>228</v>
      </c>
      <c r="I2835">
        <f>G2835+H2835</f>
        <v>3842591</v>
      </c>
      <c r="J2835">
        <f>IF(AND(D2835&lt;&gt;"dram",D2835&lt;&gt;"control"),H2835,0)</f>
        <v>0</v>
      </c>
      <c r="K2835">
        <f>IF(D2835="dram",H2835,0)</f>
        <v>228</v>
      </c>
      <c r="L2835">
        <v>8192</v>
      </c>
      <c r="M2835">
        <v>0</v>
      </c>
    </row>
    <row r="2836" spans="1:13">
      <c r="A2836">
        <v>2834</v>
      </c>
      <c r="B2836" t="s">
        <v>63</v>
      </c>
      <c r="C2836" t="s">
        <v>90</v>
      </c>
      <c r="D2836" t="s">
        <v>108</v>
      </c>
      <c r="E2836" t="s">
        <v>420</v>
      </c>
      <c r="F2836">
        <v>0</v>
      </c>
      <c r="G2836">
        <f>MAX(I2830,I2830,I2832,I2833,I2834,I2835,I2581)</f>
        <v>3846410</v>
      </c>
      <c r="H2836">
        <f>'Operations'!I27</f>
        <v>8452</v>
      </c>
      <c r="I2836">
        <f>G2836+H2836</f>
        <v>3854862</v>
      </c>
      <c r="J2836">
        <f>IF(AND(D2836&lt;&gt;"dram",D2836&lt;&gt;"control"),H2836,0)</f>
        <v>8452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64</v>
      </c>
      <c r="C2837" t="s">
        <v>90</v>
      </c>
      <c r="D2837" t="s">
        <v>17</v>
      </c>
      <c r="E2837" t="s">
        <v>420</v>
      </c>
      <c r="F2837">
        <v>0</v>
      </c>
      <c r="G2837">
        <f>MAX(I2836,I2836)</f>
        <v>3854862</v>
      </c>
      <c r="H2837">
        <f>'Operations'!I28</f>
        <v>320</v>
      </c>
      <c r="I2837">
        <f>G2837+H2837</f>
        <v>3855182</v>
      </c>
      <c r="J2837">
        <f>IF(AND(D2837&lt;&gt;"dram",D2837&lt;&gt;"control"),H2837,0)</f>
        <v>320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375</v>
      </c>
      <c r="C2838" t="s">
        <v>88</v>
      </c>
      <c r="D2838" t="s">
        <v>89</v>
      </c>
      <c r="E2838" t="s">
        <v>420</v>
      </c>
      <c r="F2838">
        <v>0</v>
      </c>
      <c r="G2838">
        <f>MAX(I2831,I2830)</f>
        <v>3837958</v>
      </c>
      <c r="H2838">
        <f>0</f>
        <v>8452</v>
      </c>
      <c r="I2838">
        <f>G2838+H2838</f>
        <v>3846410</v>
      </c>
      <c r="J2838">
        <f>IF(AND(D2838&lt;&gt;"dram",D2838&lt;&gt;"control"),H2838,0)</f>
        <v>0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421</v>
      </c>
      <c r="C2839" t="s">
        <v>88</v>
      </c>
      <c r="D2839" t="s">
        <v>89</v>
      </c>
      <c r="E2839" t="s">
        <v>84</v>
      </c>
      <c r="F2839">
        <v>0</v>
      </c>
      <c r="G2839">
        <f>MAX(I2838,I2837)</f>
        <v>3846410</v>
      </c>
      <c r="H2839">
        <f>0</f>
        <v>8772</v>
      </c>
      <c r="I2839">
        <f>G2839+H2839</f>
        <v>3855182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422</v>
      </c>
      <c r="C2840" t="s">
        <v>92</v>
      </c>
      <c r="D2840" t="s">
        <v>83</v>
      </c>
      <c r="E2840" t="s">
        <v>84</v>
      </c>
      <c r="F2840">
        <v>128</v>
      </c>
      <c r="G2840">
        <f>MAX(I2839,I2835)</f>
        <v>3855182</v>
      </c>
      <c r="H2840">
        <f>CEILING((dram_access_latency+F2840/dram_bandwidth)*frequency,1)</f>
        <v>102</v>
      </c>
      <c r="I2840">
        <f>G2840+H2840</f>
        <v>3855284</v>
      </c>
      <c r="J2840">
        <f>IF(AND(D2840&lt;&gt;"dram",D2840&lt;&gt;"control"),H2840,0)</f>
        <v>0</v>
      </c>
      <c r="K2840">
        <f>IF(D2840="dram",H2840,0)</f>
        <v>102</v>
      </c>
      <c r="L2840">
        <v>0</v>
      </c>
      <c r="M2840">
        <v>128</v>
      </c>
    </row>
    <row r="2841" spans="1:13">
      <c r="A2841">
        <v>2839</v>
      </c>
      <c r="B2841" t="s">
        <v>423</v>
      </c>
      <c r="C2841" t="s">
        <v>92</v>
      </c>
      <c r="D2841" t="s">
        <v>83</v>
      </c>
      <c r="E2841" t="s">
        <v>84</v>
      </c>
      <c r="F2841">
        <v>6144</v>
      </c>
      <c r="G2841">
        <f>MAX(I2839,I2840)</f>
        <v>3855284</v>
      </c>
      <c r="H2841">
        <f>CEILING((dram_access_latency+F2841/dram_bandwidth)*frequency,1)</f>
        <v>196</v>
      </c>
      <c r="I2841">
        <f>G2841+H2841</f>
        <v>3855480</v>
      </c>
      <c r="J2841">
        <f>IF(AND(D2841&lt;&gt;"dram",D2841&lt;&gt;"control"),H2841,0)</f>
        <v>0</v>
      </c>
      <c r="K2841">
        <f>IF(D2841="dram",H2841,0)</f>
        <v>196</v>
      </c>
      <c r="L2841">
        <v>0</v>
      </c>
      <c r="M2841">
        <v>6144</v>
      </c>
    </row>
    <row r="2842" spans="1:13">
      <c r="A2842">
        <v>2840</v>
      </c>
      <c r="B2842" t="s">
        <v>424</v>
      </c>
      <c r="C2842" t="s">
        <v>88</v>
      </c>
      <c r="D2842" t="s">
        <v>89</v>
      </c>
      <c r="E2842" t="s">
        <v>84</v>
      </c>
      <c r="F2842">
        <v>0</v>
      </c>
      <c r="G2842">
        <f>MAX(I2839,I2584)</f>
        <v>3855182</v>
      </c>
      <c r="H2842">
        <f>0</f>
        <v>0</v>
      </c>
      <c r="I2842">
        <f>G2842+H2842</f>
        <v>3855182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425</v>
      </c>
      <c r="C2843" t="s">
        <v>88</v>
      </c>
      <c r="D2843" t="s">
        <v>89</v>
      </c>
      <c r="E2843" t="s">
        <v>84</v>
      </c>
      <c r="F2843">
        <v>0</v>
      </c>
      <c r="G2843">
        <f>MAX(I2842,I2840)</f>
        <v>3855182</v>
      </c>
      <c r="H2843">
        <f>0</f>
        <v>102</v>
      </c>
      <c r="I2843">
        <f>G2843+H2843</f>
        <v>3855284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426</v>
      </c>
      <c r="C2844" t="s">
        <v>88</v>
      </c>
      <c r="D2844" t="s">
        <v>89</v>
      </c>
      <c r="E2844" t="s">
        <v>84</v>
      </c>
      <c r="F2844">
        <v>0</v>
      </c>
      <c r="G2844">
        <f>MAX(I2843,I2585)</f>
        <v>3855284</v>
      </c>
      <c r="H2844">
        <f>0</f>
        <v>0</v>
      </c>
      <c r="I2844">
        <f>G2844+H2844</f>
        <v>3855284</v>
      </c>
      <c r="J2844">
        <f>IF(AND(D2844&lt;&gt;"dram",D2844&lt;&gt;"control"),H2844,0)</f>
        <v>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427</v>
      </c>
      <c r="C2845" t="s">
        <v>88</v>
      </c>
      <c r="D2845" t="s">
        <v>89</v>
      </c>
      <c r="E2845" t="s">
        <v>84</v>
      </c>
      <c r="F2845">
        <v>0</v>
      </c>
      <c r="G2845">
        <f>MAX(I2844,I2841)</f>
        <v>3855284</v>
      </c>
      <c r="H2845">
        <f>0</f>
        <v>196</v>
      </c>
      <c r="I2845">
        <f>G2845+H2845</f>
        <v>3855480</v>
      </c>
      <c r="J2845">
        <f>IF(AND(D2845&lt;&gt;"dram",D2845&lt;&gt;"control"),H2845,0)</f>
        <v>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428</v>
      </c>
      <c r="C2846" t="s">
        <v>82</v>
      </c>
      <c r="D2846" t="s">
        <v>83</v>
      </c>
      <c r="E2846" t="s">
        <v>86</v>
      </c>
      <c r="F2846">
        <v>12288</v>
      </c>
      <c r="G2846">
        <f>MAX(I2845,I2841)</f>
        <v>3855480</v>
      </c>
      <c r="H2846">
        <f>CEILING((dram_access_latency+F2846/dram_bandwidth)*frequency,1)</f>
        <v>292</v>
      </c>
      <c r="I2846">
        <f>G2846+H2846</f>
        <v>3855772</v>
      </c>
      <c r="J2846">
        <f>IF(AND(D2846&lt;&gt;"dram",D2846&lt;&gt;"control"),H2846,0)</f>
        <v>0</v>
      </c>
      <c r="K2846">
        <f>IF(D2846="dram",H2846,0)</f>
        <v>292</v>
      </c>
      <c r="L2846">
        <v>12288</v>
      </c>
      <c r="M2846">
        <v>0</v>
      </c>
    </row>
    <row r="2847" spans="1:13">
      <c r="A2847">
        <v>2845</v>
      </c>
      <c r="B2847" t="s">
        <v>429</v>
      </c>
      <c r="C2847" t="s">
        <v>82</v>
      </c>
      <c r="D2847" t="s">
        <v>83</v>
      </c>
      <c r="E2847" t="s">
        <v>86</v>
      </c>
      <c r="F2847">
        <v>1310720</v>
      </c>
      <c r="G2847">
        <f>MAX(I2845,I2846)</f>
        <v>3855772</v>
      </c>
      <c r="H2847">
        <f>CEILING((dram_access_latency+F2847/dram_bandwidth)*frequency,1)</f>
        <v>20580</v>
      </c>
      <c r="I2847">
        <f>G2847+H2847</f>
        <v>3876352</v>
      </c>
      <c r="J2847">
        <f>IF(AND(D2847&lt;&gt;"dram",D2847&lt;&gt;"control"),H2847,0)</f>
        <v>0</v>
      </c>
      <c r="K2847">
        <f>IF(D2847="dram",H2847,0)</f>
        <v>20580</v>
      </c>
      <c r="L2847">
        <v>1310720</v>
      </c>
      <c r="M2847">
        <v>0</v>
      </c>
    </row>
    <row r="2848" spans="1:13">
      <c r="A2848">
        <v>2846</v>
      </c>
      <c r="B2848" t="s">
        <v>430</v>
      </c>
      <c r="C2848" t="s">
        <v>82</v>
      </c>
      <c r="D2848" t="s">
        <v>83</v>
      </c>
      <c r="E2848" t="s">
        <v>86</v>
      </c>
      <c r="F2848">
        <v>256</v>
      </c>
      <c r="G2848">
        <f>MAX(I2845,I2847)</f>
        <v>3876352</v>
      </c>
      <c r="H2848">
        <f>CEILING((dram_access_latency+F2848/dram_bandwidth)*frequency,1)</f>
        <v>104</v>
      </c>
      <c r="I2848">
        <f>G2848+H2848</f>
        <v>3876456</v>
      </c>
      <c r="J2848">
        <f>IF(AND(D2848&lt;&gt;"dram",D2848&lt;&gt;"control"),H2848,0)</f>
        <v>0</v>
      </c>
      <c r="K2848">
        <f>IF(D2848="dram",H2848,0)</f>
        <v>104</v>
      </c>
      <c r="L2848">
        <v>256</v>
      </c>
      <c r="M2848">
        <v>0</v>
      </c>
    </row>
    <row r="2849" spans="1:13">
      <c r="A2849">
        <v>2847</v>
      </c>
      <c r="B2849" t="s">
        <v>431</v>
      </c>
      <c r="C2849" t="s">
        <v>82</v>
      </c>
      <c r="D2849" t="s">
        <v>83</v>
      </c>
      <c r="E2849" t="s">
        <v>86</v>
      </c>
      <c r="F2849">
        <v>40960</v>
      </c>
      <c r="G2849">
        <f>MAX(I2845,I2848)</f>
        <v>3876456</v>
      </c>
      <c r="H2849">
        <f>CEILING((dram_access_latency+F2849/dram_bandwidth)*frequency,1)</f>
        <v>740</v>
      </c>
      <c r="I2849">
        <f>G2849+H2849</f>
        <v>3877196</v>
      </c>
      <c r="J2849">
        <f>IF(AND(D2849&lt;&gt;"dram",D2849&lt;&gt;"control"),H2849,0)</f>
        <v>0</v>
      </c>
      <c r="K2849">
        <f>IF(D2849="dram",H2849,0)</f>
        <v>740</v>
      </c>
      <c r="L2849">
        <v>40960</v>
      </c>
      <c r="M2849">
        <v>0</v>
      </c>
    </row>
    <row r="2850" spans="1:13">
      <c r="A2850">
        <v>2848</v>
      </c>
      <c r="B2850" t="s">
        <v>65</v>
      </c>
      <c r="C2850" t="s">
        <v>90</v>
      </c>
      <c r="D2850" t="s">
        <v>287</v>
      </c>
      <c r="E2850" t="s">
        <v>86</v>
      </c>
      <c r="F2850">
        <v>0</v>
      </c>
      <c r="G2850">
        <f>MAX(I2836,I2846,I2847,I2848,I2849)</f>
        <v>3877196</v>
      </c>
      <c r="H2850">
        <f>'Operations'!I29</f>
        <v>42245</v>
      </c>
      <c r="I2850">
        <f>G2850+H2850</f>
        <v>3919441</v>
      </c>
      <c r="J2850">
        <f>IF(AND(D2850&lt;&gt;"dram",D2850&lt;&gt;"control"),H2850,0)</f>
        <v>42245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429</v>
      </c>
      <c r="C2851" t="s">
        <v>82</v>
      </c>
      <c r="D2851" t="s">
        <v>83</v>
      </c>
      <c r="E2851" t="s">
        <v>93</v>
      </c>
      <c r="F2851">
        <v>1310720</v>
      </c>
      <c r="G2851">
        <f>MAX(I2845,I2849)</f>
        <v>3877196</v>
      </c>
      <c r="H2851">
        <f>CEILING((dram_access_latency+F2851/dram_bandwidth)*frequency,1)</f>
        <v>20580</v>
      </c>
      <c r="I2851">
        <f>G2851+H2851</f>
        <v>3897776</v>
      </c>
      <c r="J2851">
        <f>IF(AND(D2851&lt;&gt;"dram",D2851&lt;&gt;"control"),H2851,0)</f>
        <v>0</v>
      </c>
      <c r="K2851">
        <f>IF(D2851="dram",H2851,0)</f>
        <v>20580</v>
      </c>
      <c r="L2851">
        <v>1310720</v>
      </c>
      <c r="M2851">
        <v>0</v>
      </c>
    </row>
    <row r="2852" spans="1:13">
      <c r="A2852">
        <v>2850</v>
      </c>
      <c r="B2852" t="s">
        <v>431</v>
      </c>
      <c r="C2852" t="s">
        <v>82</v>
      </c>
      <c r="D2852" t="s">
        <v>83</v>
      </c>
      <c r="E2852" t="s">
        <v>93</v>
      </c>
      <c r="F2852">
        <v>40960</v>
      </c>
      <c r="G2852">
        <f>MAX(I2845,I2851)</f>
        <v>3897776</v>
      </c>
      <c r="H2852">
        <f>CEILING((dram_access_latency+F2852/dram_bandwidth)*frequency,1)</f>
        <v>740</v>
      </c>
      <c r="I2852">
        <f>G2852+H2852</f>
        <v>3898516</v>
      </c>
      <c r="J2852">
        <f>IF(AND(D2852&lt;&gt;"dram",D2852&lt;&gt;"control"),H2852,0)</f>
        <v>0</v>
      </c>
      <c r="K2852">
        <f>IF(D2852="dram",H2852,0)</f>
        <v>740</v>
      </c>
      <c r="L2852">
        <v>40960</v>
      </c>
      <c r="M2852">
        <v>0</v>
      </c>
    </row>
    <row r="2853" spans="1:13">
      <c r="A2853">
        <v>2851</v>
      </c>
      <c r="B2853" t="s">
        <v>65</v>
      </c>
      <c r="C2853" t="s">
        <v>90</v>
      </c>
      <c r="D2853" t="s">
        <v>287</v>
      </c>
      <c r="E2853" t="s">
        <v>93</v>
      </c>
      <c r="F2853">
        <v>0</v>
      </c>
      <c r="G2853">
        <f>MAX(I2850,I2846,I2851,I2848,I2852)</f>
        <v>3919441</v>
      </c>
      <c r="H2853">
        <f>'Operations'!I29</f>
        <v>42245</v>
      </c>
      <c r="I2853">
        <f>G2853+H2853</f>
        <v>3961686</v>
      </c>
      <c r="J2853">
        <f>IF(AND(D2853&lt;&gt;"dram",D2853&lt;&gt;"control"),H2853,0)</f>
        <v>42245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432</v>
      </c>
      <c r="C2854" t="s">
        <v>88</v>
      </c>
      <c r="D2854" t="s">
        <v>89</v>
      </c>
      <c r="E2854" t="s">
        <v>93</v>
      </c>
      <c r="F2854">
        <v>0</v>
      </c>
      <c r="G2854">
        <f>MAX(I2845,I2850)</f>
        <v>3855480</v>
      </c>
      <c r="H2854">
        <f>0</f>
        <v>63961</v>
      </c>
      <c r="I2854">
        <f>G2854+H2854</f>
        <v>3919441</v>
      </c>
      <c r="J2854">
        <f>IF(AND(D2854&lt;&gt;"dram",D2854&lt;&gt;"control"),H2854,0)</f>
        <v>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433</v>
      </c>
      <c r="C2855" t="s">
        <v>92</v>
      </c>
      <c r="D2855" t="s">
        <v>83</v>
      </c>
      <c r="E2855" t="s">
        <v>93</v>
      </c>
      <c r="F2855">
        <v>5120</v>
      </c>
      <c r="G2855">
        <f>MAX(I2854,I2852)</f>
        <v>3919441</v>
      </c>
      <c r="H2855">
        <f>CEILING((dram_access_latency+F2855/dram_bandwidth)*frequency,1)</f>
        <v>180</v>
      </c>
      <c r="I2855">
        <f>G2855+H2855</f>
        <v>3919621</v>
      </c>
      <c r="J2855">
        <f>IF(AND(D2855&lt;&gt;"dram",D2855&lt;&gt;"control"),H2855,0)</f>
        <v>0</v>
      </c>
      <c r="K2855">
        <f>IF(D2855="dram",H2855,0)</f>
        <v>180</v>
      </c>
      <c r="L2855">
        <v>0</v>
      </c>
      <c r="M2855">
        <v>5120</v>
      </c>
    </row>
    <row r="2856" spans="1:13">
      <c r="A2856">
        <v>2854</v>
      </c>
      <c r="B2856" t="s">
        <v>429</v>
      </c>
      <c r="C2856" t="s">
        <v>82</v>
      </c>
      <c r="D2856" t="s">
        <v>83</v>
      </c>
      <c r="E2856" t="s">
        <v>111</v>
      </c>
      <c r="F2856">
        <v>1310720</v>
      </c>
      <c r="G2856">
        <f>MAX(I2854,I2855)</f>
        <v>3919621</v>
      </c>
      <c r="H2856">
        <f>CEILING((dram_access_latency+F2856/dram_bandwidth)*frequency,1)</f>
        <v>20580</v>
      </c>
      <c r="I2856">
        <f>G2856+H2856</f>
        <v>3940201</v>
      </c>
      <c r="J2856">
        <f>IF(AND(D2856&lt;&gt;"dram",D2856&lt;&gt;"control"),H2856,0)</f>
        <v>0</v>
      </c>
      <c r="K2856">
        <f>IF(D2856="dram",H2856,0)</f>
        <v>20580</v>
      </c>
      <c r="L2856">
        <v>1310720</v>
      </c>
      <c r="M2856">
        <v>0</v>
      </c>
    </row>
    <row r="2857" spans="1:13">
      <c r="A2857">
        <v>2855</v>
      </c>
      <c r="B2857" t="s">
        <v>431</v>
      </c>
      <c r="C2857" t="s">
        <v>82</v>
      </c>
      <c r="D2857" t="s">
        <v>83</v>
      </c>
      <c r="E2857" t="s">
        <v>111</v>
      </c>
      <c r="F2857">
        <v>40960</v>
      </c>
      <c r="G2857">
        <f>MAX(I2854,I2856)</f>
        <v>3940201</v>
      </c>
      <c r="H2857">
        <f>CEILING((dram_access_latency+F2857/dram_bandwidth)*frequency,1)</f>
        <v>740</v>
      </c>
      <c r="I2857">
        <f>G2857+H2857</f>
        <v>3940941</v>
      </c>
      <c r="J2857">
        <f>IF(AND(D2857&lt;&gt;"dram",D2857&lt;&gt;"control"),H2857,0)</f>
        <v>0</v>
      </c>
      <c r="K2857">
        <f>IF(D2857="dram",H2857,0)</f>
        <v>740</v>
      </c>
      <c r="L2857">
        <v>40960</v>
      </c>
      <c r="M2857">
        <v>0</v>
      </c>
    </row>
    <row r="2858" spans="1:13">
      <c r="A2858">
        <v>2856</v>
      </c>
      <c r="B2858" t="s">
        <v>65</v>
      </c>
      <c r="C2858" t="s">
        <v>90</v>
      </c>
      <c r="D2858" t="s">
        <v>287</v>
      </c>
      <c r="E2858" t="s">
        <v>111</v>
      </c>
      <c r="F2858">
        <v>0</v>
      </c>
      <c r="G2858">
        <f>MAX(I2853,I2846,I2856,I2848,I2857,I2855)</f>
        <v>3961686</v>
      </c>
      <c r="H2858">
        <f>'Operations'!I29</f>
        <v>42245</v>
      </c>
      <c r="I2858">
        <f>G2858+H2858</f>
        <v>4003931</v>
      </c>
      <c r="J2858">
        <f>IF(AND(D2858&lt;&gt;"dram",D2858&lt;&gt;"control"),H2858,0)</f>
        <v>42245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432</v>
      </c>
      <c r="C2859" t="s">
        <v>88</v>
      </c>
      <c r="D2859" t="s">
        <v>89</v>
      </c>
      <c r="E2859" t="s">
        <v>111</v>
      </c>
      <c r="F2859">
        <v>0</v>
      </c>
      <c r="G2859">
        <f>MAX(I2854,I2853)</f>
        <v>3919441</v>
      </c>
      <c r="H2859">
        <f>0</f>
        <v>42245</v>
      </c>
      <c r="I2859">
        <f>G2859+H2859</f>
        <v>3961686</v>
      </c>
      <c r="J2859">
        <f>IF(AND(D2859&lt;&gt;"dram",D2859&lt;&gt;"control"),H2859,0)</f>
        <v>0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433</v>
      </c>
      <c r="C2860" t="s">
        <v>92</v>
      </c>
      <c r="D2860" t="s">
        <v>83</v>
      </c>
      <c r="E2860" t="s">
        <v>111</v>
      </c>
      <c r="F2860">
        <v>5120</v>
      </c>
      <c r="G2860">
        <f>MAX(I2859,I2857)</f>
        <v>3961686</v>
      </c>
      <c r="H2860">
        <f>CEILING((dram_access_latency+F2860/dram_bandwidth)*frequency,1)</f>
        <v>180</v>
      </c>
      <c r="I2860">
        <f>G2860+H2860</f>
        <v>3961866</v>
      </c>
      <c r="J2860">
        <f>IF(AND(D2860&lt;&gt;"dram",D2860&lt;&gt;"control"),H2860,0)</f>
        <v>0</v>
      </c>
      <c r="K2860">
        <f>IF(D2860="dram",H2860,0)</f>
        <v>180</v>
      </c>
      <c r="L2860">
        <v>0</v>
      </c>
      <c r="M2860">
        <v>5120</v>
      </c>
    </row>
    <row r="2861" spans="1:13">
      <c r="A2861">
        <v>2859</v>
      </c>
      <c r="B2861" t="s">
        <v>429</v>
      </c>
      <c r="C2861" t="s">
        <v>82</v>
      </c>
      <c r="D2861" t="s">
        <v>83</v>
      </c>
      <c r="E2861" t="s">
        <v>112</v>
      </c>
      <c r="F2861">
        <v>1310720</v>
      </c>
      <c r="G2861">
        <f>MAX(I2859,I2860)</f>
        <v>3961866</v>
      </c>
      <c r="H2861">
        <f>CEILING((dram_access_latency+F2861/dram_bandwidth)*frequency,1)</f>
        <v>20580</v>
      </c>
      <c r="I2861">
        <f>G2861+H2861</f>
        <v>3982446</v>
      </c>
      <c r="J2861">
        <f>IF(AND(D2861&lt;&gt;"dram",D2861&lt;&gt;"control"),H2861,0)</f>
        <v>0</v>
      </c>
      <c r="K2861">
        <f>IF(D2861="dram",H2861,0)</f>
        <v>20580</v>
      </c>
      <c r="L2861">
        <v>1310720</v>
      </c>
      <c r="M2861">
        <v>0</v>
      </c>
    </row>
    <row r="2862" spans="1:13">
      <c r="A2862">
        <v>2860</v>
      </c>
      <c r="B2862" t="s">
        <v>431</v>
      </c>
      <c r="C2862" t="s">
        <v>82</v>
      </c>
      <c r="D2862" t="s">
        <v>83</v>
      </c>
      <c r="E2862" t="s">
        <v>112</v>
      </c>
      <c r="F2862">
        <v>40960</v>
      </c>
      <c r="G2862">
        <f>MAX(I2859,I2861)</f>
        <v>3982446</v>
      </c>
      <c r="H2862">
        <f>CEILING((dram_access_latency+F2862/dram_bandwidth)*frequency,1)</f>
        <v>740</v>
      </c>
      <c r="I2862">
        <f>G2862+H2862</f>
        <v>3983186</v>
      </c>
      <c r="J2862">
        <f>IF(AND(D2862&lt;&gt;"dram",D2862&lt;&gt;"control"),H2862,0)</f>
        <v>0</v>
      </c>
      <c r="K2862">
        <f>IF(D2862="dram",H2862,0)</f>
        <v>740</v>
      </c>
      <c r="L2862">
        <v>40960</v>
      </c>
      <c r="M2862">
        <v>0</v>
      </c>
    </row>
    <row r="2863" spans="1:13">
      <c r="A2863">
        <v>2861</v>
      </c>
      <c r="B2863" t="s">
        <v>65</v>
      </c>
      <c r="C2863" t="s">
        <v>90</v>
      </c>
      <c r="D2863" t="s">
        <v>287</v>
      </c>
      <c r="E2863" t="s">
        <v>112</v>
      </c>
      <c r="F2863">
        <v>0</v>
      </c>
      <c r="G2863">
        <f>MAX(I2858,I2846,I2861,I2848,I2862,I2860)</f>
        <v>4003931</v>
      </c>
      <c r="H2863">
        <f>'Operations'!I29</f>
        <v>42245</v>
      </c>
      <c r="I2863">
        <f>G2863+H2863</f>
        <v>4046176</v>
      </c>
      <c r="J2863">
        <f>IF(AND(D2863&lt;&gt;"dram",D2863&lt;&gt;"control"),H2863,0)</f>
        <v>42245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432</v>
      </c>
      <c r="C2864" t="s">
        <v>88</v>
      </c>
      <c r="D2864" t="s">
        <v>89</v>
      </c>
      <c r="E2864" t="s">
        <v>112</v>
      </c>
      <c r="F2864">
        <v>0</v>
      </c>
      <c r="G2864">
        <f>MAX(I2859,I2858)</f>
        <v>3961686</v>
      </c>
      <c r="H2864">
        <f>0</f>
        <v>42245</v>
      </c>
      <c r="I2864">
        <f>G2864+H2864</f>
        <v>4003931</v>
      </c>
      <c r="J2864">
        <f>IF(AND(D2864&lt;&gt;"dram",D2864&lt;&gt;"control"),H2864,0)</f>
        <v>0</v>
      </c>
      <c r="K2864">
        <f>IF(D2864="dram",H2864,0)</f>
        <v>0</v>
      </c>
      <c r="L2864">
        <v>0</v>
      </c>
      <c r="M2864">
        <v>0</v>
      </c>
    </row>
    <row r="2865" spans="1:13">
      <c r="A2865">
        <v>2863</v>
      </c>
      <c r="B2865" t="s">
        <v>433</v>
      </c>
      <c r="C2865" t="s">
        <v>92</v>
      </c>
      <c r="D2865" t="s">
        <v>83</v>
      </c>
      <c r="E2865" t="s">
        <v>112</v>
      </c>
      <c r="F2865">
        <v>5120</v>
      </c>
      <c r="G2865">
        <f>MAX(I2864,I2862)</f>
        <v>4003931</v>
      </c>
      <c r="H2865">
        <f>CEILING((dram_access_latency+F2865/dram_bandwidth)*frequency,1)</f>
        <v>180</v>
      </c>
      <c r="I2865">
        <f>G2865+H2865</f>
        <v>4004111</v>
      </c>
      <c r="J2865">
        <f>IF(AND(D2865&lt;&gt;"dram",D2865&lt;&gt;"control"),H2865,0)</f>
        <v>0</v>
      </c>
      <c r="K2865">
        <f>IF(D2865="dram",H2865,0)</f>
        <v>180</v>
      </c>
      <c r="L2865">
        <v>0</v>
      </c>
      <c r="M2865">
        <v>5120</v>
      </c>
    </row>
    <row r="2866" spans="1:13">
      <c r="A2866">
        <v>2864</v>
      </c>
      <c r="B2866" t="s">
        <v>429</v>
      </c>
      <c r="C2866" t="s">
        <v>82</v>
      </c>
      <c r="D2866" t="s">
        <v>83</v>
      </c>
      <c r="E2866" t="s">
        <v>113</v>
      </c>
      <c r="F2866">
        <v>1310720</v>
      </c>
      <c r="G2866">
        <f>MAX(I2864,I2865)</f>
        <v>4004111</v>
      </c>
      <c r="H2866">
        <f>CEILING((dram_access_latency+F2866/dram_bandwidth)*frequency,1)</f>
        <v>20580</v>
      </c>
      <c r="I2866">
        <f>G2866+H2866</f>
        <v>4024691</v>
      </c>
      <c r="J2866">
        <f>IF(AND(D2866&lt;&gt;"dram",D2866&lt;&gt;"control"),H2866,0)</f>
        <v>0</v>
      </c>
      <c r="K2866">
        <f>IF(D2866="dram",H2866,0)</f>
        <v>20580</v>
      </c>
      <c r="L2866">
        <v>1310720</v>
      </c>
      <c r="M2866">
        <v>0</v>
      </c>
    </row>
    <row r="2867" spans="1:13">
      <c r="A2867">
        <v>2865</v>
      </c>
      <c r="B2867" t="s">
        <v>431</v>
      </c>
      <c r="C2867" t="s">
        <v>82</v>
      </c>
      <c r="D2867" t="s">
        <v>83</v>
      </c>
      <c r="E2867" t="s">
        <v>113</v>
      </c>
      <c r="F2867">
        <v>40960</v>
      </c>
      <c r="G2867">
        <f>MAX(I2864,I2866)</f>
        <v>4024691</v>
      </c>
      <c r="H2867">
        <f>CEILING((dram_access_latency+F2867/dram_bandwidth)*frequency,1)</f>
        <v>740</v>
      </c>
      <c r="I2867">
        <f>G2867+H2867</f>
        <v>4025431</v>
      </c>
      <c r="J2867">
        <f>IF(AND(D2867&lt;&gt;"dram",D2867&lt;&gt;"control"),H2867,0)</f>
        <v>0</v>
      </c>
      <c r="K2867">
        <f>IF(D2867="dram",H2867,0)</f>
        <v>740</v>
      </c>
      <c r="L2867">
        <v>40960</v>
      </c>
      <c r="M2867">
        <v>0</v>
      </c>
    </row>
    <row r="2868" spans="1:13">
      <c r="A2868">
        <v>2866</v>
      </c>
      <c r="B2868" t="s">
        <v>65</v>
      </c>
      <c r="C2868" t="s">
        <v>90</v>
      </c>
      <c r="D2868" t="s">
        <v>287</v>
      </c>
      <c r="E2868" t="s">
        <v>113</v>
      </c>
      <c r="F2868">
        <v>0</v>
      </c>
      <c r="G2868">
        <f>MAX(I2863,I2846,I2866,I2848,I2867,I2865)</f>
        <v>4046176</v>
      </c>
      <c r="H2868">
        <f>'Operations'!I29</f>
        <v>42245</v>
      </c>
      <c r="I2868">
        <f>G2868+H2868</f>
        <v>4088421</v>
      </c>
      <c r="J2868">
        <f>IF(AND(D2868&lt;&gt;"dram",D2868&lt;&gt;"control"),H2868,0)</f>
        <v>42245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432</v>
      </c>
      <c r="C2869" t="s">
        <v>88</v>
      </c>
      <c r="D2869" t="s">
        <v>89</v>
      </c>
      <c r="E2869" t="s">
        <v>113</v>
      </c>
      <c r="F2869">
        <v>0</v>
      </c>
      <c r="G2869">
        <f>MAX(I2864,I2863)</f>
        <v>4003931</v>
      </c>
      <c r="H2869">
        <f>0</f>
        <v>42245</v>
      </c>
      <c r="I2869">
        <f>G2869+H2869</f>
        <v>4046176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433</v>
      </c>
      <c r="C2870" t="s">
        <v>92</v>
      </c>
      <c r="D2870" t="s">
        <v>83</v>
      </c>
      <c r="E2870" t="s">
        <v>113</v>
      </c>
      <c r="F2870">
        <v>5120</v>
      </c>
      <c r="G2870">
        <f>MAX(I2869,I2867)</f>
        <v>4046176</v>
      </c>
      <c r="H2870">
        <f>CEILING((dram_access_latency+F2870/dram_bandwidth)*frequency,1)</f>
        <v>180</v>
      </c>
      <c r="I2870">
        <f>G2870+H2870</f>
        <v>4046356</v>
      </c>
      <c r="J2870">
        <f>IF(AND(D2870&lt;&gt;"dram",D2870&lt;&gt;"control"),H2870,0)</f>
        <v>0</v>
      </c>
      <c r="K2870">
        <f>IF(D2870="dram",H2870,0)</f>
        <v>180</v>
      </c>
      <c r="L2870">
        <v>0</v>
      </c>
      <c r="M2870">
        <v>5120</v>
      </c>
    </row>
    <row r="2871" spans="1:13">
      <c r="A2871">
        <v>2869</v>
      </c>
      <c r="B2871" t="s">
        <v>429</v>
      </c>
      <c r="C2871" t="s">
        <v>82</v>
      </c>
      <c r="D2871" t="s">
        <v>83</v>
      </c>
      <c r="E2871" t="s">
        <v>114</v>
      </c>
      <c r="F2871">
        <v>1310720</v>
      </c>
      <c r="G2871">
        <f>MAX(I2869,I2870)</f>
        <v>4046356</v>
      </c>
      <c r="H2871">
        <f>CEILING((dram_access_latency+F2871/dram_bandwidth)*frequency,1)</f>
        <v>20580</v>
      </c>
      <c r="I2871">
        <f>G2871+H2871</f>
        <v>4066936</v>
      </c>
      <c r="J2871">
        <f>IF(AND(D2871&lt;&gt;"dram",D2871&lt;&gt;"control"),H2871,0)</f>
        <v>0</v>
      </c>
      <c r="K2871">
        <f>IF(D2871="dram",H2871,0)</f>
        <v>20580</v>
      </c>
      <c r="L2871">
        <v>1310720</v>
      </c>
      <c r="M2871">
        <v>0</v>
      </c>
    </row>
    <row r="2872" spans="1:13">
      <c r="A2872">
        <v>2870</v>
      </c>
      <c r="B2872" t="s">
        <v>431</v>
      </c>
      <c r="C2872" t="s">
        <v>82</v>
      </c>
      <c r="D2872" t="s">
        <v>83</v>
      </c>
      <c r="E2872" t="s">
        <v>114</v>
      </c>
      <c r="F2872">
        <v>40960</v>
      </c>
      <c r="G2872">
        <f>MAX(I2869,I2871)</f>
        <v>4066936</v>
      </c>
      <c r="H2872">
        <f>CEILING((dram_access_latency+F2872/dram_bandwidth)*frequency,1)</f>
        <v>740</v>
      </c>
      <c r="I2872">
        <f>G2872+H2872</f>
        <v>4067676</v>
      </c>
      <c r="J2872">
        <f>IF(AND(D2872&lt;&gt;"dram",D2872&lt;&gt;"control"),H2872,0)</f>
        <v>0</v>
      </c>
      <c r="K2872">
        <f>IF(D2872="dram",H2872,0)</f>
        <v>740</v>
      </c>
      <c r="L2872">
        <v>40960</v>
      </c>
      <c r="M2872">
        <v>0</v>
      </c>
    </row>
    <row r="2873" spans="1:13">
      <c r="A2873">
        <v>2871</v>
      </c>
      <c r="B2873" t="s">
        <v>65</v>
      </c>
      <c r="C2873" t="s">
        <v>90</v>
      </c>
      <c r="D2873" t="s">
        <v>287</v>
      </c>
      <c r="E2873" t="s">
        <v>114</v>
      </c>
      <c r="F2873">
        <v>0</v>
      </c>
      <c r="G2873">
        <f>MAX(I2868,I2846,I2871,I2848,I2872,I2870)</f>
        <v>4088421</v>
      </c>
      <c r="H2873">
        <f>'Operations'!I29</f>
        <v>42245</v>
      </c>
      <c r="I2873">
        <f>G2873+H2873</f>
        <v>4130666</v>
      </c>
      <c r="J2873">
        <f>IF(AND(D2873&lt;&gt;"dram",D2873&lt;&gt;"control"),H2873,0)</f>
        <v>42245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432</v>
      </c>
      <c r="C2874" t="s">
        <v>88</v>
      </c>
      <c r="D2874" t="s">
        <v>89</v>
      </c>
      <c r="E2874" t="s">
        <v>114</v>
      </c>
      <c r="F2874">
        <v>0</v>
      </c>
      <c r="G2874">
        <f>MAX(I2869,I2868)</f>
        <v>4046176</v>
      </c>
      <c r="H2874">
        <f>0</f>
        <v>42245</v>
      </c>
      <c r="I2874">
        <f>G2874+H2874</f>
        <v>4088421</v>
      </c>
      <c r="J2874">
        <f>IF(AND(D2874&lt;&gt;"dram",D2874&lt;&gt;"control"),H2874,0)</f>
        <v>0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433</v>
      </c>
      <c r="C2875" t="s">
        <v>92</v>
      </c>
      <c r="D2875" t="s">
        <v>83</v>
      </c>
      <c r="E2875" t="s">
        <v>114</v>
      </c>
      <c r="F2875">
        <v>5120</v>
      </c>
      <c r="G2875">
        <f>MAX(I2874,I2872)</f>
        <v>4088421</v>
      </c>
      <c r="H2875">
        <f>CEILING((dram_access_latency+F2875/dram_bandwidth)*frequency,1)</f>
        <v>180</v>
      </c>
      <c r="I2875">
        <f>G2875+H2875</f>
        <v>4088601</v>
      </c>
      <c r="J2875">
        <f>IF(AND(D2875&lt;&gt;"dram",D2875&lt;&gt;"control"),H2875,0)</f>
        <v>0</v>
      </c>
      <c r="K2875">
        <f>IF(D2875="dram",H2875,0)</f>
        <v>180</v>
      </c>
      <c r="L2875">
        <v>0</v>
      </c>
      <c r="M2875">
        <v>5120</v>
      </c>
    </row>
    <row r="2876" spans="1:13">
      <c r="A2876">
        <v>2874</v>
      </c>
      <c r="B2876" t="s">
        <v>429</v>
      </c>
      <c r="C2876" t="s">
        <v>82</v>
      </c>
      <c r="D2876" t="s">
        <v>83</v>
      </c>
      <c r="E2876" t="s">
        <v>115</v>
      </c>
      <c r="F2876">
        <v>1310720</v>
      </c>
      <c r="G2876">
        <f>MAX(I2874,I2875)</f>
        <v>4088601</v>
      </c>
      <c r="H2876">
        <f>CEILING((dram_access_latency+F2876/dram_bandwidth)*frequency,1)</f>
        <v>20580</v>
      </c>
      <c r="I2876">
        <f>G2876+H2876</f>
        <v>4109181</v>
      </c>
      <c r="J2876">
        <f>IF(AND(D2876&lt;&gt;"dram",D2876&lt;&gt;"control"),H2876,0)</f>
        <v>0</v>
      </c>
      <c r="K2876">
        <f>IF(D2876="dram",H2876,0)</f>
        <v>20580</v>
      </c>
      <c r="L2876">
        <v>1310720</v>
      </c>
      <c r="M2876">
        <v>0</v>
      </c>
    </row>
    <row r="2877" spans="1:13">
      <c r="A2877">
        <v>2875</v>
      </c>
      <c r="B2877" t="s">
        <v>431</v>
      </c>
      <c r="C2877" t="s">
        <v>82</v>
      </c>
      <c r="D2877" t="s">
        <v>83</v>
      </c>
      <c r="E2877" t="s">
        <v>115</v>
      </c>
      <c r="F2877">
        <v>40960</v>
      </c>
      <c r="G2877">
        <f>MAX(I2874,I2876)</f>
        <v>4109181</v>
      </c>
      <c r="H2877">
        <f>CEILING((dram_access_latency+F2877/dram_bandwidth)*frequency,1)</f>
        <v>740</v>
      </c>
      <c r="I2877">
        <f>G2877+H2877</f>
        <v>4109921</v>
      </c>
      <c r="J2877">
        <f>IF(AND(D2877&lt;&gt;"dram",D2877&lt;&gt;"control"),H2877,0)</f>
        <v>0</v>
      </c>
      <c r="K2877">
        <f>IF(D2877="dram",H2877,0)</f>
        <v>740</v>
      </c>
      <c r="L2877">
        <v>40960</v>
      </c>
      <c r="M2877">
        <v>0</v>
      </c>
    </row>
    <row r="2878" spans="1:13">
      <c r="A2878">
        <v>2876</v>
      </c>
      <c r="B2878" t="s">
        <v>65</v>
      </c>
      <c r="C2878" t="s">
        <v>90</v>
      </c>
      <c r="D2878" t="s">
        <v>287</v>
      </c>
      <c r="E2878" t="s">
        <v>115</v>
      </c>
      <c r="F2878">
        <v>0</v>
      </c>
      <c r="G2878">
        <f>MAX(I2873,I2846,I2876,I2848,I2877,I2875)</f>
        <v>4130666</v>
      </c>
      <c r="H2878">
        <f>'Operations'!I29</f>
        <v>42245</v>
      </c>
      <c r="I2878">
        <f>G2878+H2878</f>
        <v>4172911</v>
      </c>
      <c r="J2878">
        <f>IF(AND(D2878&lt;&gt;"dram",D2878&lt;&gt;"control"),H2878,0)</f>
        <v>42245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432</v>
      </c>
      <c r="C2879" t="s">
        <v>88</v>
      </c>
      <c r="D2879" t="s">
        <v>89</v>
      </c>
      <c r="E2879" t="s">
        <v>115</v>
      </c>
      <c r="F2879">
        <v>0</v>
      </c>
      <c r="G2879">
        <f>MAX(I2874,I2873)</f>
        <v>4088421</v>
      </c>
      <c r="H2879">
        <f>0</f>
        <v>42245</v>
      </c>
      <c r="I2879">
        <f>G2879+H2879</f>
        <v>4130666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433</v>
      </c>
      <c r="C2880" t="s">
        <v>92</v>
      </c>
      <c r="D2880" t="s">
        <v>83</v>
      </c>
      <c r="E2880" t="s">
        <v>115</v>
      </c>
      <c r="F2880">
        <v>5120</v>
      </c>
      <c r="G2880">
        <f>MAX(I2879,I2877)</f>
        <v>4130666</v>
      </c>
      <c r="H2880">
        <f>CEILING((dram_access_latency+F2880/dram_bandwidth)*frequency,1)</f>
        <v>180</v>
      </c>
      <c r="I2880">
        <f>G2880+H2880</f>
        <v>4130846</v>
      </c>
      <c r="J2880">
        <f>IF(AND(D2880&lt;&gt;"dram",D2880&lt;&gt;"control"),H2880,0)</f>
        <v>0</v>
      </c>
      <c r="K2880">
        <f>IF(D2880="dram",H2880,0)</f>
        <v>180</v>
      </c>
      <c r="L2880">
        <v>0</v>
      </c>
      <c r="M2880">
        <v>5120</v>
      </c>
    </row>
    <row r="2881" spans="1:13">
      <c r="A2881">
        <v>2879</v>
      </c>
      <c r="B2881" t="s">
        <v>429</v>
      </c>
      <c r="C2881" t="s">
        <v>82</v>
      </c>
      <c r="D2881" t="s">
        <v>83</v>
      </c>
      <c r="E2881" t="s">
        <v>116</v>
      </c>
      <c r="F2881">
        <v>1310720</v>
      </c>
      <c r="G2881">
        <f>MAX(I2879,I2880)</f>
        <v>4130846</v>
      </c>
      <c r="H2881">
        <f>CEILING((dram_access_latency+F2881/dram_bandwidth)*frequency,1)</f>
        <v>20580</v>
      </c>
      <c r="I2881">
        <f>G2881+H2881</f>
        <v>4151426</v>
      </c>
      <c r="J2881">
        <f>IF(AND(D2881&lt;&gt;"dram",D2881&lt;&gt;"control"),H2881,0)</f>
        <v>0</v>
      </c>
      <c r="K2881">
        <f>IF(D2881="dram",H2881,0)</f>
        <v>20580</v>
      </c>
      <c r="L2881">
        <v>1310720</v>
      </c>
      <c r="M2881">
        <v>0</v>
      </c>
    </row>
    <row r="2882" spans="1:13">
      <c r="A2882">
        <v>2880</v>
      </c>
      <c r="B2882" t="s">
        <v>431</v>
      </c>
      <c r="C2882" t="s">
        <v>82</v>
      </c>
      <c r="D2882" t="s">
        <v>83</v>
      </c>
      <c r="E2882" t="s">
        <v>116</v>
      </c>
      <c r="F2882">
        <v>40960</v>
      </c>
      <c r="G2882">
        <f>MAX(I2879,I2881)</f>
        <v>4151426</v>
      </c>
      <c r="H2882">
        <f>CEILING((dram_access_latency+F2882/dram_bandwidth)*frequency,1)</f>
        <v>740</v>
      </c>
      <c r="I2882">
        <f>G2882+H2882</f>
        <v>4152166</v>
      </c>
      <c r="J2882">
        <f>IF(AND(D2882&lt;&gt;"dram",D2882&lt;&gt;"control"),H2882,0)</f>
        <v>0</v>
      </c>
      <c r="K2882">
        <f>IF(D2882="dram",H2882,0)</f>
        <v>740</v>
      </c>
      <c r="L2882">
        <v>40960</v>
      </c>
      <c r="M2882">
        <v>0</v>
      </c>
    </row>
    <row r="2883" spans="1:13">
      <c r="A2883">
        <v>2881</v>
      </c>
      <c r="B2883" t="s">
        <v>65</v>
      </c>
      <c r="C2883" t="s">
        <v>90</v>
      </c>
      <c r="D2883" t="s">
        <v>287</v>
      </c>
      <c r="E2883" t="s">
        <v>116</v>
      </c>
      <c r="F2883">
        <v>0</v>
      </c>
      <c r="G2883">
        <f>MAX(I2878,I2846,I2881,I2848,I2882,I2880)</f>
        <v>4172911</v>
      </c>
      <c r="H2883">
        <f>'Operations'!I29</f>
        <v>42245</v>
      </c>
      <c r="I2883">
        <f>G2883+H2883</f>
        <v>4215156</v>
      </c>
      <c r="J2883">
        <f>IF(AND(D2883&lt;&gt;"dram",D2883&lt;&gt;"control"),H2883,0)</f>
        <v>42245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432</v>
      </c>
      <c r="C2884" t="s">
        <v>88</v>
      </c>
      <c r="D2884" t="s">
        <v>89</v>
      </c>
      <c r="E2884" t="s">
        <v>116</v>
      </c>
      <c r="F2884">
        <v>0</v>
      </c>
      <c r="G2884">
        <f>MAX(I2879,I2878)</f>
        <v>4130666</v>
      </c>
      <c r="H2884">
        <f>0</f>
        <v>42245</v>
      </c>
      <c r="I2884">
        <f>G2884+H2884</f>
        <v>4172911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433</v>
      </c>
      <c r="C2885" t="s">
        <v>92</v>
      </c>
      <c r="D2885" t="s">
        <v>83</v>
      </c>
      <c r="E2885" t="s">
        <v>116</v>
      </c>
      <c r="F2885">
        <v>5120</v>
      </c>
      <c r="G2885">
        <f>MAX(I2884,I2882)</f>
        <v>4172911</v>
      </c>
      <c r="H2885">
        <f>CEILING((dram_access_latency+F2885/dram_bandwidth)*frequency,1)</f>
        <v>180</v>
      </c>
      <c r="I2885">
        <f>G2885+H2885</f>
        <v>4173091</v>
      </c>
      <c r="J2885">
        <f>IF(AND(D2885&lt;&gt;"dram",D2885&lt;&gt;"control"),H2885,0)</f>
        <v>0</v>
      </c>
      <c r="K2885">
        <f>IF(D2885="dram",H2885,0)</f>
        <v>180</v>
      </c>
      <c r="L2885">
        <v>0</v>
      </c>
      <c r="M2885">
        <v>5120</v>
      </c>
    </row>
    <row r="2886" spans="1:13">
      <c r="A2886">
        <v>2884</v>
      </c>
      <c r="B2886" t="s">
        <v>429</v>
      </c>
      <c r="C2886" t="s">
        <v>82</v>
      </c>
      <c r="D2886" t="s">
        <v>83</v>
      </c>
      <c r="E2886" t="s">
        <v>117</v>
      </c>
      <c r="F2886">
        <v>1310720</v>
      </c>
      <c r="G2886">
        <f>MAX(I2884,I2885)</f>
        <v>4173091</v>
      </c>
      <c r="H2886">
        <f>CEILING((dram_access_latency+F2886/dram_bandwidth)*frequency,1)</f>
        <v>20580</v>
      </c>
      <c r="I2886">
        <f>G2886+H2886</f>
        <v>4193671</v>
      </c>
      <c r="J2886">
        <f>IF(AND(D2886&lt;&gt;"dram",D2886&lt;&gt;"control"),H2886,0)</f>
        <v>0</v>
      </c>
      <c r="K2886">
        <f>IF(D2886="dram",H2886,0)</f>
        <v>20580</v>
      </c>
      <c r="L2886">
        <v>1310720</v>
      </c>
      <c r="M2886">
        <v>0</v>
      </c>
    </row>
    <row r="2887" spans="1:13">
      <c r="A2887">
        <v>2885</v>
      </c>
      <c r="B2887" t="s">
        <v>431</v>
      </c>
      <c r="C2887" t="s">
        <v>82</v>
      </c>
      <c r="D2887" t="s">
        <v>83</v>
      </c>
      <c r="E2887" t="s">
        <v>117</v>
      </c>
      <c r="F2887">
        <v>40960</v>
      </c>
      <c r="G2887">
        <f>MAX(I2884,I2886)</f>
        <v>4193671</v>
      </c>
      <c r="H2887">
        <f>CEILING((dram_access_latency+F2887/dram_bandwidth)*frequency,1)</f>
        <v>740</v>
      </c>
      <c r="I2887">
        <f>G2887+H2887</f>
        <v>4194411</v>
      </c>
      <c r="J2887">
        <f>IF(AND(D2887&lt;&gt;"dram",D2887&lt;&gt;"control"),H2887,0)</f>
        <v>0</v>
      </c>
      <c r="K2887">
        <f>IF(D2887="dram",H2887,0)</f>
        <v>740</v>
      </c>
      <c r="L2887">
        <v>40960</v>
      </c>
      <c r="M2887">
        <v>0</v>
      </c>
    </row>
    <row r="2888" spans="1:13">
      <c r="A2888">
        <v>2886</v>
      </c>
      <c r="B2888" t="s">
        <v>65</v>
      </c>
      <c r="C2888" t="s">
        <v>90</v>
      </c>
      <c r="D2888" t="s">
        <v>287</v>
      </c>
      <c r="E2888" t="s">
        <v>117</v>
      </c>
      <c r="F2888">
        <v>0</v>
      </c>
      <c r="G2888">
        <f>MAX(I2883,I2846,I2886,I2848,I2887,I2885)</f>
        <v>4215156</v>
      </c>
      <c r="H2888">
        <f>'Operations'!I29</f>
        <v>42245</v>
      </c>
      <c r="I2888">
        <f>G2888+H2888</f>
        <v>4257401</v>
      </c>
      <c r="J2888">
        <f>IF(AND(D2888&lt;&gt;"dram",D2888&lt;&gt;"control"),H2888,0)</f>
        <v>42245</v>
      </c>
      <c r="K2888">
        <f>IF(D2888="dram",H2888,0)</f>
        <v>0</v>
      </c>
      <c r="L2888">
        <v>0</v>
      </c>
      <c r="M2888">
        <v>0</v>
      </c>
    </row>
    <row r="2889" spans="1:13">
      <c r="A2889">
        <v>2887</v>
      </c>
      <c r="B2889" t="s">
        <v>432</v>
      </c>
      <c r="C2889" t="s">
        <v>88</v>
      </c>
      <c r="D2889" t="s">
        <v>89</v>
      </c>
      <c r="E2889" t="s">
        <v>117</v>
      </c>
      <c r="F2889">
        <v>0</v>
      </c>
      <c r="G2889">
        <f>MAX(I2884,I2883)</f>
        <v>4172911</v>
      </c>
      <c r="H2889">
        <f>0</f>
        <v>42245</v>
      </c>
      <c r="I2889">
        <f>G2889+H2889</f>
        <v>4215156</v>
      </c>
      <c r="J2889">
        <f>IF(AND(D2889&lt;&gt;"dram",D2889&lt;&gt;"control"),H2889,0)</f>
        <v>0</v>
      </c>
      <c r="K2889">
        <f>IF(D2889="dram",H2889,0)</f>
        <v>0</v>
      </c>
      <c r="L2889">
        <v>0</v>
      </c>
      <c r="M2889">
        <v>0</v>
      </c>
    </row>
    <row r="2890" spans="1:13">
      <c r="A2890">
        <v>2888</v>
      </c>
      <c r="B2890" t="s">
        <v>433</v>
      </c>
      <c r="C2890" t="s">
        <v>92</v>
      </c>
      <c r="D2890" t="s">
        <v>83</v>
      </c>
      <c r="E2890" t="s">
        <v>117</v>
      </c>
      <c r="F2890">
        <v>5120</v>
      </c>
      <c r="G2890">
        <f>MAX(I2889,I2887)</f>
        <v>4215156</v>
      </c>
      <c r="H2890">
        <f>CEILING((dram_access_latency+F2890/dram_bandwidth)*frequency,1)</f>
        <v>180</v>
      </c>
      <c r="I2890">
        <f>G2890+H2890</f>
        <v>4215336</v>
      </c>
      <c r="J2890">
        <f>IF(AND(D2890&lt;&gt;"dram",D2890&lt;&gt;"control"),H2890,0)</f>
        <v>0</v>
      </c>
      <c r="K2890">
        <f>IF(D2890="dram",H2890,0)</f>
        <v>180</v>
      </c>
      <c r="L2890">
        <v>0</v>
      </c>
      <c r="M2890">
        <v>5120</v>
      </c>
    </row>
    <row r="2891" spans="1:13">
      <c r="A2891">
        <v>2889</v>
      </c>
      <c r="B2891" t="s">
        <v>429</v>
      </c>
      <c r="C2891" t="s">
        <v>82</v>
      </c>
      <c r="D2891" t="s">
        <v>83</v>
      </c>
      <c r="E2891" t="s">
        <v>118</v>
      </c>
      <c r="F2891">
        <v>1310720</v>
      </c>
      <c r="G2891">
        <f>MAX(I2889,I2890)</f>
        <v>4215336</v>
      </c>
      <c r="H2891">
        <f>CEILING((dram_access_latency+F2891/dram_bandwidth)*frequency,1)</f>
        <v>20580</v>
      </c>
      <c r="I2891">
        <f>G2891+H2891</f>
        <v>4235916</v>
      </c>
      <c r="J2891">
        <f>IF(AND(D2891&lt;&gt;"dram",D2891&lt;&gt;"control"),H2891,0)</f>
        <v>0</v>
      </c>
      <c r="K2891">
        <f>IF(D2891="dram",H2891,0)</f>
        <v>20580</v>
      </c>
      <c r="L2891">
        <v>1310720</v>
      </c>
      <c r="M2891">
        <v>0</v>
      </c>
    </row>
    <row r="2892" spans="1:13">
      <c r="A2892">
        <v>2890</v>
      </c>
      <c r="B2892" t="s">
        <v>431</v>
      </c>
      <c r="C2892" t="s">
        <v>82</v>
      </c>
      <c r="D2892" t="s">
        <v>83</v>
      </c>
      <c r="E2892" t="s">
        <v>118</v>
      </c>
      <c r="F2892">
        <v>40960</v>
      </c>
      <c r="G2892">
        <f>MAX(I2889,I2891)</f>
        <v>4235916</v>
      </c>
      <c r="H2892">
        <f>CEILING((dram_access_latency+F2892/dram_bandwidth)*frequency,1)</f>
        <v>740</v>
      </c>
      <c r="I2892">
        <f>G2892+H2892</f>
        <v>4236656</v>
      </c>
      <c r="J2892">
        <f>IF(AND(D2892&lt;&gt;"dram",D2892&lt;&gt;"control"),H2892,0)</f>
        <v>0</v>
      </c>
      <c r="K2892">
        <f>IF(D2892="dram",H2892,0)</f>
        <v>740</v>
      </c>
      <c r="L2892">
        <v>40960</v>
      </c>
      <c r="M2892">
        <v>0</v>
      </c>
    </row>
    <row r="2893" spans="1:13">
      <c r="A2893">
        <v>2891</v>
      </c>
      <c r="B2893" t="s">
        <v>65</v>
      </c>
      <c r="C2893" t="s">
        <v>90</v>
      </c>
      <c r="D2893" t="s">
        <v>287</v>
      </c>
      <c r="E2893" t="s">
        <v>118</v>
      </c>
      <c r="F2893">
        <v>0</v>
      </c>
      <c r="G2893">
        <f>MAX(I2888,I2846,I2891,I2848,I2892,I2890)</f>
        <v>4257401</v>
      </c>
      <c r="H2893">
        <f>'Operations'!I29</f>
        <v>42245</v>
      </c>
      <c r="I2893">
        <f>G2893+H2893</f>
        <v>4299646</v>
      </c>
      <c r="J2893">
        <f>IF(AND(D2893&lt;&gt;"dram",D2893&lt;&gt;"control"),H2893,0)</f>
        <v>42245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432</v>
      </c>
      <c r="C2894" t="s">
        <v>88</v>
      </c>
      <c r="D2894" t="s">
        <v>89</v>
      </c>
      <c r="E2894" t="s">
        <v>118</v>
      </c>
      <c r="F2894">
        <v>0</v>
      </c>
      <c r="G2894">
        <f>MAX(I2889,I2888)</f>
        <v>4215156</v>
      </c>
      <c r="H2894">
        <f>0</f>
        <v>42245</v>
      </c>
      <c r="I2894">
        <f>G2894+H2894</f>
        <v>4257401</v>
      </c>
      <c r="J2894">
        <f>IF(AND(D2894&lt;&gt;"dram",D2894&lt;&gt;"control"),H2894,0)</f>
        <v>0</v>
      </c>
      <c r="K2894">
        <f>IF(D2894="dram",H2894,0)</f>
        <v>0</v>
      </c>
      <c r="L2894">
        <v>0</v>
      </c>
      <c r="M2894">
        <v>0</v>
      </c>
    </row>
    <row r="2895" spans="1:13">
      <c r="A2895">
        <v>2893</v>
      </c>
      <c r="B2895" t="s">
        <v>433</v>
      </c>
      <c r="C2895" t="s">
        <v>92</v>
      </c>
      <c r="D2895" t="s">
        <v>83</v>
      </c>
      <c r="E2895" t="s">
        <v>118</v>
      </c>
      <c r="F2895">
        <v>5120</v>
      </c>
      <c r="G2895">
        <f>MAX(I2894,I2892)</f>
        <v>4257401</v>
      </c>
      <c r="H2895">
        <f>CEILING((dram_access_latency+F2895/dram_bandwidth)*frequency,1)</f>
        <v>180</v>
      </c>
      <c r="I2895">
        <f>G2895+H2895</f>
        <v>4257581</v>
      </c>
      <c r="J2895">
        <f>IF(AND(D2895&lt;&gt;"dram",D2895&lt;&gt;"control"),H2895,0)</f>
        <v>0</v>
      </c>
      <c r="K2895">
        <f>IF(D2895="dram",H2895,0)</f>
        <v>180</v>
      </c>
      <c r="L2895">
        <v>0</v>
      </c>
      <c r="M2895">
        <v>5120</v>
      </c>
    </row>
    <row r="2896" spans="1:13">
      <c r="A2896">
        <v>2894</v>
      </c>
      <c r="B2896" t="s">
        <v>429</v>
      </c>
      <c r="C2896" t="s">
        <v>82</v>
      </c>
      <c r="D2896" t="s">
        <v>83</v>
      </c>
      <c r="E2896" t="s">
        <v>119</v>
      </c>
      <c r="F2896">
        <v>1310720</v>
      </c>
      <c r="G2896">
        <f>MAX(I2894,I2895)</f>
        <v>4257581</v>
      </c>
      <c r="H2896">
        <f>CEILING((dram_access_latency+F2896/dram_bandwidth)*frequency,1)</f>
        <v>20580</v>
      </c>
      <c r="I2896">
        <f>G2896+H2896</f>
        <v>4278161</v>
      </c>
      <c r="J2896">
        <f>IF(AND(D2896&lt;&gt;"dram",D2896&lt;&gt;"control"),H2896,0)</f>
        <v>0</v>
      </c>
      <c r="K2896">
        <f>IF(D2896="dram",H2896,0)</f>
        <v>20580</v>
      </c>
      <c r="L2896">
        <v>1310720</v>
      </c>
      <c r="M2896">
        <v>0</v>
      </c>
    </row>
    <row r="2897" spans="1:13">
      <c r="A2897">
        <v>2895</v>
      </c>
      <c r="B2897" t="s">
        <v>431</v>
      </c>
      <c r="C2897" t="s">
        <v>82</v>
      </c>
      <c r="D2897" t="s">
        <v>83</v>
      </c>
      <c r="E2897" t="s">
        <v>119</v>
      </c>
      <c r="F2897">
        <v>40960</v>
      </c>
      <c r="G2897">
        <f>MAX(I2894,I2896)</f>
        <v>4278161</v>
      </c>
      <c r="H2897">
        <f>CEILING((dram_access_latency+F2897/dram_bandwidth)*frequency,1)</f>
        <v>740</v>
      </c>
      <c r="I2897">
        <f>G2897+H2897</f>
        <v>4278901</v>
      </c>
      <c r="J2897">
        <f>IF(AND(D2897&lt;&gt;"dram",D2897&lt;&gt;"control"),H2897,0)</f>
        <v>0</v>
      </c>
      <c r="K2897">
        <f>IF(D2897="dram",H2897,0)</f>
        <v>740</v>
      </c>
      <c r="L2897">
        <v>40960</v>
      </c>
      <c r="M2897">
        <v>0</v>
      </c>
    </row>
    <row r="2898" spans="1:13">
      <c r="A2898">
        <v>2896</v>
      </c>
      <c r="B2898" t="s">
        <v>65</v>
      </c>
      <c r="C2898" t="s">
        <v>90</v>
      </c>
      <c r="D2898" t="s">
        <v>287</v>
      </c>
      <c r="E2898" t="s">
        <v>119</v>
      </c>
      <c r="F2898">
        <v>0</v>
      </c>
      <c r="G2898">
        <f>MAX(I2893,I2846,I2896,I2848,I2897,I2895)</f>
        <v>4299646</v>
      </c>
      <c r="H2898">
        <f>'Operations'!I29</f>
        <v>42245</v>
      </c>
      <c r="I2898">
        <f>G2898+H2898</f>
        <v>4341891</v>
      </c>
      <c r="J2898">
        <f>IF(AND(D2898&lt;&gt;"dram",D2898&lt;&gt;"control"),H2898,0)</f>
        <v>42245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432</v>
      </c>
      <c r="C2899" t="s">
        <v>88</v>
      </c>
      <c r="D2899" t="s">
        <v>89</v>
      </c>
      <c r="E2899" t="s">
        <v>119</v>
      </c>
      <c r="F2899">
        <v>0</v>
      </c>
      <c r="G2899">
        <f>MAX(I2894,I2893)</f>
        <v>4257401</v>
      </c>
      <c r="H2899">
        <f>0</f>
        <v>42245</v>
      </c>
      <c r="I2899">
        <f>G2899+H2899</f>
        <v>4299646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433</v>
      </c>
      <c r="C2900" t="s">
        <v>92</v>
      </c>
      <c r="D2900" t="s">
        <v>83</v>
      </c>
      <c r="E2900" t="s">
        <v>119</v>
      </c>
      <c r="F2900">
        <v>5120</v>
      </c>
      <c r="G2900">
        <f>MAX(I2899,I2897)</f>
        <v>4299646</v>
      </c>
      <c r="H2900">
        <f>CEILING((dram_access_latency+F2900/dram_bandwidth)*frequency,1)</f>
        <v>180</v>
      </c>
      <c r="I2900">
        <f>G2900+H2900</f>
        <v>4299826</v>
      </c>
      <c r="J2900">
        <f>IF(AND(D2900&lt;&gt;"dram",D2900&lt;&gt;"control"),H2900,0)</f>
        <v>0</v>
      </c>
      <c r="K2900">
        <f>IF(D2900="dram",H2900,0)</f>
        <v>180</v>
      </c>
      <c r="L2900">
        <v>0</v>
      </c>
      <c r="M2900">
        <v>5120</v>
      </c>
    </row>
    <row r="2901" spans="1:13">
      <c r="A2901">
        <v>2899</v>
      </c>
      <c r="B2901" t="s">
        <v>429</v>
      </c>
      <c r="C2901" t="s">
        <v>82</v>
      </c>
      <c r="D2901" t="s">
        <v>83</v>
      </c>
      <c r="E2901" t="s">
        <v>120</v>
      </c>
      <c r="F2901">
        <v>1310720</v>
      </c>
      <c r="G2901">
        <f>MAX(I2899,I2900)</f>
        <v>4299826</v>
      </c>
      <c r="H2901">
        <f>CEILING((dram_access_latency+F2901/dram_bandwidth)*frequency,1)</f>
        <v>20580</v>
      </c>
      <c r="I2901">
        <f>G2901+H2901</f>
        <v>4320406</v>
      </c>
      <c r="J2901">
        <f>IF(AND(D2901&lt;&gt;"dram",D2901&lt;&gt;"control"),H2901,0)</f>
        <v>0</v>
      </c>
      <c r="K2901">
        <f>IF(D2901="dram",H2901,0)</f>
        <v>20580</v>
      </c>
      <c r="L2901">
        <v>1310720</v>
      </c>
      <c r="M2901">
        <v>0</v>
      </c>
    </row>
    <row r="2902" spans="1:13">
      <c r="A2902">
        <v>2900</v>
      </c>
      <c r="B2902" t="s">
        <v>431</v>
      </c>
      <c r="C2902" t="s">
        <v>82</v>
      </c>
      <c r="D2902" t="s">
        <v>83</v>
      </c>
      <c r="E2902" t="s">
        <v>120</v>
      </c>
      <c r="F2902">
        <v>40960</v>
      </c>
      <c r="G2902">
        <f>MAX(I2899,I2901)</f>
        <v>4320406</v>
      </c>
      <c r="H2902">
        <f>CEILING((dram_access_latency+F2902/dram_bandwidth)*frequency,1)</f>
        <v>740</v>
      </c>
      <c r="I2902">
        <f>G2902+H2902</f>
        <v>4321146</v>
      </c>
      <c r="J2902">
        <f>IF(AND(D2902&lt;&gt;"dram",D2902&lt;&gt;"control"),H2902,0)</f>
        <v>0</v>
      </c>
      <c r="K2902">
        <f>IF(D2902="dram",H2902,0)</f>
        <v>740</v>
      </c>
      <c r="L2902">
        <v>40960</v>
      </c>
      <c r="M2902">
        <v>0</v>
      </c>
    </row>
    <row r="2903" spans="1:13">
      <c r="A2903">
        <v>2901</v>
      </c>
      <c r="B2903" t="s">
        <v>65</v>
      </c>
      <c r="C2903" t="s">
        <v>90</v>
      </c>
      <c r="D2903" t="s">
        <v>287</v>
      </c>
      <c r="E2903" t="s">
        <v>120</v>
      </c>
      <c r="F2903">
        <v>0</v>
      </c>
      <c r="G2903">
        <f>MAX(I2898,I2846,I2901,I2848,I2902,I2900)</f>
        <v>4341891</v>
      </c>
      <c r="H2903">
        <f>'Operations'!I29</f>
        <v>42245</v>
      </c>
      <c r="I2903">
        <f>G2903+H2903</f>
        <v>4384136</v>
      </c>
      <c r="J2903">
        <f>IF(AND(D2903&lt;&gt;"dram",D2903&lt;&gt;"control"),H2903,0)</f>
        <v>42245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432</v>
      </c>
      <c r="C2904" t="s">
        <v>88</v>
      </c>
      <c r="D2904" t="s">
        <v>89</v>
      </c>
      <c r="E2904" t="s">
        <v>120</v>
      </c>
      <c r="F2904">
        <v>0</v>
      </c>
      <c r="G2904">
        <f>MAX(I2899,I2898)</f>
        <v>4299646</v>
      </c>
      <c r="H2904">
        <f>0</f>
        <v>42245</v>
      </c>
      <c r="I2904">
        <f>G2904+H2904</f>
        <v>4341891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433</v>
      </c>
      <c r="C2905" t="s">
        <v>92</v>
      </c>
      <c r="D2905" t="s">
        <v>83</v>
      </c>
      <c r="E2905" t="s">
        <v>120</v>
      </c>
      <c r="F2905">
        <v>5120</v>
      </c>
      <c r="G2905">
        <f>MAX(I2904,I2902)</f>
        <v>4341891</v>
      </c>
      <c r="H2905">
        <f>CEILING((dram_access_latency+F2905/dram_bandwidth)*frequency,1)</f>
        <v>180</v>
      </c>
      <c r="I2905">
        <f>G2905+H2905</f>
        <v>4342071</v>
      </c>
      <c r="J2905">
        <f>IF(AND(D2905&lt;&gt;"dram",D2905&lt;&gt;"control"),H2905,0)</f>
        <v>0</v>
      </c>
      <c r="K2905">
        <f>IF(D2905="dram",H2905,0)</f>
        <v>180</v>
      </c>
      <c r="L2905">
        <v>0</v>
      </c>
      <c r="M2905">
        <v>5120</v>
      </c>
    </row>
    <row r="2906" spans="1:13">
      <c r="A2906">
        <v>2904</v>
      </c>
      <c r="B2906" t="s">
        <v>429</v>
      </c>
      <c r="C2906" t="s">
        <v>82</v>
      </c>
      <c r="D2906" t="s">
        <v>83</v>
      </c>
      <c r="E2906" t="s">
        <v>121</v>
      </c>
      <c r="F2906">
        <v>1310720</v>
      </c>
      <c r="G2906">
        <f>MAX(I2904,I2905)</f>
        <v>4342071</v>
      </c>
      <c r="H2906">
        <f>CEILING((dram_access_latency+F2906/dram_bandwidth)*frequency,1)</f>
        <v>20580</v>
      </c>
      <c r="I2906">
        <f>G2906+H2906</f>
        <v>4362651</v>
      </c>
      <c r="J2906">
        <f>IF(AND(D2906&lt;&gt;"dram",D2906&lt;&gt;"control"),H2906,0)</f>
        <v>0</v>
      </c>
      <c r="K2906">
        <f>IF(D2906="dram",H2906,0)</f>
        <v>20580</v>
      </c>
      <c r="L2906">
        <v>1310720</v>
      </c>
      <c r="M2906">
        <v>0</v>
      </c>
    </row>
    <row r="2907" spans="1:13">
      <c r="A2907">
        <v>2905</v>
      </c>
      <c r="B2907" t="s">
        <v>431</v>
      </c>
      <c r="C2907" t="s">
        <v>82</v>
      </c>
      <c r="D2907" t="s">
        <v>83</v>
      </c>
      <c r="E2907" t="s">
        <v>121</v>
      </c>
      <c r="F2907">
        <v>40960</v>
      </c>
      <c r="G2907">
        <f>MAX(I2904,I2906)</f>
        <v>4362651</v>
      </c>
      <c r="H2907">
        <f>CEILING((dram_access_latency+F2907/dram_bandwidth)*frequency,1)</f>
        <v>740</v>
      </c>
      <c r="I2907">
        <f>G2907+H2907</f>
        <v>4363391</v>
      </c>
      <c r="J2907">
        <f>IF(AND(D2907&lt;&gt;"dram",D2907&lt;&gt;"control"),H2907,0)</f>
        <v>0</v>
      </c>
      <c r="K2907">
        <f>IF(D2907="dram",H2907,0)</f>
        <v>740</v>
      </c>
      <c r="L2907">
        <v>40960</v>
      </c>
      <c r="M2907">
        <v>0</v>
      </c>
    </row>
    <row r="2908" spans="1:13">
      <c r="A2908">
        <v>2906</v>
      </c>
      <c r="B2908" t="s">
        <v>65</v>
      </c>
      <c r="C2908" t="s">
        <v>90</v>
      </c>
      <c r="D2908" t="s">
        <v>287</v>
      </c>
      <c r="E2908" t="s">
        <v>121</v>
      </c>
      <c r="F2908">
        <v>0</v>
      </c>
      <c r="G2908">
        <f>MAX(I2903,I2846,I2906,I2848,I2907,I2905)</f>
        <v>4384136</v>
      </c>
      <c r="H2908">
        <f>'Operations'!I29</f>
        <v>42245</v>
      </c>
      <c r="I2908">
        <f>G2908+H2908</f>
        <v>4426381</v>
      </c>
      <c r="J2908">
        <f>IF(AND(D2908&lt;&gt;"dram",D2908&lt;&gt;"control"),H2908,0)</f>
        <v>42245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432</v>
      </c>
      <c r="C2909" t="s">
        <v>88</v>
      </c>
      <c r="D2909" t="s">
        <v>89</v>
      </c>
      <c r="E2909" t="s">
        <v>121</v>
      </c>
      <c r="F2909">
        <v>0</v>
      </c>
      <c r="G2909">
        <f>MAX(I2904,I2903)</f>
        <v>4341891</v>
      </c>
      <c r="H2909">
        <f>0</f>
        <v>42245</v>
      </c>
      <c r="I2909">
        <f>G2909+H2909</f>
        <v>4384136</v>
      </c>
      <c r="J2909">
        <f>IF(AND(D2909&lt;&gt;"dram",D2909&lt;&gt;"control"),H2909,0)</f>
        <v>0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433</v>
      </c>
      <c r="C2910" t="s">
        <v>92</v>
      </c>
      <c r="D2910" t="s">
        <v>83</v>
      </c>
      <c r="E2910" t="s">
        <v>121</v>
      </c>
      <c r="F2910">
        <v>5120</v>
      </c>
      <c r="G2910">
        <f>MAX(I2909,I2907)</f>
        <v>4384136</v>
      </c>
      <c r="H2910">
        <f>CEILING((dram_access_latency+F2910/dram_bandwidth)*frequency,1)</f>
        <v>180</v>
      </c>
      <c r="I2910">
        <f>G2910+H2910</f>
        <v>4384316</v>
      </c>
      <c r="J2910">
        <f>IF(AND(D2910&lt;&gt;"dram",D2910&lt;&gt;"control"),H2910,0)</f>
        <v>0</v>
      </c>
      <c r="K2910">
        <f>IF(D2910="dram",H2910,0)</f>
        <v>180</v>
      </c>
      <c r="L2910">
        <v>0</v>
      </c>
      <c r="M2910">
        <v>5120</v>
      </c>
    </row>
    <row r="2911" spans="1:13">
      <c r="A2911">
        <v>2909</v>
      </c>
      <c r="B2911" t="s">
        <v>429</v>
      </c>
      <c r="C2911" t="s">
        <v>82</v>
      </c>
      <c r="D2911" t="s">
        <v>83</v>
      </c>
      <c r="E2911" t="s">
        <v>122</v>
      </c>
      <c r="F2911">
        <v>1310720</v>
      </c>
      <c r="G2911">
        <f>MAX(I2909,I2910)</f>
        <v>4384316</v>
      </c>
      <c r="H2911">
        <f>CEILING((dram_access_latency+F2911/dram_bandwidth)*frequency,1)</f>
        <v>20580</v>
      </c>
      <c r="I2911">
        <f>G2911+H2911</f>
        <v>4404896</v>
      </c>
      <c r="J2911">
        <f>IF(AND(D2911&lt;&gt;"dram",D2911&lt;&gt;"control"),H2911,0)</f>
        <v>0</v>
      </c>
      <c r="K2911">
        <f>IF(D2911="dram",H2911,0)</f>
        <v>20580</v>
      </c>
      <c r="L2911">
        <v>1310720</v>
      </c>
      <c r="M2911">
        <v>0</v>
      </c>
    </row>
    <row r="2912" spans="1:13">
      <c r="A2912">
        <v>2910</v>
      </c>
      <c r="B2912" t="s">
        <v>431</v>
      </c>
      <c r="C2912" t="s">
        <v>82</v>
      </c>
      <c r="D2912" t="s">
        <v>83</v>
      </c>
      <c r="E2912" t="s">
        <v>122</v>
      </c>
      <c r="F2912">
        <v>40960</v>
      </c>
      <c r="G2912">
        <f>MAX(I2909,I2911)</f>
        <v>4404896</v>
      </c>
      <c r="H2912">
        <f>CEILING((dram_access_latency+F2912/dram_bandwidth)*frequency,1)</f>
        <v>740</v>
      </c>
      <c r="I2912">
        <f>G2912+H2912</f>
        <v>4405636</v>
      </c>
      <c r="J2912">
        <f>IF(AND(D2912&lt;&gt;"dram",D2912&lt;&gt;"control"),H2912,0)</f>
        <v>0</v>
      </c>
      <c r="K2912">
        <f>IF(D2912="dram",H2912,0)</f>
        <v>740</v>
      </c>
      <c r="L2912">
        <v>40960</v>
      </c>
      <c r="M2912">
        <v>0</v>
      </c>
    </row>
    <row r="2913" spans="1:13">
      <c r="A2913">
        <v>2911</v>
      </c>
      <c r="B2913" t="s">
        <v>65</v>
      </c>
      <c r="C2913" t="s">
        <v>90</v>
      </c>
      <c r="D2913" t="s">
        <v>287</v>
      </c>
      <c r="E2913" t="s">
        <v>122</v>
      </c>
      <c r="F2913">
        <v>0</v>
      </c>
      <c r="G2913">
        <f>MAX(I2908,I2846,I2911,I2848,I2912,I2910)</f>
        <v>4426381</v>
      </c>
      <c r="H2913">
        <f>'Operations'!I29</f>
        <v>42245</v>
      </c>
      <c r="I2913">
        <f>G2913+H2913</f>
        <v>4468626</v>
      </c>
      <c r="J2913">
        <f>IF(AND(D2913&lt;&gt;"dram",D2913&lt;&gt;"control"),H2913,0)</f>
        <v>42245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432</v>
      </c>
      <c r="C2914" t="s">
        <v>88</v>
      </c>
      <c r="D2914" t="s">
        <v>89</v>
      </c>
      <c r="E2914" t="s">
        <v>122</v>
      </c>
      <c r="F2914">
        <v>0</v>
      </c>
      <c r="G2914">
        <f>MAX(I2909,I2908)</f>
        <v>4384136</v>
      </c>
      <c r="H2914">
        <f>0</f>
        <v>42245</v>
      </c>
      <c r="I2914">
        <f>G2914+H2914</f>
        <v>4426381</v>
      </c>
      <c r="J2914">
        <f>IF(AND(D2914&lt;&gt;"dram",D2914&lt;&gt;"control"),H2914,0)</f>
        <v>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433</v>
      </c>
      <c r="C2915" t="s">
        <v>92</v>
      </c>
      <c r="D2915" t="s">
        <v>83</v>
      </c>
      <c r="E2915" t="s">
        <v>122</v>
      </c>
      <c r="F2915">
        <v>5120</v>
      </c>
      <c r="G2915">
        <f>MAX(I2914,I2912)</f>
        <v>4426381</v>
      </c>
      <c r="H2915">
        <f>CEILING((dram_access_latency+F2915/dram_bandwidth)*frequency,1)</f>
        <v>180</v>
      </c>
      <c r="I2915">
        <f>G2915+H2915</f>
        <v>4426561</v>
      </c>
      <c r="J2915">
        <f>IF(AND(D2915&lt;&gt;"dram",D2915&lt;&gt;"control"),H2915,0)</f>
        <v>0</v>
      </c>
      <c r="K2915">
        <f>IF(D2915="dram",H2915,0)</f>
        <v>180</v>
      </c>
      <c r="L2915">
        <v>0</v>
      </c>
      <c r="M2915">
        <v>5120</v>
      </c>
    </row>
    <row r="2916" spans="1:13">
      <c r="A2916">
        <v>2914</v>
      </c>
      <c r="B2916" t="s">
        <v>429</v>
      </c>
      <c r="C2916" t="s">
        <v>82</v>
      </c>
      <c r="D2916" t="s">
        <v>83</v>
      </c>
      <c r="E2916" t="s">
        <v>123</v>
      </c>
      <c r="F2916">
        <v>1310720</v>
      </c>
      <c r="G2916">
        <f>MAX(I2914,I2915)</f>
        <v>4426561</v>
      </c>
      <c r="H2916">
        <f>CEILING((dram_access_latency+F2916/dram_bandwidth)*frequency,1)</f>
        <v>20580</v>
      </c>
      <c r="I2916">
        <f>G2916+H2916</f>
        <v>4447141</v>
      </c>
      <c r="J2916">
        <f>IF(AND(D2916&lt;&gt;"dram",D2916&lt;&gt;"control"),H2916,0)</f>
        <v>0</v>
      </c>
      <c r="K2916">
        <f>IF(D2916="dram",H2916,0)</f>
        <v>20580</v>
      </c>
      <c r="L2916">
        <v>1310720</v>
      </c>
      <c r="M2916">
        <v>0</v>
      </c>
    </row>
    <row r="2917" spans="1:13">
      <c r="A2917">
        <v>2915</v>
      </c>
      <c r="B2917" t="s">
        <v>431</v>
      </c>
      <c r="C2917" t="s">
        <v>82</v>
      </c>
      <c r="D2917" t="s">
        <v>83</v>
      </c>
      <c r="E2917" t="s">
        <v>123</v>
      </c>
      <c r="F2917">
        <v>40960</v>
      </c>
      <c r="G2917">
        <f>MAX(I2914,I2916)</f>
        <v>4447141</v>
      </c>
      <c r="H2917">
        <f>CEILING((dram_access_latency+F2917/dram_bandwidth)*frequency,1)</f>
        <v>740</v>
      </c>
      <c r="I2917">
        <f>G2917+H2917</f>
        <v>4447881</v>
      </c>
      <c r="J2917">
        <f>IF(AND(D2917&lt;&gt;"dram",D2917&lt;&gt;"control"),H2917,0)</f>
        <v>0</v>
      </c>
      <c r="K2917">
        <f>IF(D2917="dram",H2917,0)</f>
        <v>740</v>
      </c>
      <c r="L2917">
        <v>40960</v>
      </c>
      <c r="M2917">
        <v>0</v>
      </c>
    </row>
    <row r="2918" spans="1:13">
      <c r="A2918">
        <v>2916</v>
      </c>
      <c r="B2918" t="s">
        <v>65</v>
      </c>
      <c r="C2918" t="s">
        <v>90</v>
      </c>
      <c r="D2918" t="s">
        <v>287</v>
      </c>
      <c r="E2918" t="s">
        <v>123</v>
      </c>
      <c r="F2918">
        <v>0</v>
      </c>
      <c r="G2918">
        <f>MAX(I2913,I2846,I2916,I2848,I2917,I2915)</f>
        <v>4468626</v>
      </c>
      <c r="H2918">
        <f>'Operations'!I29</f>
        <v>42245</v>
      </c>
      <c r="I2918">
        <f>G2918+H2918</f>
        <v>4510871</v>
      </c>
      <c r="J2918">
        <f>IF(AND(D2918&lt;&gt;"dram",D2918&lt;&gt;"control"),H2918,0)</f>
        <v>42245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432</v>
      </c>
      <c r="C2919" t="s">
        <v>88</v>
      </c>
      <c r="D2919" t="s">
        <v>89</v>
      </c>
      <c r="E2919" t="s">
        <v>123</v>
      </c>
      <c r="F2919">
        <v>0</v>
      </c>
      <c r="G2919">
        <f>MAX(I2914,I2913)</f>
        <v>4426381</v>
      </c>
      <c r="H2919">
        <f>0</f>
        <v>42245</v>
      </c>
      <c r="I2919">
        <f>G2919+H2919</f>
        <v>4468626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433</v>
      </c>
      <c r="C2920" t="s">
        <v>92</v>
      </c>
      <c r="D2920" t="s">
        <v>83</v>
      </c>
      <c r="E2920" t="s">
        <v>123</v>
      </c>
      <c r="F2920">
        <v>5120</v>
      </c>
      <c r="G2920">
        <f>MAX(I2919,I2917)</f>
        <v>4468626</v>
      </c>
      <c r="H2920">
        <f>CEILING((dram_access_latency+F2920/dram_bandwidth)*frequency,1)</f>
        <v>180</v>
      </c>
      <c r="I2920">
        <f>G2920+H2920</f>
        <v>4468806</v>
      </c>
      <c r="J2920">
        <f>IF(AND(D2920&lt;&gt;"dram",D2920&lt;&gt;"control"),H2920,0)</f>
        <v>0</v>
      </c>
      <c r="K2920">
        <f>IF(D2920="dram",H2920,0)</f>
        <v>180</v>
      </c>
      <c r="L2920">
        <v>0</v>
      </c>
      <c r="M2920">
        <v>5120</v>
      </c>
    </row>
    <row r="2921" spans="1:13">
      <c r="A2921">
        <v>2919</v>
      </c>
      <c r="B2921" t="s">
        <v>429</v>
      </c>
      <c r="C2921" t="s">
        <v>82</v>
      </c>
      <c r="D2921" t="s">
        <v>83</v>
      </c>
      <c r="E2921" t="s">
        <v>124</v>
      </c>
      <c r="F2921">
        <v>1310720</v>
      </c>
      <c r="G2921">
        <f>MAX(I2919,I2920)</f>
        <v>4468806</v>
      </c>
      <c r="H2921">
        <f>CEILING((dram_access_latency+F2921/dram_bandwidth)*frequency,1)</f>
        <v>20580</v>
      </c>
      <c r="I2921">
        <f>G2921+H2921</f>
        <v>4489386</v>
      </c>
      <c r="J2921">
        <f>IF(AND(D2921&lt;&gt;"dram",D2921&lt;&gt;"control"),H2921,0)</f>
        <v>0</v>
      </c>
      <c r="K2921">
        <f>IF(D2921="dram",H2921,0)</f>
        <v>20580</v>
      </c>
      <c r="L2921">
        <v>1310720</v>
      </c>
      <c r="M2921">
        <v>0</v>
      </c>
    </row>
    <row r="2922" spans="1:13">
      <c r="A2922">
        <v>2920</v>
      </c>
      <c r="B2922" t="s">
        <v>431</v>
      </c>
      <c r="C2922" t="s">
        <v>82</v>
      </c>
      <c r="D2922" t="s">
        <v>83</v>
      </c>
      <c r="E2922" t="s">
        <v>124</v>
      </c>
      <c r="F2922">
        <v>40960</v>
      </c>
      <c r="G2922">
        <f>MAX(I2919,I2921)</f>
        <v>4489386</v>
      </c>
      <c r="H2922">
        <f>CEILING((dram_access_latency+F2922/dram_bandwidth)*frequency,1)</f>
        <v>740</v>
      </c>
      <c r="I2922">
        <f>G2922+H2922</f>
        <v>4490126</v>
      </c>
      <c r="J2922">
        <f>IF(AND(D2922&lt;&gt;"dram",D2922&lt;&gt;"control"),H2922,0)</f>
        <v>0</v>
      </c>
      <c r="K2922">
        <f>IF(D2922="dram",H2922,0)</f>
        <v>740</v>
      </c>
      <c r="L2922">
        <v>40960</v>
      </c>
      <c r="M2922">
        <v>0</v>
      </c>
    </row>
    <row r="2923" spans="1:13">
      <c r="A2923">
        <v>2921</v>
      </c>
      <c r="B2923" t="s">
        <v>65</v>
      </c>
      <c r="C2923" t="s">
        <v>90</v>
      </c>
      <c r="D2923" t="s">
        <v>287</v>
      </c>
      <c r="E2923" t="s">
        <v>124</v>
      </c>
      <c r="F2923">
        <v>0</v>
      </c>
      <c r="G2923">
        <f>MAX(I2918,I2846,I2921,I2848,I2922,I2920)</f>
        <v>4510871</v>
      </c>
      <c r="H2923">
        <f>'Operations'!I29</f>
        <v>42245</v>
      </c>
      <c r="I2923">
        <f>G2923+H2923</f>
        <v>4553116</v>
      </c>
      <c r="J2923">
        <f>IF(AND(D2923&lt;&gt;"dram",D2923&lt;&gt;"control"),H2923,0)</f>
        <v>42245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432</v>
      </c>
      <c r="C2924" t="s">
        <v>88</v>
      </c>
      <c r="D2924" t="s">
        <v>89</v>
      </c>
      <c r="E2924" t="s">
        <v>124</v>
      </c>
      <c r="F2924">
        <v>0</v>
      </c>
      <c r="G2924">
        <f>MAX(I2919,I2918)</f>
        <v>4468626</v>
      </c>
      <c r="H2924">
        <f>0</f>
        <v>42245</v>
      </c>
      <c r="I2924">
        <f>G2924+H2924</f>
        <v>4510871</v>
      </c>
      <c r="J2924">
        <f>IF(AND(D2924&lt;&gt;"dram",D2924&lt;&gt;"control"),H2924,0)</f>
        <v>0</v>
      </c>
      <c r="K2924">
        <f>IF(D2924="dram",H2924,0)</f>
        <v>0</v>
      </c>
      <c r="L2924">
        <v>0</v>
      </c>
      <c r="M2924">
        <v>0</v>
      </c>
    </row>
    <row r="2925" spans="1:13">
      <c r="A2925">
        <v>2923</v>
      </c>
      <c r="B2925" t="s">
        <v>433</v>
      </c>
      <c r="C2925" t="s">
        <v>92</v>
      </c>
      <c r="D2925" t="s">
        <v>83</v>
      </c>
      <c r="E2925" t="s">
        <v>124</v>
      </c>
      <c r="F2925">
        <v>5120</v>
      </c>
      <c r="G2925">
        <f>MAX(I2924,I2922)</f>
        <v>4510871</v>
      </c>
      <c r="H2925">
        <f>CEILING((dram_access_latency+F2925/dram_bandwidth)*frequency,1)</f>
        <v>180</v>
      </c>
      <c r="I2925">
        <f>G2925+H2925</f>
        <v>4511051</v>
      </c>
      <c r="J2925">
        <f>IF(AND(D2925&lt;&gt;"dram",D2925&lt;&gt;"control"),H2925,0)</f>
        <v>0</v>
      </c>
      <c r="K2925">
        <f>IF(D2925="dram",H2925,0)</f>
        <v>180</v>
      </c>
      <c r="L2925">
        <v>0</v>
      </c>
      <c r="M2925">
        <v>5120</v>
      </c>
    </row>
    <row r="2926" spans="1:13">
      <c r="A2926">
        <v>2924</v>
      </c>
      <c r="B2926" t="s">
        <v>429</v>
      </c>
      <c r="C2926" t="s">
        <v>82</v>
      </c>
      <c r="D2926" t="s">
        <v>83</v>
      </c>
      <c r="E2926" t="s">
        <v>125</v>
      </c>
      <c r="F2926">
        <v>1310720</v>
      </c>
      <c r="G2926">
        <f>MAX(I2924,I2925)</f>
        <v>4511051</v>
      </c>
      <c r="H2926">
        <f>CEILING((dram_access_latency+F2926/dram_bandwidth)*frequency,1)</f>
        <v>20580</v>
      </c>
      <c r="I2926">
        <f>G2926+H2926</f>
        <v>4531631</v>
      </c>
      <c r="J2926">
        <f>IF(AND(D2926&lt;&gt;"dram",D2926&lt;&gt;"control"),H2926,0)</f>
        <v>0</v>
      </c>
      <c r="K2926">
        <f>IF(D2926="dram",H2926,0)</f>
        <v>20580</v>
      </c>
      <c r="L2926">
        <v>1310720</v>
      </c>
      <c r="M2926">
        <v>0</v>
      </c>
    </row>
    <row r="2927" spans="1:13">
      <c r="A2927">
        <v>2925</v>
      </c>
      <c r="B2927" t="s">
        <v>431</v>
      </c>
      <c r="C2927" t="s">
        <v>82</v>
      </c>
      <c r="D2927" t="s">
        <v>83</v>
      </c>
      <c r="E2927" t="s">
        <v>125</v>
      </c>
      <c r="F2927">
        <v>40960</v>
      </c>
      <c r="G2927">
        <f>MAX(I2924,I2926)</f>
        <v>4531631</v>
      </c>
      <c r="H2927">
        <f>CEILING((dram_access_latency+F2927/dram_bandwidth)*frequency,1)</f>
        <v>740</v>
      </c>
      <c r="I2927">
        <f>G2927+H2927</f>
        <v>4532371</v>
      </c>
      <c r="J2927">
        <f>IF(AND(D2927&lt;&gt;"dram",D2927&lt;&gt;"control"),H2927,0)</f>
        <v>0</v>
      </c>
      <c r="K2927">
        <f>IF(D2927="dram",H2927,0)</f>
        <v>740</v>
      </c>
      <c r="L2927">
        <v>40960</v>
      </c>
      <c r="M2927">
        <v>0</v>
      </c>
    </row>
    <row r="2928" spans="1:13">
      <c r="A2928">
        <v>2926</v>
      </c>
      <c r="B2928" t="s">
        <v>65</v>
      </c>
      <c r="C2928" t="s">
        <v>90</v>
      </c>
      <c r="D2928" t="s">
        <v>287</v>
      </c>
      <c r="E2928" t="s">
        <v>125</v>
      </c>
      <c r="F2928">
        <v>0</v>
      </c>
      <c r="G2928">
        <f>MAX(I2923,I2846,I2926,I2848,I2927,I2925)</f>
        <v>4553116</v>
      </c>
      <c r="H2928">
        <f>'Operations'!I29</f>
        <v>42245</v>
      </c>
      <c r="I2928">
        <f>G2928+H2928</f>
        <v>4595361</v>
      </c>
      <c r="J2928">
        <f>IF(AND(D2928&lt;&gt;"dram",D2928&lt;&gt;"control"),H2928,0)</f>
        <v>42245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432</v>
      </c>
      <c r="C2929" t="s">
        <v>88</v>
      </c>
      <c r="D2929" t="s">
        <v>89</v>
      </c>
      <c r="E2929" t="s">
        <v>125</v>
      </c>
      <c r="F2929">
        <v>0</v>
      </c>
      <c r="G2929">
        <f>MAX(I2924,I2923)</f>
        <v>4510871</v>
      </c>
      <c r="H2929">
        <f>0</f>
        <v>42245</v>
      </c>
      <c r="I2929">
        <f>G2929+H2929</f>
        <v>4553116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433</v>
      </c>
      <c r="C2930" t="s">
        <v>92</v>
      </c>
      <c r="D2930" t="s">
        <v>83</v>
      </c>
      <c r="E2930" t="s">
        <v>125</v>
      </c>
      <c r="F2930">
        <v>5120</v>
      </c>
      <c r="G2930">
        <f>MAX(I2929,I2927)</f>
        <v>4553116</v>
      </c>
      <c r="H2930">
        <f>CEILING((dram_access_latency+F2930/dram_bandwidth)*frequency,1)</f>
        <v>180</v>
      </c>
      <c r="I2930">
        <f>G2930+H2930</f>
        <v>4553296</v>
      </c>
      <c r="J2930">
        <f>IF(AND(D2930&lt;&gt;"dram",D2930&lt;&gt;"control"),H2930,0)</f>
        <v>0</v>
      </c>
      <c r="K2930">
        <f>IF(D2930="dram",H2930,0)</f>
        <v>180</v>
      </c>
      <c r="L2930">
        <v>0</v>
      </c>
      <c r="M2930">
        <v>5120</v>
      </c>
    </row>
    <row r="2931" spans="1:13">
      <c r="A2931">
        <v>2929</v>
      </c>
      <c r="B2931" t="s">
        <v>429</v>
      </c>
      <c r="C2931" t="s">
        <v>82</v>
      </c>
      <c r="D2931" t="s">
        <v>83</v>
      </c>
      <c r="E2931" t="s">
        <v>126</v>
      </c>
      <c r="F2931">
        <v>1310720</v>
      </c>
      <c r="G2931">
        <f>MAX(I2929,I2930)</f>
        <v>4553296</v>
      </c>
      <c r="H2931">
        <f>CEILING((dram_access_latency+F2931/dram_bandwidth)*frequency,1)</f>
        <v>20580</v>
      </c>
      <c r="I2931">
        <f>G2931+H2931</f>
        <v>4573876</v>
      </c>
      <c r="J2931">
        <f>IF(AND(D2931&lt;&gt;"dram",D2931&lt;&gt;"control"),H2931,0)</f>
        <v>0</v>
      </c>
      <c r="K2931">
        <f>IF(D2931="dram",H2931,0)</f>
        <v>20580</v>
      </c>
      <c r="L2931">
        <v>1310720</v>
      </c>
      <c r="M2931">
        <v>0</v>
      </c>
    </row>
    <row r="2932" spans="1:13">
      <c r="A2932">
        <v>2930</v>
      </c>
      <c r="B2932" t="s">
        <v>431</v>
      </c>
      <c r="C2932" t="s">
        <v>82</v>
      </c>
      <c r="D2932" t="s">
        <v>83</v>
      </c>
      <c r="E2932" t="s">
        <v>126</v>
      </c>
      <c r="F2932">
        <v>40960</v>
      </c>
      <c r="G2932">
        <f>MAX(I2929,I2931)</f>
        <v>4573876</v>
      </c>
      <c r="H2932">
        <f>CEILING((dram_access_latency+F2932/dram_bandwidth)*frequency,1)</f>
        <v>740</v>
      </c>
      <c r="I2932">
        <f>G2932+H2932</f>
        <v>4574616</v>
      </c>
      <c r="J2932">
        <f>IF(AND(D2932&lt;&gt;"dram",D2932&lt;&gt;"control"),H2932,0)</f>
        <v>0</v>
      </c>
      <c r="K2932">
        <f>IF(D2932="dram",H2932,0)</f>
        <v>740</v>
      </c>
      <c r="L2932">
        <v>40960</v>
      </c>
      <c r="M2932">
        <v>0</v>
      </c>
    </row>
    <row r="2933" spans="1:13">
      <c r="A2933">
        <v>2931</v>
      </c>
      <c r="B2933" t="s">
        <v>65</v>
      </c>
      <c r="C2933" t="s">
        <v>90</v>
      </c>
      <c r="D2933" t="s">
        <v>287</v>
      </c>
      <c r="E2933" t="s">
        <v>126</v>
      </c>
      <c r="F2933">
        <v>0</v>
      </c>
      <c r="G2933">
        <f>MAX(I2928,I2846,I2931,I2848,I2932,I2930)</f>
        <v>4595361</v>
      </c>
      <c r="H2933">
        <f>'Operations'!I29</f>
        <v>42245</v>
      </c>
      <c r="I2933">
        <f>G2933+H2933</f>
        <v>4637606</v>
      </c>
      <c r="J2933">
        <f>IF(AND(D2933&lt;&gt;"dram",D2933&lt;&gt;"control"),H2933,0)</f>
        <v>42245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432</v>
      </c>
      <c r="C2934" t="s">
        <v>88</v>
      </c>
      <c r="D2934" t="s">
        <v>89</v>
      </c>
      <c r="E2934" t="s">
        <v>126</v>
      </c>
      <c r="F2934">
        <v>0</v>
      </c>
      <c r="G2934">
        <f>MAX(I2929,I2928)</f>
        <v>4553116</v>
      </c>
      <c r="H2934">
        <f>0</f>
        <v>42245</v>
      </c>
      <c r="I2934">
        <f>G2934+H2934</f>
        <v>4595361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433</v>
      </c>
      <c r="C2935" t="s">
        <v>92</v>
      </c>
      <c r="D2935" t="s">
        <v>83</v>
      </c>
      <c r="E2935" t="s">
        <v>126</v>
      </c>
      <c r="F2935">
        <v>5120</v>
      </c>
      <c r="G2935">
        <f>MAX(I2934,I2932)</f>
        <v>4595361</v>
      </c>
      <c r="H2935">
        <f>CEILING((dram_access_latency+F2935/dram_bandwidth)*frequency,1)</f>
        <v>180</v>
      </c>
      <c r="I2935">
        <f>G2935+H2935</f>
        <v>4595541</v>
      </c>
      <c r="J2935">
        <f>IF(AND(D2935&lt;&gt;"dram",D2935&lt;&gt;"control"),H2935,0)</f>
        <v>0</v>
      </c>
      <c r="K2935">
        <f>IF(D2935="dram",H2935,0)</f>
        <v>180</v>
      </c>
      <c r="L2935">
        <v>0</v>
      </c>
      <c r="M2935">
        <v>5120</v>
      </c>
    </row>
    <row r="2936" spans="1:13">
      <c r="A2936">
        <v>2934</v>
      </c>
      <c r="B2936" t="s">
        <v>429</v>
      </c>
      <c r="C2936" t="s">
        <v>82</v>
      </c>
      <c r="D2936" t="s">
        <v>83</v>
      </c>
      <c r="E2936" t="s">
        <v>127</v>
      </c>
      <c r="F2936">
        <v>1310720</v>
      </c>
      <c r="G2936">
        <f>MAX(I2934,I2935)</f>
        <v>4595541</v>
      </c>
      <c r="H2936">
        <f>CEILING((dram_access_latency+F2936/dram_bandwidth)*frequency,1)</f>
        <v>20580</v>
      </c>
      <c r="I2936">
        <f>G2936+H2936</f>
        <v>4616121</v>
      </c>
      <c r="J2936">
        <f>IF(AND(D2936&lt;&gt;"dram",D2936&lt;&gt;"control"),H2936,0)</f>
        <v>0</v>
      </c>
      <c r="K2936">
        <f>IF(D2936="dram",H2936,0)</f>
        <v>20580</v>
      </c>
      <c r="L2936">
        <v>1310720</v>
      </c>
      <c r="M2936">
        <v>0</v>
      </c>
    </row>
    <row r="2937" spans="1:13">
      <c r="A2937">
        <v>2935</v>
      </c>
      <c r="B2937" t="s">
        <v>431</v>
      </c>
      <c r="C2937" t="s">
        <v>82</v>
      </c>
      <c r="D2937" t="s">
        <v>83</v>
      </c>
      <c r="E2937" t="s">
        <v>127</v>
      </c>
      <c r="F2937">
        <v>40960</v>
      </c>
      <c r="G2937">
        <f>MAX(I2934,I2936)</f>
        <v>4616121</v>
      </c>
      <c r="H2937">
        <f>CEILING((dram_access_latency+F2937/dram_bandwidth)*frequency,1)</f>
        <v>740</v>
      </c>
      <c r="I2937">
        <f>G2937+H2937</f>
        <v>4616861</v>
      </c>
      <c r="J2937">
        <f>IF(AND(D2937&lt;&gt;"dram",D2937&lt;&gt;"control"),H2937,0)</f>
        <v>0</v>
      </c>
      <c r="K2937">
        <f>IF(D2937="dram",H2937,0)</f>
        <v>740</v>
      </c>
      <c r="L2937">
        <v>40960</v>
      </c>
      <c r="M2937">
        <v>0</v>
      </c>
    </row>
    <row r="2938" spans="1:13">
      <c r="A2938">
        <v>2936</v>
      </c>
      <c r="B2938" t="s">
        <v>65</v>
      </c>
      <c r="C2938" t="s">
        <v>90</v>
      </c>
      <c r="D2938" t="s">
        <v>287</v>
      </c>
      <c r="E2938" t="s">
        <v>127</v>
      </c>
      <c r="F2938">
        <v>0</v>
      </c>
      <c r="G2938">
        <f>MAX(I2933,I2846,I2936,I2848,I2937,I2935)</f>
        <v>4637606</v>
      </c>
      <c r="H2938">
        <f>'Operations'!I29</f>
        <v>42245</v>
      </c>
      <c r="I2938">
        <f>G2938+H2938</f>
        <v>4679851</v>
      </c>
      <c r="J2938">
        <f>IF(AND(D2938&lt;&gt;"dram",D2938&lt;&gt;"control"),H2938,0)</f>
        <v>42245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432</v>
      </c>
      <c r="C2939" t="s">
        <v>88</v>
      </c>
      <c r="D2939" t="s">
        <v>89</v>
      </c>
      <c r="E2939" t="s">
        <v>127</v>
      </c>
      <c r="F2939">
        <v>0</v>
      </c>
      <c r="G2939">
        <f>MAX(I2934,I2933)</f>
        <v>4595361</v>
      </c>
      <c r="H2939">
        <f>0</f>
        <v>42245</v>
      </c>
      <c r="I2939">
        <f>G2939+H2939</f>
        <v>4637606</v>
      </c>
      <c r="J2939">
        <f>IF(AND(D2939&lt;&gt;"dram",D2939&lt;&gt;"control"),H2939,0)</f>
        <v>0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433</v>
      </c>
      <c r="C2940" t="s">
        <v>92</v>
      </c>
      <c r="D2940" t="s">
        <v>83</v>
      </c>
      <c r="E2940" t="s">
        <v>127</v>
      </c>
      <c r="F2940">
        <v>5120</v>
      </c>
      <c r="G2940">
        <f>MAX(I2939,I2937)</f>
        <v>4637606</v>
      </c>
      <c r="H2940">
        <f>CEILING((dram_access_latency+F2940/dram_bandwidth)*frequency,1)</f>
        <v>180</v>
      </c>
      <c r="I2940">
        <f>G2940+H2940</f>
        <v>4637786</v>
      </c>
      <c r="J2940">
        <f>IF(AND(D2940&lt;&gt;"dram",D2940&lt;&gt;"control"),H2940,0)</f>
        <v>0</v>
      </c>
      <c r="K2940">
        <f>IF(D2940="dram",H2940,0)</f>
        <v>180</v>
      </c>
      <c r="L2940">
        <v>0</v>
      </c>
      <c r="M2940">
        <v>5120</v>
      </c>
    </row>
    <row r="2941" spans="1:13">
      <c r="A2941">
        <v>2939</v>
      </c>
      <c r="B2941" t="s">
        <v>429</v>
      </c>
      <c r="C2941" t="s">
        <v>82</v>
      </c>
      <c r="D2941" t="s">
        <v>83</v>
      </c>
      <c r="E2941" t="s">
        <v>128</v>
      </c>
      <c r="F2941">
        <v>1310720</v>
      </c>
      <c r="G2941">
        <f>MAX(I2939,I2940)</f>
        <v>4637786</v>
      </c>
      <c r="H2941">
        <f>CEILING((dram_access_latency+F2941/dram_bandwidth)*frequency,1)</f>
        <v>20580</v>
      </c>
      <c r="I2941">
        <f>G2941+H2941</f>
        <v>4658366</v>
      </c>
      <c r="J2941">
        <f>IF(AND(D2941&lt;&gt;"dram",D2941&lt;&gt;"control"),H2941,0)</f>
        <v>0</v>
      </c>
      <c r="K2941">
        <f>IF(D2941="dram",H2941,0)</f>
        <v>20580</v>
      </c>
      <c r="L2941">
        <v>1310720</v>
      </c>
      <c r="M2941">
        <v>0</v>
      </c>
    </row>
    <row r="2942" spans="1:13">
      <c r="A2942">
        <v>2940</v>
      </c>
      <c r="B2942" t="s">
        <v>431</v>
      </c>
      <c r="C2942" t="s">
        <v>82</v>
      </c>
      <c r="D2942" t="s">
        <v>83</v>
      </c>
      <c r="E2942" t="s">
        <v>128</v>
      </c>
      <c r="F2942">
        <v>40960</v>
      </c>
      <c r="G2942">
        <f>MAX(I2939,I2941)</f>
        <v>4658366</v>
      </c>
      <c r="H2942">
        <f>CEILING((dram_access_latency+F2942/dram_bandwidth)*frequency,1)</f>
        <v>740</v>
      </c>
      <c r="I2942">
        <f>G2942+H2942</f>
        <v>4659106</v>
      </c>
      <c r="J2942">
        <f>IF(AND(D2942&lt;&gt;"dram",D2942&lt;&gt;"control"),H2942,0)</f>
        <v>0</v>
      </c>
      <c r="K2942">
        <f>IF(D2942="dram",H2942,0)</f>
        <v>740</v>
      </c>
      <c r="L2942">
        <v>40960</v>
      </c>
      <c r="M2942">
        <v>0</v>
      </c>
    </row>
    <row r="2943" spans="1:13">
      <c r="A2943">
        <v>2941</v>
      </c>
      <c r="B2943" t="s">
        <v>65</v>
      </c>
      <c r="C2943" t="s">
        <v>90</v>
      </c>
      <c r="D2943" t="s">
        <v>287</v>
      </c>
      <c r="E2943" t="s">
        <v>128</v>
      </c>
      <c r="F2943">
        <v>0</v>
      </c>
      <c r="G2943">
        <f>MAX(I2938,I2846,I2941,I2848,I2942,I2940)</f>
        <v>4679851</v>
      </c>
      <c r="H2943">
        <f>'Operations'!I29</f>
        <v>42245</v>
      </c>
      <c r="I2943">
        <f>G2943+H2943</f>
        <v>4722096</v>
      </c>
      <c r="J2943">
        <f>IF(AND(D2943&lt;&gt;"dram",D2943&lt;&gt;"control"),H2943,0)</f>
        <v>42245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432</v>
      </c>
      <c r="C2944" t="s">
        <v>88</v>
      </c>
      <c r="D2944" t="s">
        <v>89</v>
      </c>
      <c r="E2944" t="s">
        <v>128</v>
      </c>
      <c r="F2944">
        <v>0</v>
      </c>
      <c r="G2944">
        <f>MAX(I2939,I2938)</f>
        <v>4637606</v>
      </c>
      <c r="H2944">
        <f>0</f>
        <v>42245</v>
      </c>
      <c r="I2944">
        <f>G2944+H2944</f>
        <v>4679851</v>
      </c>
      <c r="J2944">
        <f>IF(AND(D2944&lt;&gt;"dram",D2944&lt;&gt;"control"),H2944,0)</f>
        <v>0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433</v>
      </c>
      <c r="C2945" t="s">
        <v>92</v>
      </c>
      <c r="D2945" t="s">
        <v>83</v>
      </c>
      <c r="E2945" t="s">
        <v>128</v>
      </c>
      <c r="F2945">
        <v>5120</v>
      </c>
      <c r="G2945">
        <f>MAX(I2944,I2942)</f>
        <v>4679851</v>
      </c>
      <c r="H2945">
        <f>CEILING((dram_access_latency+F2945/dram_bandwidth)*frequency,1)</f>
        <v>180</v>
      </c>
      <c r="I2945">
        <f>G2945+H2945</f>
        <v>4680031</v>
      </c>
      <c r="J2945">
        <f>IF(AND(D2945&lt;&gt;"dram",D2945&lt;&gt;"control"),H2945,0)</f>
        <v>0</v>
      </c>
      <c r="K2945">
        <f>IF(D2945="dram",H2945,0)</f>
        <v>180</v>
      </c>
      <c r="L2945">
        <v>0</v>
      </c>
      <c r="M2945">
        <v>5120</v>
      </c>
    </row>
    <row r="2946" spans="1:13">
      <c r="A2946">
        <v>2944</v>
      </c>
      <c r="B2946" t="s">
        <v>429</v>
      </c>
      <c r="C2946" t="s">
        <v>82</v>
      </c>
      <c r="D2946" t="s">
        <v>83</v>
      </c>
      <c r="E2946" t="s">
        <v>129</v>
      </c>
      <c r="F2946">
        <v>1310720</v>
      </c>
      <c r="G2946">
        <f>MAX(I2944,I2945)</f>
        <v>4680031</v>
      </c>
      <c r="H2946">
        <f>CEILING((dram_access_latency+F2946/dram_bandwidth)*frequency,1)</f>
        <v>20580</v>
      </c>
      <c r="I2946">
        <f>G2946+H2946</f>
        <v>4700611</v>
      </c>
      <c r="J2946">
        <f>IF(AND(D2946&lt;&gt;"dram",D2946&lt;&gt;"control"),H2946,0)</f>
        <v>0</v>
      </c>
      <c r="K2946">
        <f>IF(D2946="dram",H2946,0)</f>
        <v>20580</v>
      </c>
      <c r="L2946">
        <v>1310720</v>
      </c>
      <c r="M2946">
        <v>0</v>
      </c>
    </row>
    <row r="2947" spans="1:13">
      <c r="A2947">
        <v>2945</v>
      </c>
      <c r="B2947" t="s">
        <v>431</v>
      </c>
      <c r="C2947" t="s">
        <v>82</v>
      </c>
      <c r="D2947" t="s">
        <v>83</v>
      </c>
      <c r="E2947" t="s">
        <v>129</v>
      </c>
      <c r="F2947">
        <v>40960</v>
      </c>
      <c r="G2947">
        <f>MAX(I2944,I2946)</f>
        <v>4700611</v>
      </c>
      <c r="H2947">
        <f>CEILING((dram_access_latency+F2947/dram_bandwidth)*frequency,1)</f>
        <v>740</v>
      </c>
      <c r="I2947">
        <f>G2947+H2947</f>
        <v>4701351</v>
      </c>
      <c r="J2947">
        <f>IF(AND(D2947&lt;&gt;"dram",D2947&lt;&gt;"control"),H2947,0)</f>
        <v>0</v>
      </c>
      <c r="K2947">
        <f>IF(D2947="dram",H2947,0)</f>
        <v>740</v>
      </c>
      <c r="L2947">
        <v>40960</v>
      </c>
      <c r="M2947">
        <v>0</v>
      </c>
    </row>
    <row r="2948" spans="1:13">
      <c r="A2948">
        <v>2946</v>
      </c>
      <c r="B2948" t="s">
        <v>65</v>
      </c>
      <c r="C2948" t="s">
        <v>90</v>
      </c>
      <c r="D2948" t="s">
        <v>287</v>
      </c>
      <c r="E2948" t="s">
        <v>129</v>
      </c>
      <c r="F2948">
        <v>0</v>
      </c>
      <c r="G2948">
        <f>MAX(I2943,I2846,I2946,I2848,I2947,I2945)</f>
        <v>4722096</v>
      </c>
      <c r="H2948">
        <f>'Operations'!I29</f>
        <v>42245</v>
      </c>
      <c r="I2948">
        <f>G2948+H2948</f>
        <v>4764341</v>
      </c>
      <c r="J2948">
        <f>IF(AND(D2948&lt;&gt;"dram",D2948&lt;&gt;"control"),H2948,0)</f>
        <v>42245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432</v>
      </c>
      <c r="C2949" t="s">
        <v>88</v>
      </c>
      <c r="D2949" t="s">
        <v>89</v>
      </c>
      <c r="E2949" t="s">
        <v>129</v>
      </c>
      <c r="F2949">
        <v>0</v>
      </c>
      <c r="G2949">
        <f>MAX(I2944,I2943)</f>
        <v>4679851</v>
      </c>
      <c r="H2949">
        <f>0</f>
        <v>42245</v>
      </c>
      <c r="I2949">
        <f>G2949+H2949</f>
        <v>4722096</v>
      </c>
      <c r="J2949">
        <f>IF(AND(D2949&lt;&gt;"dram",D2949&lt;&gt;"control"),H2949,0)</f>
        <v>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433</v>
      </c>
      <c r="C2950" t="s">
        <v>92</v>
      </c>
      <c r="D2950" t="s">
        <v>83</v>
      </c>
      <c r="E2950" t="s">
        <v>129</v>
      </c>
      <c r="F2950">
        <v>5120</v>
      </c>
      <c r="G2950">
        <f>MAX(I2949,I2947)</f>
        <v>4722096</v>
      </c>
      <c r="H2950">
        <f>CEILING((dram_access_latency+F2950/dram_bandwidth)*frequency,1)</f>
        <v>180</v>
      </c>
      <c r="I2950">
        <f>G2950+H2950</f>
        <v>4722276</v>
      </c>
      <c r="J2950">
        <f>IF(AND(D2950&lt;&gt;"dram",D2950&lt;&gt;"control"),H2950,0)</f>
        <v>0</v>
      </c>
      <c r="K2950">
        <f>IF(D2950="dram",H2950,0)</f>
        <v>180</v>
      </c>
      <c r="L2950">
        <v>0</v>
      </c>
      <c r="M2950">
        <v>5120</v>
      </c>
    </row>
    <row r="2951" spans="1:13">
      <c r="A2951">
        <v>2949</v>
      </c>
      <c r="B2951" t="s">
        <v>429</v>
      </c>
      <c r="C2951" t="s">
        <v>82</v>
      </c>
      <c r="D2951" t="s">
        <v>83</v>
      </c>
      <c r="E2951" t="s">
        <v>130</v>
      </c>
      <c r="F2951">
        <v>1310720</v>
      </c>
      <c r="G2951">
        <f>MAX(I2949,I2950)</f>
        <v>4722276</v>
      </c>
      <c r="H2951">
        <f>CEILING((dram_access_latency+F2951/dram_bandwidth)*frequency,1)</f>
        <v>20580</v>
      </c>
      <c r="I2951">
        <f>G2951+H2951</f>
        <v>4742856</v>
      </c>
      <c r="J2951">
        <f>IF(AND(D2951&lt;&gt;"dram",D2951&lt;&gt;"control"),H2951,0)</f>
        <v>0</v>
      </c>
      <c r="K2951">
        <f>IF(D2951="dram",H2951,0)</f>
        <v>20580</v>
      </c>
      <c r="L2951">
        <v>1310720</v>
      </c>
      <c r="M2951">
        <v>0</v>
      </c>
    </row>
    <row r="2952" spans="1:13">
      <c r="A2952">
        <v>2950</v>
      </c>
      <c r="B2952" t="s">
        <v>431</v>
      </c>
      <c r="C2952" t="s">
        <v>82</v>
      </c>
      <c r="D2952" t="s">
        <v>83</v>
      </c>
      <c r="E2952" t="s">
        <v>130</v>
      </c>
      <c r="F2952">
        <v>40960</v>
      </c>
      <c r="G2952">
        <f>MAX(I2949,I2951)</f>
        <v>4742856</v>
      </c>
      <c r="H2952">
        <f>CEILING((dram_access_latency+F2952/dram_bandwidth)*frequency,1)</f>
        <v>740</v>
      </c>
      <c r="I2952">
        <f>G2952+H2952</f>
        <v>4743596</v>
      </c>
      <c r="J2952">
        <f>IF(AND(D2952&lt;&gt;"dram",D2952&lt;&gt;"control"),H2952,0)</f>
        <v>0</v>
      </c>
      <c r="K2952">
        <f>IF(D2952="dram",H2952,0)</f>
        <v>740</v>
      </c>
      <c r="L2952">
        <v>40960</v>
      </c>
      <c r="M2952">
        <v>0</v>
      </c>
    </row>
    <row r="2953" spans="1:13">
      <c r="A2953">
        <v>2951</v>
      </c>
      <c r="B2953" t="s">
        <v>65</v>
      </c>
      <c r="C2953" t="s">
        <v>90</v>
      </c>
      <c r="D2953" t="s">
        <v>287</v>
      </c>
      <c r="E2953" t="s">
        <v>130</v>
      </c>
      <c r="F2953">
        <v>0</v>
      </c>
      <c r="G2953">
        <f>MAX(I2948,I2846,I2951,I2848,I2952,I2950)</f>
        <v>4764341</v>
      </c>
      <c r="H2953">
        <f>'Operations'!I29</f>
        <v>42245</v>
      </c>
      <c r="I2953">
        <f>G2953+H2953</f>
        <v>4806586</v>
      </c>
      <c r="J2953">
        <f>IF(AND(D2953&lt;&gt;"dram",D2953&lt;&gt;"control"),H2953,0)</f>
        <v>42245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432</v>
      </c>
      <c r="C2954" t="s">
        <v>88</v>
      </c>
      <c r="D2954" t="s">
        <v>89</v>
      </c>
      <c r="E2954" t="s">
        <v>130</v>
      </c>
      <c r="F2954">
        <v>0</v>
      </c>
      <c r="G2954">
        <f>MAX(I2949,I2948)</f>
        <v>4722096</v>
      </c>
      <c r="H2954">
        <f>0</f>
        <v>42245</v>
      </c>
      <c r="I2954">
        <f>G2954+H2954</f>
        <v>4764341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433</v>
      </c>
      <c r="C2955" t="s">
        <v>92</v>
      </c>
      <c r="D2955" t="s">
        <v>83</v>
      </c>
      <c r="E2955" t="s">
        <v>130</v>
      </c>
      <c r="F2955">
        <v>5120</v>
      </c>
      <c r="G2955">
        <f>MAX(I2954,I2952)</f>
        <v>4764341</v>
      </c>
      <c r="H2955">
        <f>CEILING((dram_access_latency+F2955/dram_bandwidth)*frequency,1)</f>
        <v>180</v>
      </c>
      <c r="I2955">
        <f>G2955+H2955</f>
        <v>4764521</v>
      </c>
      <c r="J2955">
        <f>IF(AND(D2955&lt;&gt;"dram",D2955&lt;&gt;"control"),H2955,0)</f>
        <v>0</v>
      </c>
      <c r="K2955">
        <f>IF(D2955="dram",H2955,0)</f>
        <v>180</v>
      </c>
      <c r="L2955">
        <v>0</v>
      </c>
      <c r="M2955">
        <v>5120</v>
      </c>
    </row>
    <row r="2956" spans="1:13">
      <c r="A2956">
        <v>2954</v>
      </c>
      <c r="B2956" t="s">
        <v>429</v>
      </c>
      <c r="C2956" t="s">
        <v>82</v>
      </c>
      <c r="D2956" t="s">
        <v>83</v>
      </c>
      <c r="E2956" t="s">
        <v>131</v>
      </c>
      <c r="F2956">
        <v>1310720</v>
      </c>
      <c r="G2956">
        <f>MAX(I2954,I2955)</f>
        <v>4764521</v>
      </c>
      <c r="H2956">
        <f>CEILING((dram_access_latency+F2956/dram_bandwidth)*frequency,1)</f>
        <v>20580</v>
      </c>
      <c r="I2956">
        <f>G2956+H2956</f>
        <v>4785101</v>
      </c>
      <c r="J2956">
        <f>IF(AND(D2956&lt;&gt;"dram",D2956&lt;&gt;"control"),H2956,0)</f>
        <v>0</v>
      </c>
      <c r="K2956">
        <f>IF(D2956="dram",H2956,0)</f>
        <v>20580</v>
      </c>
      <c r="L2956">
        <v>1310720</v>
      </c>
      <c r="M2956">
        <v>0</v>
      </c>
    </row>
    <row r="2957" spans="1:13">
      <c r="A2957">
        <v>2955</v>
      </c>
      <c r="B2957" t="s">
        <v>431</v>
      </c>
      <c r="C2957" t="s">
        <v>82</v>
      </c>
      <c r="D2957" t="s">
        <v>83</v>
      </c>
      <c r="E2957" t="s">
        <v>131</v>
      </c>
      <c r="F2957">
        <v>40960</v>
      </c>
      <c r="G2957">
        <f>MAX(I2954,I2956)</f>
        <v>4785101</v>
      </c>
      <c r="H2957">
        <f>CEILING((dram_access_latency+F2957/dram_bandwidth)*frequency,1)</f>
        <v>740</v>
      </c>
      <c r="I2957">
        <f>G2957+H2957</f>
        <v>4785841</v>
      </c>
      <c r="J2957">
        <f>IF(AND(D2957&lt;&gt;"dram",D2957&lt;&gt;"control"),H2957,0)</f>
        <v>0</v>
      </c>
      <c r="K2957">
        <f>IF(D2957="dram",H2957,0)</f>
        <v>740</v>
      </c>
      <c r="L2957">
        <v>40960</v>
      </c>
      <c r="M2957">
        <v>0</v>
      </c>
    </row>
    <row r="2958" spans="1:13">
      <c r="A2958">
        <v>2956</v>
      </c>
      <c r="B2958" t="s">
        <v>65</v>
      </c>
      <c r="C2958" t="s">
        <v>90</v>
      </c>
      <c r="D2958" t="s">
        <v>287</v>
      </c>
      <c r="E2958" t="s">
        <v>131</v>
      </c>
      <c r="F2958">
        <v>0</v>
      </c>
      <c r="G2958">
        <f>MAX(I2953,I2846,I2956,I2848,I2957,I2955)</f>
        <v>4806586</v>
      </c>
      <c r="H2958">
        <f>'Operations'!I29</f>
        <v>42245</v>
      </c>
      <c r="I2958">
        <f>G2958+H2958</f>
        <v>4848831</v>
      </c>
      <c r="J2958">
        <f>IF(AND(D2958&lt;&gt;"dram",D2958&lt;&gt;"control"),H2958,0)</f>
        <v>42245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432</v>
      </c>
      <c r="C2959" t="s">
        <v>88</v>
      </c>
      <c r="D2959" t="s">
        <v>89</v>
      </c>
      <c r="E2959" t="s">
        <v>131</v>
      </c>
      <c r="F2959">
        <v>0</v>
      </c>
      <c r="G2959">
        <f>MAX(I2954,I2953)</f>
        <v>4764341</v>
      </c>
      <c r="H2959">
        <f>0</f>
        <v>42245</v>
      </c>
      <c r="I2959">
        <f>G2959+H2959</f>
        <v>4806586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433</v>
      </c>
      <c r="C2960" t="s">
        <v>92</v>
      </c>
      <c r="D2960" t="s">
        <v>83</v>
      </c>
      <c r="E2960" t="s">
        <v>131</v>
      </c>
      <c r="F2960">
        <v>5120</v>
      </c>
      <c r="G2960">
        <f>MAX(I2959,I2957)</f>
        <v>4806586</v>
      </c>
      <c r="H2960">
        <f>CEILING((dram_access_latency+F2960/dram_bandwidth)*frequency,1)</f>
        <v>180</v>
      </c>
      <c r="I2960">
        <f>G2960+H2960</f>
        <v>4806766</v>
      </c>
      <c r="J2960">
        <f>IF(AND(D2960&lt;&gt;"dram",D2960&lt;&gt;"control"),H2960,0)</f>
        <v>0</v>
      </c>
      <c r="K2960">
        <f>IF(D2960="dram",H2960,0)</f>
        <v>180</v>
      </c>
      <c r="L2960">
        <v>0</v>
      </c>
      <c r="M2960">
        <v>5120</v>
      </c>
    </row>
    <row r="2961" spans="1:13">
      <c r="A2961">
        <v>2959</v>
      </c>
      <c r="B2961" t="s">
        <v>429</v>
      </c>
      <c r="C2961" t="s">
        <v>82</v>
      </c>
      <c r="D2961" t="s">
        <v>83</v>
      </c>
      <c r="E2961" t="s">
        <v>132</v>
      </c>
      <c r="F2961">
        <v>1310720</v>
      </c>
      <c r="G2961">
        <f>MAX(I2959,I2960)</f>
        <v>4806766</v>
      </c>
      <c r="H2961">
        <f>CEILING((dram_access_latency+F2961/dram_bandwidth)*frequency,1)</f>
        <v>20580</v>
      </c>
      <c r="I2961">
        <f>G2961+H2961</f>
        <v>4827346</v>
      </c>
      <c r="J2961">
        <f>IF(AND(D2961&lt;&gt;"dram",D2961&lt;&gt;"control"),H2961,0)</f>
        <v>0</v>
      </c>
      <c r="K2961">
        <f>IF(D2961="dram",H2961,0)</f>
        <v>20580</v>
      </c>
      <c r="L2961">
        <v>1310720</v>
      </c>
      <c r="M2961">
        <v>0</v>
      </c>
    </row>
    <row r="2962" spans="1:13">
      <c r="A2962">
        <v>2960</v>
      </c>
      <c r="B2962" t="s">
        <v>431</v>
      </c>
      <c r="C2962" t="s">
        <v>82</v>
      </c>
      <c r="D2962" t="s">
        <v>83</v>
      </c>
      <c r="E2962" t="s">
        <v>132</v>
      </c>
      <c r="F2962">
        <v>40960</v>
      </c>
      <c r="G2962">
        <f>MAX(I2959,I2961)</f>
        <v>4827346</v>
      </c>
      <c r="H2962">
        <f>CEILING((dram_access_latency+F2962/dram_bandwidth)*frequency,1)</f>
        <v>740</v>
      </c>
      <c r="I2962">
        <f>G2962+H2962</f>
        <v>4828086</v>
      </c>
      <c r="J2962">
        <f>IF(AND(D2962&lt;&gt;"dram",D2962&lt;&gt;"control"),H2962,0)</f>
        <v>0</v>
      </c>
      <c r="K2962">
        <f>IF(D2962="dram",H2962,0)</f>
        <v>740</v>
      </c>
      <c r="L2962">
        <v>40960</v>
      </c>
      <c r="M2962">
        <v>0</v>
      </c>
    </row>
    <row r="2963" spans="1:13">
      <c r="A2963">
        <v>2961</v>
      </c>
      <c r="B2963" t="s">
        <v>65</v>
      </c>
      <c r="C2963" t="s">
        <v>90</v>
      </c>
      <c r="D2963" t="s">
        <v>287</v>
      </c>
      <c r="E2963" t="s">
        <v>132</v>
      </c>
      <c r="F2963">
        <v>0</v>
      </c>
      <c r="G2963">
        <f>MAX(I2958,I2846,I2961,I2848,I2962,I2960)</f>
        <v>4848831</v>
      </c>
      <c r="H2963">
        <f>'Operations'!I29</f>
        <v>42245</v>
      </c>
      <c r="I2963">
        <f>G2963+H2963</f>
        <v>4891076</v>
      </c>
      <c r="J2963">
        <f>IF(AND(D2963&lt;&gt;"dram",D2963&lt;&gt;"control"),H2963,0)</f>
        <v>42245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432</v>
      </c>
      <c r="C2964" t="s">
        <v>88</v>
      </c>
      <c r="D2964" t="s">
        <v>89</v>
      </c>
      <c r="E2964" t="s">
        <v>132</v>
      </c>
      <c r="F2964">
        <v>0</v>
      </c>
      <c r="G2964">
        <f>MAX(I2959,I2958)</f>
        <v>4806586</v>
      </c>
      <c r="H2964">
        <f>0</f>
        <v>42245</v>
      </c>
      <c r="I2964">
        <f>G2964+H2964</f>
        <v>4848831</v>
      </c>
      <c r="J2964">
        <f>IF(AND(D2964&lt;&gt;"dram",D2964&lt;&gt;"control"),H2964,0)</f>
        <v>0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433</v>
      </c>
      <c r="C2965" t="s">
        <v>92</v>
      </c>
      <c r="D2965" t="s">
        <v>83</v>
      </c>
      <c r="E2965" t="s">
        <v>132</v>
      </c>
      <c r="F2965">
        <v>5120</v>
      </c>
      <c r="G2965">
        <f>MAX(I2964,I2962)</f>
        <v>4848831</v>
      </c>
      <c r="H2965">
        <f>CEILING((dram_access_latency+F2965/dram_bandwidth)*frequency,1)</f>
        <v>180</v>
      </c>
      <c r="I2965">
        <f>G2965+H2965</f>
        <v>4849011</v>
      </c>
      <c r="J2965">
        <f>IF(AND(D2965&lt;&gt;"dram",D2965&lt;&gt;"control"),H2965,0)</f>
        <v>0</v>
      </c>
      <c r="K2965">
        <f>IF(D2965="dram",H2965,0)</f>
        <v>180</v>
      </c>
      <c r="L2965">
        <v>0</v>
      </c>
      <c r="M2965">
        <v>5120</v>
      </c>
    </row>
    <row r="2966" spans="1:13">
      <c r="A2966">
        <v>2964</v>
      </c>
      <c r="B2966" t="s">
        <v>429</v>
      </c>
      <c r="C2966" t="s">
        <v>82</v>
      </c>
      <c r="D2966" t="s">
        <v>83</v>
      </c>
      <c r="E2966" t="s">
        <v>133</v>
      </c>
      <c r="F2966">
        <v>1310720</v>
      </c>
      <c r="G2966">
        <f>MAX(I2964,I2965)</f>
        <v>4849011</v>
      </c>
      <c r="H2966">
        <f>CEILING((dram_access_latency+F2966/dram_bandwidth)*frequency,1)</f>
        <v>20580</v>
      </c>
      <c r="I2966">
        <f>G2966+H2966</f>
        <v>4869591</v>
      </c>
      <c r="J2966">
        <f>IF(AND(D2966&lt;&gt;"dram",D2966&lt;&gt;"control"),H2966,0)</f>
        <v>0</v>
      </c>
      <c r="K2966">
        <f>IF(D2966="dram",H2966,0)</f>
        <v>20580</v>
      </c>
      <c r="L2966">
        <v>1310720</v>
      </c>
      <c r="M2966">
        <v>0</v>
      </c>
    </row>
    <row r="2967" spans="1:13">
      <c r="A2967">
        <v>2965</v>
      </c>
      <c r="B2967" t="s">
        <v>431</v>
      </c>
      <c r="C2967" t="s">
        <v>82</v>
      </c>
      <c r="D2967" t="s">
        <v>83</v>
      </c>
      <c r="E2967" t="s">
        <v>133</v>
      </c>
      <c r="F2967">
        <v>40960</v>
      </c>
      <c r="G2967">
        <f>MAX(I2964,I2966)</f>
        <v>4869591</v>
      </c>
      <c r="H2967">
        <f>CEILING((dram_access_latency+F2967/dram_bandwidth)*frequency,1)</f>
        <v>740</v>
      </c>
      <c r="I2967">
        <f>G2967+H2967</f>
        <v>4870331</v>
      </c>
      <c r="J2967">
        <f>IF(AND(D2967&lt;&gt;"dram",D2967&lt;&gt;"control"),H2967,0)</f>
        <v>0</v>
      </c>
      <c r="K2967">
        <f>IF(D2967="dram",H2967,0)</f>
        <v>740</v>
      </c>
      <c r="L2967">
        <v>40960</v>
      </c>
      <c r="M2967">
        <v>0</v>
      </c>
    </row>
    <row r="2968" spans="1:13">
      <c r="A2968">
        <v>2966</v>
      </c>
      <c r="B2968" t="s">
        <v>65</v>
      </c>
      <c r="C2968" t="s">
        <v>90</v>
      </c>
      <c r="D2968" t="s">
        <v>287</v>
      </c>
      <c r="E2968" t="s">
        <v>133</v>
      </c>
      <c r="F2968">
        <v>0</v>
      </c>
      <c r="G2968">
        <f>MAX(I2963,I2846,I2966,I2848,I2967,I2965)</f>
        <v>4891076</v>
      </c>
      <c r="H2968">
        <f>'Operations'!I29</f>
        <v>42245</v>
      </c>
      <c r="I2968">
        <f>G2968+H2968</f>
        <v>4933321</v>
      </c>
      <c r="J2968">
        <f>IF(AND(D2968&lt;&gt;"dram",D2968&lt;&gt;"control"),H2968,0)</f>
        <v>42245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432</v>
      </c>
      <c r="C2969" t="s">
        <v>88</v>
      </c>
      <c r="D2969" t="s">
        <v>89</v>
      </c>
      <c r="E2969" t="s">
        <v>133</v>
      </c>
      <c r="F2969">
        <v>0</v>
      </c>
      <c r="G2969">
        <f>MAX(I2964,I2963)</f>
        <v>4848831</v>
      </c>
      <c r="H2969">
        <f>0</f>
        <v>42245</v>
      </c>
      <c r="I2969">
        <f>G2969+H2969</f>
        <v>4891076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433</v>
      </c>
      <c r="C2970" t="s">
        <v>92</v>
      </c>
      <c r="D2970" t="s">
        <v>83</v>
      </c>
      <c r="E2970" t="s">
        <v>133</v>
      </c>
      <c r="F2970">
        <v>5120</v>
      </c>
      <c r="G2970">
        <f>MAX(I2969,I2967)</f>
        <v>4891076</v>
      </c>
      <c r="H2970">
        <f>CEILING((dram_access_latency+F2970/dram_bandwidth)*frequency,1)</f>
        <v>180</v>
      </c>
      <c r="I2970">
        <f>G2970+H2970</f>
        <v>4891256</v>
      </c>
      <c r="J2970">
        <f>IF(AND(D2970&lt;&gt;"dram",D2970&lt;&gt;"control"),H2970,0)</f>
        <v>0</v>
      </c>
      <c r="K2970">
        <f>IF(D2970="dram",H2970,0)</f>
        <v>180</v>
      </c>
      <c r="L2970">
        <v>0</v>
      </c>
      <c r="M2970">
        <v>5120</v>
      </c>
    </row>
    <row r="2971" spans="1:13">
      <c r="A2971">
        <v>2969</v>
      </c>
      <c r="B2971" t="s">
        <v>429</v>
      </c>
      <c r="C2971" t="s">
        <v>82</v>
      </c>
      <c r="D2971" t="s">
        <v>83</v>
      </c>
      <c r="E2971" t="s">
        <v>134</v>
      </c>
      <c r="F2971">
        <v>1310720</v>
      </c>
      <c r="G2971">
        <f>MAX(I2969,I2970)</f>
        <v>4891256</v>
      </c>
      <c r="H2971">
        <f>CEILING((dram_access_latency+F2971/dram_bandwidth)*frequency,1)</f>
        <v>20580</v>
      </c>
      <c r="I2971">
        <f>G2971+H2971</f>
        <v>4911836</v>
      </c>
      <c r="J2971">
        <f>IF(AND(D2971&lt;&gt;"dram",D2971&lt;&gt;"control"),H2971,0)</f>
        <v>0</v>
      </c>
      <c r="K2971">
        <f>IF(D2971="dram",H2971,0)</f>
        <v>20580</v>
      </c>
      <c r="L2971">
        <v>1310720</v>
      </c>
      <c r="M2971">
        <v>0</v>
      </c>
    </row>
    <row r="2972" spans="1:13">
      <c r="A2972">
        <v>2970</v>
      </c>
      <c r="B2972" t="s">
        <v>431</v>
      </c>
      <c r="C2972" t="s">
        <v>82</v>
      </c>
      <c r="D2972" t="s">
        <v>83</v>
      </c>
      <c r="E2972" t="s">
        <v>134</v>
      </c>
      <c r="F2972">
        <v>40960</v>
      </c>
      <c r="G2972">
        <f>MAX(I2969,I2971)</f>
        <v>4911836</v>
      </c>
      <c r="H2972">
        <f>CEILING((dram_access_latency+F2972/dram_bandwidth)*frequency,1)</f>
        <v>740</v>
      </c>
      <c r="I2972">
        <f>G2972+H2972</f>
        <v>4912576</v>
      </c>
      <c r="J2972">
        <f>IF(AND(D2972&lt;&gt;"dram",D2972&lt;&gt;"control"),H2972,0)</f>
        <v>0</v>
      </c>
      <c r="K2972">
        <f>IF(D2972="dram",H2972,0)</f>
        <v>740</v>
      </c>
      <c r="L2972">
        <v>40960</v>
      </c>
      <c r="M2972">
        <v>0</v>
      </c>
    </row>
    <row r="2973" spans="1:13">
      <c r="A2973">
        <v>2971</v>
      </c>
      <c r="B2973" t="s">
        <v>65</v>
      </c>
      <c r="C2973" t="s">
        <v>90</v>
      </c>
      <c r="D2973" t="s">
        <v>287</v>
      </c>
      <c r="E2973" t="s">
        <v>134</v>
      </c>
      <c r="F2973">
        <v>0</v>
      </c>
      <c r="G2973">
        <f>MAX(I2968,I2846,I2971,I2848,I2972,I2970)</f>
        <v>4933321</v>
      </c>
      <c r="H2973">
        <f>'Operations'!I29</f>
        <v>42245</v>
      </c>
      <c r="I2973">
        <f>G2973+H2973</f>
        <v>4975566</v>
      </c>
      <c r="J2973">
        <f>IF(AND(D2973&lt;&gt;"dram",D2973&lt;&gt;"control"),H2973,0)</f>
        <v>42245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432</v>
      </c>
      <c r="C2974" t="s">
        <v>88</v>
      </c>
      <c r="D2974" t="s">
        <v>89</v>
      </c>
      <c r="E2974" t="s">
        <v>134</v>
      </c>
      <c r="F2974">
        <v>0</v>
      </c>
      <c r="G2974">
        <f>MAX(I2969,I2968)</f>
        <v>4891076</v>
      </c>
      <c r="H2974">
        <f>0</f>
        <v>42245</v>
      </c>
      <c r="I2974">
        <f>G2974+H2974</f>
        <v>4933321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433</v>
      </c>
      <c r="C2975" t="s">
        <v>92</v>
      </c>
      <c r="D2975" t="s">
        <v>83</v>
      </c>
      <c r="E2975" t="s">
        <v>134</v>
      </c>
      <c r="F2975">
        <v>5120</v>
      </c>
      <c r="G2975">
        <f>MAX(I2974,I2972)</f>
        <v>4933321</v>
      </c>
      <c r="H2975">
        <f>CEILING((dram_access_latency+F2975/dram_bandwidth)*frequency,1)</f>
        <v>180</v>
      </c>
      <c r="I2975">
        <f>G2975+H2975</f>
        <v>4933501</v>
      </c>
      <c r="J2975">
        <f>IF(AND(D2975&lt;&gt;"dram",D2975&lt;&gt;"control"),H2975,0)</f>
        <v>0</v>
      </c>
      <c r="K2975">
        <f>IF(D2975="dram",H2975,0)</f>
        <v>180</v>
      </c>
      <c r="L2975">
        <v>0</v>
      </c>
      <c r="M2975">
        <v>5120</v>
      </c>
    </row>
    <row r="2976" spans="1:13">
      <c r="A2976">
        <v>2974</v>
      </c>
      <c r="B2976" t="s">
        <v>429</v>
      </c>
      <c r="C2976" t="s">
        <v>82</v>
      </c>
      <c r="D2976" t="s">
        <v>83</v>
      </c>
      <c r="E2976" t="s">
        <v>135</v>
      </c>
      <c r="F2976">
        <v>1310720</v>
      </c>
      <c r="G2976">
        <f>MAX(I2974,I2975)</f>
        <v>4933501</v>
      </c>
      <c r="H2976">
        <f>CEILING((dram_access_latency+F2976/dram_bandwidth)*frequency,1)</f>
        <v>20580</v>
      </c>
      <c r="I2976">
        <f>G2976+H2976</f>
        <v>4954081</v>
      </c>
      <c r="J2976">
        <f>IF(AND(D2976&lt;&gt;"dram",D2976&lt;&gt;"control"),H2976,0)</f>
        <v>0</v>
      </c>
      <c r="K2976">
        <f>IF(D2976="dram",H2976,0)</f>
        <v>20580</v>
      </c>
      <c r="L2976">
        <v>1310720</v>
      </c>
      <c r="M2976">
        <v>0</v>
      </c>
    </row>
    <row r="2977" spans="1:13">
      <c r="A2977">
        <v>2975</v>
      </c>
      <c r="B2977" t="s">
        <v>431</v>
      </c>
      <c r="C2977" t="s">
        <v>82</v>
      </c>
      <c r="D2977" t="s">
        <v>83</v>
      </c>
      <c r="E2977" t="s">
        <v>135</v>
      </c>
      <c r="F2977">
        <v>40960</v>
      </c>
      <c r="G2977">
        <f>MAX(I2974,I2976)</f>
        <v>4954081</v>
      </c>
      <c r="H2977">
        <f>CEILING((dram_access_latency+F2977/dram_bandwidth)*frequency,1)</f>
        <v>740</v>
      </c>
      <c r="I2977">
        <f>G2977+H2977</f>
        <v>4954821</v>
      </c>
      <c r="J2977">
        <f>IF(AND(D2977&lt;&gt;"dram",D2977&lt;&gt;"control"),H2977,0)</f>
        <v>0</v>
      </c>
      <c r="K2977">
        <f>IF(D2977="dram",H2977,0)</f>
        <v>740</v>
      </c>
      <c r="L2977">
        <v>40960</v>
      </c>
      <c r="M2977">
        <v>0</v>
      </c>
    </row>
    <row r="2978" spans="1:13">
      <c r="A2978">
        <v>2976</v>
      </c>
      <c r="B2978" t="s">
        <v>65</v>
      </c>
      <c r="C2978" t="s">
        <v>90</v>
      </c>
      <c r="D2978" t="s">
        <v>287</v>
      </c>
      <c r="E2978" t="s">
        <v>135</v>
      </c>
      <c r="F2978">
        <v>0</v>
      </c>
      <c r="G2978">
        <f>MAX(I2973,I2846,I2976,I2848,I2977,I2975)</f>
        <v>4975566</v>
      </c>
      <c r="H2978">
        <f>'Operations'!I29</f>
        <v>42245</v>
      </c>
      <c r="I2978">
        <f>G2978+H2978</f>
        <v>5017811</v>
      </c>
      <c r="J2978">
        <f>IF(AND(D2978&lt;&gt;"dram",D2978&lt;&gt;"control"),H2978,0)</f>
        <v>42245</v>
      </c>
      <c r="K2978">
        <f>IF(D2978="dram",H2978,0)</f>
        <v>0</v>
      </c>
      <c r="L2978">
        <v>0</v>
      </c>
      <c r="M2978">
        <v>0</v>
      </c>
    </row>
    <row r="2979" spans="1:13">
      <c r="A2979">
        <v>2977</v>
      </c>
      <c r="B2979" t="s">
        <v>432</v>
      </c>
      <c r="C2979" t="s">
        <v>88</v>
      </c>
      <c r="D2979" t="s">
        <v>89</v>
      </c>
      <c r="E2979" t="s">
        <v>135</v>
      </c>
      <c r="F2979">
        <v>0</v>
      </c>
      <c r="G2979">
        <f>MAX(I2974,I2973)</f>
        <v>4933321</v>
      </c>
      <c r="H2979">
        <f>0</f>
        <v>42245</v>
      </c>
      <c r="I2979">
        <f>G2979+H2979</f>
        <v>4975566</v>
      </c>
      <c r="J2979">
        <f>IF(AND(D2979&lt;&gt;"dram",D2979&lt;&gt;"control"),H2979,0)</f>
        <v>0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433</v>
      </c>
      <c r="C2980" t="s">
        <v>92</v>
      </c>
      <c r="D2980" t="s">
        <v>83</v>
      </c>
      <c r="E2980" t="s">
        <v>135</v>
      </c>
      <c r="F2980">
        <v>5120</v>
      </c>
      <c r="G2980">
        <f>MAX(I2979,I2977)</f>
        <v>4975566</v>
      </c>
      <c r="H2980">
        <f>CEILING((dram_access_latency+F2980/dram_bandwidth)*frequency,1)</f>
        <v>180</v>
      </c>
      <c r="I2980">
        <f>G2980+H2980</f>
        <v>4975746</v>
      </c>
      <c r="J2980">
        <f>IF(AND(D2980&lt;&gt;"dram",D2980&lt;&gt;"control"),H2980,0)</f>
        <v>0</v>
      </c>
      <c r="K2980">
        <f>IF(D2980="dram",H2980,0)</f>
        <v>180</v>
      </c>
      <c r="L2980">
        <v>0</v>
      </c>
      <c r="M2980">
        <v>5120</v>
      </c>
    </row>
    <row r="2981" spans="1:13">
      <c r="A2981">
        <v>2979</v>
      </c>
      <c r="B2981" t="s">
        <v>429</v>
      </c>
      <c r="C2981" t="s">
        <v>82</v>
      </c>
      <c r="D2981" t="s">
        <v>83</v>
      </c>
      <c r="E2981" t="s">
        <v>136</v>
      </c>
      <c r="F2981">
        <v>1310720</v>
      </c>
      <c r="G2981">
        <f>MAX(I2979,I2980)</f>
        <v>4975746</v>
      </c>
      <c r="H2981">
        <f>CEILING((dram_access_latency+F2981/dram_bandwidth)*frequency,1)</f>
        <v>20580</v>
      </c>
      <c r="I2981">
        <f>G2981+H2981</f>
        <v>4996326</v>
      </c>
      <c r="J2981">
        <f>IF(AND(D2981&lt;&gt;"dram",D2981&lt;&gt;"control"),H2981,0)</f>
        <v>0</v>
      </c>
      <c r="K2981">
        <f>IF(D2981="dram",H2981,0)</f>
        <v>20580</v>
      </c>
      <c r="L2981">
        <v>1310720</v>
      </c>
      <c r="M2981">
        <v>0</v>
      </c>
    </row>
    <row r="2982" spans="1:13">
      <c r="A2982">
        <v>2980</v>
      </c>
      <c r="B2982" t="s">
        <v>431</v>
      </c>
      <c r="C2982" t="s">
        <v>82</v>
      </c>
      <c r="D2982" t="s">
        <v>83</v>
      </c>
      <c r="E2982" t="s">
        <v>136</v>
      </c>
      <c r="F2982">
        <v>40960</v>
      </c>
      <c r="G2982">
        <f>MAX(I2979,I2981)</f>
        <v>4996326</v>
      </c>
      <c r="H2982">
        <f>CEILING((dram_access_latency+F2982/dram_bandwidth)*frequency,1)</f>
        <v>740</v>
      </c>
      <c r="I2982">
        <f>G2982+H2982</f>
        <v>4997066</v>
      </c>
      <c r="J2982">
        <f>IF(AND(D2982&lt;&gt;"dram",D2982&lt;&gt;"control"),H2982,0)</f>
        <v>0</v>
      </c>
      <c r="K2982">
        <f>IF(D2982="dram",H2982,0)</f>
        <v>740</v>
      </c>
      <c r="L2982">
        <v>40960</v>
      </c>
      <c r="M2982">
        <v>0</v>
      </c>
    </row>
    <row r="2983" spans="1:13">
      <c r="A2983">
        <v>2981</v>
      </c>
      <c r="B2983" t="s">
        <v>65</v>
      </c>
      <c r="C2983" t="s">
        <v>90</v>
      </c>
      <c r="D2983" t="s">
        <v>287</v>
      </c>
      <c r="E2983" t="s">
        <v>136</v>
      </c>
      <c r="F2983">
        <v>0</v>
      </c>
      <c r="G2983">
        <f>MAX(I2978,I2846,I2981,I2848,I2982,I2980)</f>
        <v>5017811</v>
      </c>
      <c r="H2983">
        <f>'Operations'!I29</f>
        <v>42245</v>
      </c>
      <c r="I2983">
        <f>G2983+H2983</f>
        <v>5060056</v>
      </c>
      <c r="J2983">
        <f>IF(AND(D2983&lt;&gt;"dram",D2983&lt;&gt;"control"),H2983,0)</f>
        <v>42245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432</v>
      </c>
      <c r="C2984" t="s">
        <v>88</v>
      </c>
      <c r="D2984" t="s">
        <v>89</v>
      </c>
      <c r="E2984" t="s">
        <v>136</v>
      </c>
      <c r="F2984">
        <v>0</v>
      </c>
      <c r="G2984">
        <f>MAX(I2979,I2978)</f>
        <v>4975566</v>
      </c>
      <c r="H2984">
        <f>0</f>
        <v>42245</v>
      </c>
      <c r="I2984">
        <f>G2984+H2984</f>
        <v>5017811</v>
      </c>
      <c r="J2984">
        <f>IF(AND(D2984&lt;&gt;"dram",D2984&lt;&gt;"control"),H2984,0)</f>
        <v>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433</v>
      </c>
      <c r="C2985" t="s">
        <v>92</v>
      </c>
      <c r="D2985" t="s">
        <v>83</v>
      </c>
      <c r="E2985" t="s">
        <v>136</v>
      </c>
      <c r="F2985">
        <v>5120</v>
      </c>
      <c r="G2985">
        <f>MAX(I2984,I2982)</f>
        <v>5017811</v>
      </c>
      <c r="H2985">
        <f>CEILING((dram_access_latency+F2985/dram_bandwidth)*frequency,1)</f>
        <v>180</v>
      </c>
      <c r="I2985">
        <f>G2985+H2985</f>
        <v>5017991</v>
      </c>
      <c r="J2985">
        <f>IF(AND(D2985&lt;&gt;"dram",D2985&lt;&gt;"control"),H2985,0)</f>
        <v>0</v>
      </c>
      <c r="K2985">
        <f>IF(D2985="dram",H2985,0)</f>
        <v>180</v>
      </c>
      <c r="L2985">
        <v>0</v>
      </c>
      <c r="M2985">
        <v>5120</v>
      </c>
    </row>
    <row r="2986" spans="1:13">
      <c r="A2986">
        <v>2984</v>
      </c>
      <c r="B2986" t="s">
        <v>429</v>
      </c>
      <c r="C2986" t="s">
        <v>82</v>
      </c>
      <c r="D2986" t="s">
        <v>83</v>
      </c>
      <c r="E2986" t="s">
        <v>137</v>
      </c>
      <c r="F2986">
        <v>1310720</v>
      </c>
      <c r="G2986">
        <f>MAX(I2984,I2985)</f>
        <v>5017991</v>
      </c>
      <c r="H2986">
        <f>CEILING((dram_access_latency+F2986/dram_bandwidth)*frequency,1)</f>
        <v>20580</v>
      </c>
      <c r="I2986">
        <f>G2986+H2986</f>
        <v>5038571</v>
      </c>
      <c r="J2986">
        <f>IF(AND(D2986&lt;&gt;"dram",D2986&lt;&gt;"control"),H2986,0)</f>
        <v>0</v>
      </c>
      <c r="K2986">
        <f>IF(D2986="dram",H2986,0)</f>
        <v>20580</v>
      </c>
      <c r="L2986">
        <v>1310720</v>
      </c>
      <c r="M2986">
        <v>0</v>
      </c>
    </row>
    <row r="2987" spans="1:13">
      <c r="A2987">
        <v>2985</v>
      </c>
      <c r="B2987" t="s">
        <v>431</v>
      </c>
      <c r="C2987" t="s">
        <v>82</v>
      </c>
      <c r="D2987" t="s">
        <v>83</v>
      </c>
      <c r="E2987" t="s">
        <v>137</v>
      </c>
      <c r="F2987">
        <v>40960</v>
      </c>
      <c r="G2987">
        <f>MAX(I2984,I2986)</f>
        <v>5038571</v>
      </c>
      <c r="H2987">
        <f>CEILING((dram_access_latency+F2987/dram_bandwidth)*frequency,1)</f>
        <v>740</v>
      </c>
      <c r="I2987">
        <f>G2987+H2987</f>
        <v>5039311</v>
      </c>
      <c r="J2987">
        <f>IF(AND(D2987&lt;&gt;"dram",D2987&lt;&gt;"control"),H2987,0)</f>
        <v>0</v>
      </c>
      <c r="K2987">
        <f>IF(D2987="dram",H2987,0)</f>
        <v>740</v>
      </c>
      <c r="L2987">
        <v>40960</v>
      </c>
      <c r="M2987">
        <v>0</v>
      </c>
    </row>
    <row r="2988" spans="1:13">
      <c r="A2988">
        <v>2986</v>
      </c>
      <c r="B2988" t="s">
        <v>65</v>
      </c>
      <c r="C2988" t="s">
        <v>90</v>
      </c>
      <c r="D2988" t="s">
        <v>287</v>
      </c>
      <c r="E2988" t="s">
        <v>137</v>
      </c>
      <c r="F2988">
        <v>0</v>
      </c>
      <c r="G2988">
        <f>MAX(I2983,I2846,I2986,I2848,I2987,I2985)</f>
        <v>5060056</v>
      </c>
      <c r="H2988">
        <f>'Operations'!I29</f>
        <v>42245</v>
      </c>
      <c r="I2988">
        <f>G2988+H2988</f>
        <v>5102301</v>
      </c>
      <c r="J2988">
        <f>IF(AND(D2988&lt;&gt;"dram",D2988&lt;&gt;"control"),H2988,0)</f>
        <v>42245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432</v>
      </c>
      <c r="C2989" t="s">
        <v>88</v>
      </c>
      <c r="D2989" t="s">
        <v>89</v>
      </c>
      <c r="E2989" t="s">
        <v>137</v>
      </c>
      <c r="F2989">
        <v>0</v>
      </c>
      <c r="G2989">
        <f>MAX(I2984,I2983)</f>
        <v>5017811</v>
      </c>
      <c r="H2989">
        <f>0</f>
        <v>42245</v>
      </c>
      <c r="I2989">
        <f>G2989+H2989</f>
        <v>5060056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433</v>
      </c>
      <c r="C2990" t="s">
        <v>92</v>
      </c>
      <c r="D2990" t="s">
        <v>83</v>
      </c>
      <c r="E2990" t="s">
        <v>137</v>
      </c>
      <c r="F2990">
        <v>5120</v>
      </c>
      <c r="G2990">
        <f>MAX(I2989,I2987)</f>
        <v>5060056</v>
      </c>
      <c r="H2990">
        <f>CEILING((dram_access_latency+F2990/dram_bandwidth)*frequency,1)</f>
        <v>180</v>
      </c>
      <c r="I2990">
        <f>G2990+H2990</f>
        <v>5060236</v>
      </c>
      <c r="J2990">
        <f>IF(AND(D2990&lt;&gt;"dram",D2990&lt;&gt;"control"),H2990,0)</f>
        <v>0</v>
      </c>
      <c r="K2990">
        <f>IF(D2990="dram",H2990,0)</f>
        <v>180</v>
      </c>
      <c r="L2990">
        <v>0</v>
      </c>
      <c r="M2990">
        <v>5120</v>
      </c>
    </row>
    <row r="2991" spans="1:13">
      <c r="A2991">
        <v>2989</v>
      </c>
      <c r="B2991" t="s">
        <v>429</v>
      </c>
      <c r="C2991" t="s">
        <v>82</v>
      </c>
      <c r="D2991" t="s">
        <v>83</v>
      </c>
      <c r="E2991" t="s">
        <v>138</v>
      </c>
      <c r="F2991">
        <v>1310720</v>
      </c>
      <c r="G2991">
        <f>MAX(I2989,I2990)</f>
        <v>5060236</v>
      </c>
      <c r="H2991">
        <f>CEILING((dram_access_latency+F2991/dram_bandwidth)*frequency,1)</f>
        <v>20580</v>
      </c>
      <c r="I2991">
        <f>G2991+H2991</f>
        <v>5080816</v>
      </c>
      <c r="J2991">
        <f>IF(AND(D2991&lt;&gt;"dram",D2991&lt;&gt;"control"),H2991,0)</f>
        <v>0</v>
      </c>
      <c r="K2991">
        <f>IF(D2991="dram",H2991,0)</f>
        <v>20580</v>
      </c>
      <c r="L2991">
        <v>1310720</v>
      </c>
      <c r="M2991">
        <v>0</v>
      </c>
    </row>
    <row r="2992" spans="1:13">
      <c r="A2992">
        <v>2990</v>
      </c>
      <c r="B2992" t="s">
        <v>431</v>
      </c>
      <c r="C2992" t="s">
        <v>82</v>
      </c>
      <c r="D2992" t="s">
        <v>83</v>
      </c>
      <c r="E2992" t="s">
        <v>138</v>
      </c>
      <c r="F2992">
        <v>40960</v>
      </c>
      <c r="G2992">
        <f>MAX(I2989,I2991)</f>
        <v>5080816</v>
      </c>
      <c r="H2992">
        <f>CEILING((dram_access_latency+F2992/dram_bandwidth)*frequency,1)</f>
        <v>740</v>
      </c>
      <c r="I2992">
        <f>G2992+H2992</f>
        <v>5081556</v>
      </c>
      <c r="J2992">
        <f>IF(AND(D2992&lt;&gt;"dram",D2992&lt;&gt;"control"),H2992,0)</f>
        <v>0</v>
      </c>
      <c r="K2992">
        <f>IF(D2992="dram",H2992,0)</f>
        <v>740</v>
      </c>
      <c r="L2992">
        <v>40960</v>
      </c>
      <c r="M2992">
        <v>0</v>
      </c>
    </row>
    <row r="2993" spans="1:13">
      <c r="A2993">
        <v>2991</v>
      </c>
      <c r="B2993" t="s">
        <v>65</v>
      </c>
      <c r="C2993" t="s">
        <v>90</v>
      </c>
      <c r="D2993" t="s">
        <v>287</v>
      </c>
      <c r="E2993" t="s">
        <v>138</v>
      </c>
      <c r="F2993">
        <v>0</v>
      </c>
      <c r="G2993">
        <f>MAX(I2988,I2846,I2991,I2848,I2992,I2990)</f>
        <v>5102301</v>
      </c>
      <c r="H2993">
        <f>'Operations'!I29</f>
        <v>42245</v>
      </c>
      <c r="I2993">
        <f>G2993+H2993</f>
        <v>5144546</v>
      </c>
      <c r="J2993">
        <f>IF(AND(D2993&lt;&gt;"dram",D2993&lt;&gt;"control"),H2993,0)</f>
        <v>42245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432</v>
      </c>
      <c r="C2994" t="s">
        <v>88</v>
      </c>
      <c r="D2994" t="s">
        <v>89</v>
      </c>
      <c r="E2994" t="s">
        <v>138</v>
      </c>
      <c r="F2994">
        <v>0</v>
      </c>
      <c r="G2994">
        <f>MAX(I2989,I2988)</f>
        <v>5060056</v>
      </c>
      <c r="H2994">
        <f>0</f>
        <v>42245</v>
      </c>
      <c r="I2994">
        <f>G2994+H2994</f>
        <v>5102301</v>
      </c>
      <c r="J2994">
        <f>IF(AND(D2994&lt;&gt;"dram",D2994&lt;&gt;"control"),H2994,0)</f>
        <v>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433</v>
      </c>
      <c r="C2995" t="s">
        <v>92</v>
      </c>
      <c r="D2995" t="s">
        <v>83</v>
      </c>
      <c r="E2995" t="s">
        <v>138</v>
      </c>
      <c r="F2995">
        <v>5120</v>
      </c>
      <c r="G2995">
        <f>MAX(I2994,I2992)</f>
        <v>5102301</v>
      </c>
      <c r="H2995">
        <f>CEILING((dram_access_latency+F2995/dram_bandwidth)*frequency,1)</f>
        <v>180</v>
      </c>
      <c r="I2995">
        <f>G2995+H2995</f>
        <v>5102481</v>
      </c>
      <c r="J2995">
        <f>IF(AND(D2995&lt;&gt;"dram",D2995&lt;&gt;"control"),H2995,0)</f>
        <v>0</v>
      </c>
      <c r="K2995">
        <f>IF(D2995="dram",H2995,0)</f>
        <v>180</v>
      </c>
      <c r="L2995">
        <v>0</v>
      </c>
      <c r="M2995">
        <v>5120</v>
      </c>
    </row>
    <row r="2996" spans="1:13">
      <c r="A2996">
        <v>2994</v>
      </c>
      <c r="B2996" t="s">
        <v>429</v>
      </c>
      <c r="C2996" t="s">
        <v>82</v>
      </c>
      <c r="D2996" t="s">
        <v>83</v>
      </c>
      <c r="E2996" t="s">
        <v>139</v>
      </c>
      <c r="F2996">
        <v>1310720</v>
      </c>
      <c r="G2996">
        <f>MAX(I2994,I2995)</f>
        <v>5102481</v>
      </c>
      <c r="H2996">
        <f>CEILING((dram_access_latency+F2996/dram_bandwidth)*frequency,1)</f>
        <v>20580</v>
      </c>
      <c r="I2996">
        <f>G2996+H2996</f>
        <v>5123061</v>
      </c>
      <c r="J2996">
        <f>IF(AND(D2996&lt;&gt;"dram",D2996&lt;&gt;"control"),H2996,0)</f>
        <v>0</v>
      </c>
      <c r="K2996">
        <f>IF(D2996="dram",H2996,0)</f>
        <v>20580</v>
      </c>
      <c r="L2996">
        <v>1310720</v>
      </c>
      <c r="M2996">
        <v>0</v>
      </c>
    </row>
    <row r="2997" spans="1:13">
      <c r="A2997">
        <v>2995</v>
      </c>
      <c r="B2997" t="s">
        <v>431</v>
      </c>
      <c r="C2997" t="s">
        <v>82</v>
      </c>
      <c r="D2997" t="s">
        <v>83</v>
      </c>
      <c r="E2997" t="s">
        <v>139</v>
      </c>
      <c r="F2997">
        <v>40960</v>
      </c>
      <c r="G2997">
        <f>MAX(I2994,I2996)</f>
        <v>5123061</v>
      </c>
      <c r="H2997">
        <f>CEILING((dram_access_latency+F2997/dram_bandwidth)*frequency,1)</f>
        <v>740</v>
      </c>
      <c r="I2997">
        <f>G2997+H2997</f>
        <v>5123801</v>
      </c>
      <c r="J2997">
        <f>IF(AND(D2997&lt;&gt;"dram",D2997&lt;&gt;"control"),H2997,0)</f>
        <v>0</v>
      </c>
      <c r="K2997">
        <f>IF(D2997="dram",H2997,0)</f>
        <v>740</v>
      </c>
      <c r="L2997">
        <v>40960</v>
      </c>
      <c r="M2997">
        <v>0</v>
      </c>
    </row>
    <row r="2998" spans="1:13">
      <c r="A2998">
        <v>2996</v>
      </c>
      <c r="B2998" t="s">
        <v>65</v>
      </c>
      <c r="C2998" t="s">
        <v>90</v>
      </c>
      <c r="D2998" t="s">
        <v>287</v>
      </c>
      <c r="E2998" t="s">
        <v>139</v>
      </c>
      <c r="F2998">
        <v>0</v>
      </c>
      <c r="G2998">
        <f>MAX(I2993,I2846,I2996,I2848,I2997,I2995)</f>
        <v>5144546</v>
      </c>
      <c r="H2998">
        <f>'Operations'!I29</f>
        <v>42245</v>
      </c>
      <c r="I2998">
        <f>G2998+H2998</f>
        <v>5186791</v>
      </c>
      <c r="J2998">
        <f>IF(AND(D2998&lt;&gt;"dram",D2998&lt;&gt;"control"),H2998,0)</f>
        <v>42245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432</v>
      </c>
      <c r="C2999" t="s">
        <v>88</v>
      </c>
      <c r="D2999" t="s">
        <v>89</v>
      </c>
      <c r="E2999" t="s">
        <v>139</v>
      </c>
      <c r="F2999">
        <v>0</v>
      </c>
      <c r="G2999">
        <f>MAX(I2994,I2993)</f>
        <v>5102301</v>
      </c>
      <c r="H2999">
        <f>0</f>
        <v>42245</v>
      </c>
      <c r="I2999">
        <f>G2999+H2999</f>
        <v>5144546</v>
      </c>
      <c r="J2999">
        <f>IF(AND(D2999&lt;&gt;"dram",D2999&lt;&gt;"control"),H2999,0)</f>
        <v>0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433</v>
      </c>
      <c r="C3000" t="s">
        <v>92</v>
      </c>
      <c r="D3000" t="s">
        <v>83</v>
      </c>
      <c r="E3000" t="s">
        <v>139</v>
      </c>
      <c r="F3000">
        <v>5120</v>
      </c>
      <c r="G3000">
        <f>MAX(I2999,I2997)</f>
        <v>5144546</v>
      </c>
      <c r="H3000">
        <f>CEILING((dram_access_latency+F3000/dram_bandwidth)*frequency,1)</f>
        <v>180</v>
      </c>
      <c r="I3000">
        <f>G3000+H3000</f>
        <v>5144726</v>
      </c>
      <c r="J3000">
        <f>IF(AND(D3000&lt;&gt;"dram",D3000&lt;&gt;"control"),H3000,0)</f>
        <v>0</v>
      </c>
      <c r="K3000">
        <f>IF(D3000="dram",H3000,0)</f>
        <v>180</v>
      </c>
      <c r="L3000">
        <v>0</v>
      </c>
      <c r="M3000">
        <v>5120</v>
      </c>
    </row>
    <row r="3001" spans="1:13">
      <c r="A3001">
        <v>2999</v>
      </c>
      <c r="B3001" t="s">
        <v>429</v>
      </c>
      <c r="C3001" t="s">
        <v>82</v>
      </c>
      <c r="D3001" t="s">
        <v>83</v>
      </c>
      <c r="E3001" t="s">
        <v>140</v>
      </c>
      <c r="F3001">
        <v>1310720</v>
      </c>
      <c r="G3001">
        <f>MAX(I2999,I3000)</f>
        <v>5144726</v>
      </c>
      <c r="H3001">
        <f>CEILING((dram_access_latency+F3001/dram_bandwidth)*frequency,1)</f>
        <v>20580</v>
      </c>
      <c r="I3001">
        <f>G3001+H3001</f>
        <v>5165306</v>
      </c>
      <c r="J3001">
        <f>IF(AND(D3001&lt;&gt;"dram",D3001&lt;&gt;"control"),H3001,0)</f>
        <v>0</v>
      </c>
      <c r="K3001">
        <f>IF(D3001="dram",H3001,0)</f>
        <v>20580</v>
      </c>
      <c r="L3001">
        <v>1310720</v>
      </c>
      <c r="M3001">
        <v>0</v>
      </c>
    </row>
    <row r="3002" spans="1:13">
      <c r="A3002">
        <v>3000</v>
      </c>
      <c r="B3002" t="s">
        <v>431</v>
      </c>
      <c r="C3002" t="s">
        <v>82</v>
      </c>
      <c r="D3002" t="s">
        <v>83</v>
      </c>
      <c r="E3002" t="s">
        <v>140</v>
      </c>
      <c r="F3002">
        <v>40960</v>
      </c>
      <c r="G3002">
        <f>MAX(I2999,I3001)</f>
        <v>5165306</v>
      </c>
      <c r="H3002">
        <f>CEILING((dram_access_latency+F3002/dram_bandwidth)*frequency,1)</f>
        <v>740</v>
      </c>
      <c r="I3002">
        <f>G3002+H3002</f>
        <v>5166046</v>
      </c>
      <c r="J3002">
        <f>IF(AND(D3002&lt;&gt;"dram",D3002&lt;&gt;"control"),H3002,0)</f>
        <v>0</v>
      </c>
      <c r="K3002">
        <f>IF(D3002="dram",H3002,0)</f>
        <v>740</v>
      </c>
      <c r="L3002">
        <v>40960</v>
      </c>
      <c r="M3002">
        <v>0</v>
      </c>
    </row>
    <row r="3003" spans="1:13">
      <c r="A3003">
        <v>3001</v>
      </c>
      <c r="B3003" t="s">
        <v>65</v>
      </c>
      <c r="C3003" t="s">
        <v>90</v>
      </c>
      <c r="D3003" t="s">
        <v>287</v>
      </c>
      <c r="E3003" t="s">
        <v>140</v>
      </c>
      <c r="F3003">
        <v>0</v>
      </c>
      <c r="G3003">
        <f>MAX(I2998,I2846,I3001,I2848,I3002,I3000)</f>
        <v>5186791</v>
      </c>
      <c r="H3003">
        <f>'Operations'!I29</f>
        <v>42245</v>
      </c>
      <c r="I3003">
        <f>G3003+H3003</f>
        <v>5229036</v>
      </c>
      <c r="J3003">
        <f>IF(AND(D3003&lt;&gt;"dram",D3003&lt;&gt;"control"),H3003,0)</f>
        <v>42245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432</v>
      </c>
      <c r="C3004" t="s">
        <v>88</v>
      </c>
      <c r="D3004" t="s">
        <v>89</v>
      </c>
      <c r="E3004" t="s">
        <v>140</v>
      </c>
      <c r="F3004">
        <v>0</v>
      </c>
      <c r="G3004">
        <f>MAX(I2999,I2998)</f>
        <v>5144546</v>
      </c>
      <c r="H3004">
        <f>0</f>
        <v>42245</v>
      </c>
      <c r="I3004">
        <f>G3004+H3004</f>
        <v>5186791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433</v>
      </c>
      <c r="C3005" t="s">
        <v>92</v>
      </c>
      <c r="D3005" t="s">
        <v>83</v>
      </c>
      <c r="E3005" t="s">
        <v>140</v>
      </c>
      <c r="F3005">
        <v>5120</v>
      </c>
      <c r="G3005">
        <f>MAX(I3004,I3002)</f>
        <v>5186791</v>
      </c>
      <c r="H3005">
        <f>CEILING((dram_access_latency+F3005/dram_bandwidth)*frequency,1)</f>
        <v>180</v>
      </c>
      <c r="I3005">
        <f>G3005+H3005</f>
        <v>5186971</v>
      </c>
      <c r="J3005">
        <f>IF(AND(D3005&lt;&gt;"dram",D3005&lt;&gt;"control"),H3005,0)</f>
        <v>0</v>
      </c>
      <c r="K3005">
        <f>IF(D3005="dram",H3005,0)</f>
        <v>180</v>
      </c>
      <c r="L3005">
        <v>0</v>
      </c>
      <c r="M3005">
        <v>5120</v>
      </c>
    </row>
    <row r="3006" spans="1:13">
      <c r="A3006">
        <v>3004</v>
      </c>
      <c r="B3006" t="s">
        <v>429</v>
      </c>
      <c r="C3006" t="s">
        <v>82</v>
      </c>
      <c r="D3006" t="s">
        <v>83</v>
      </c>
      <c r="E3006" t="s">
        <v>340</v>
      </c>
      <c r="F3006">
        <v>1310720</v>
      </c>
      <c r="G3006">
        <f>MAX(I3004,I3005)</f>
        <v>5186971</v>
      </c>
      <c r="H3006">
        <f>CEILING((dram_access_latency+F3006/dram_bandwidth)*frequency,1)</f>
        <v>20580</v>
      </c>
      <c r="I3006">
        <f>G3006+H3006</f>
        <v>5207551</v>
      </c>
      <c r="J3006">
        <f>IF(AND(D3006&lt;&gt;"dram",D3006&lt;&gt;"control"),H3006,0)</f>
        <v>0</v>
      </c>
      <c r="K3006">
        <f>IF(D3006="dram",H3006,0)</f>
        <v>20580</v>
      </c>
      <c r="L3006">
        <v>1310720</v>
      </c>
      <c r="M3006">
        <v>0</v>
      </c>
    </row>
    <row r="3007" spans="1:13">
      <c r="A3007">
        <v>3005</v>
      </c>
      <c r="B3007" t="s">
        <v>431</v>
      </c>
      <c r="C3007" t="s">
        <v>82</v>
      </c>
      <c r="D3007" t="s">
        <v>83</v>
      </c>
      <c r="E3007" t="s">
        <v>340</v>
      </c>
      <c r="F3007">
        <v>40960</v>
      </c>
      <c r="G3007">
        <f>MAX(I3004,I3006)</f>
        <v>5207551</v>
      </c>
      <c r="H3007">
        <f>CEILING((dram_access_latency+F3007/dram_bandwidth)*frequency,1)</f>
        <v>740</v>
      </c>
      <c r="I3007">
        <f>G3007+H3007</f>
        <v>5208291</v>
      </c>
      <c r="J3007">
        <f>IF(AND(D3007&lt;&gt;"dram",D3007&lt;&gt;"control"),H3007,0)</f>
        <v>0</v>
      </c>
      <c r="K3007">
        <f>IF(D3007="dram",H3007,0)</f>
        <v>740</v>
      </c>
      <c r="L3007">
        <v>40960</v>
      </c>
      <c r="M3007">
        <v>0</v>
      </c>
    </row>
    <row r="3008" spans="1:13">
      <c r="A3008">
        <v>3006</v>
      </c>
      <c r="B3008" t="s">
        <v>65</v>
      </c>
      <c r="C3008" t="s">
        <v>90</v>
      </c>
      <c r="D3008" t="s">
        <v>287</v>
      </c>
      <c r="E3008" t="s">
        <v>340</v>
      </c>
      <c r="F3008">
        <v>0</v>
      </c>
      <c r="G3008">
        <f>MAX(I3003,I2846,I3006,I2848,I3007,I3005)</f>
        <v>5229036</v>
      </c>
      <c r="H3008">
        <f>'Operations'!I29</f>
        <v>42245</v>
      </c>
      <c r="I3008">
        <f>G3008+H3008</f>
        <v>5271281</v>
      </c>
      <c r="J3008">
        <f>IF(AND(D3008&lt;&gt;"dram",D3008&lt;&gt;"control"),H3008,0)</f>
        <v>42245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432</v>
      </c>
      <c r="C3009" t="s">
        <v>88</v>
      </c>
      <c r="D3009" t="s">
        <v>89</v>
      </c>
      <c r="E3009" t="s">
        <v>340</v>
      </c>
      <c r="F3009">
        <v>0</v>
      </c>
      <c r="G3009">
        <f>MAX(I3004,I3003)</f>
        <v>5186791</v>
      </c>
      <c r="H3009">
        <f>0</f>
        <v>42245</v>
      </c>
      <c r="I3009">
        <f>G3009+H3009</f>
        <v>5229036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433</v>
      </c>
      <c r="C3010" t="s">
        <v>92</v>
      </c>
      <c r="D3010" t="s">
        <v>83</v>
      </c>
      <c r="E3010" t="s">
        <v>340</v>
      </c>
      <c r="F3010">
        <v>5120</v>
      </c>
      <c r="G3010">
        <f>MAX(I3009,I3007)</f>
        <v>5229036</v>
      </c>
      <c r="H3010">
        <f>CEILING((dram_access_latency+F3010/dram_bandwidth)*frequency,1)</f>
        <v>180</v>
      </c>
      <c r="I3010">
        <f>G3010+H3010</f>
        <v>5229216</v>
      </c>
      <c r="J3010">
        <f>IF(AND(D3010&lt;&gt;"dram",D3010&lt;&gt;"control"),H3010,0)</f>
        <v>0</v>
      </c>
      <c r="K3010">
        <f>IF(D3010="dram",H3010,0)</f>
        <v>180</v>
      </c>
      <c r="L3010">
        <v>0</v>
      </c>
      <c r="M3010">
        <v>5120</v>
      </c>
    </row>
    <row r="3011" spans="1:13">
      <c r="A3011">
        <v>3009</v>
      </c>
      <c r="B3011" t="s">
        <v>429</v>
      </c>
      <c r="C3011" t="s">
        <v>82</v>
      </c>
      <c r="D3011" t="s">
        <v>83</v>
      </c>
      <c r="E3011" t="s">
        <v>341</v>
      </c>
      <c r="F3011">
        <v>1310720</v>
      </c>
      <c r="G3011">
        <f>MAX(I3009,I3010)</f>
        <v>5229216</v>
      </c>
      <c r="H3011">
        <f>CEILING((dram_access_latency+F3011/dram_bandwidth)*frequency,1)</f>
        <v>20580</v>
      </c>
      <c r="I3011">
        <f>G3011+H3011</f>
        <v>5249796</v>
      </c>
      <c r="J3011">
        <f>IF(AND(D3011&lt;&gt;"dram",D3011&lt;&gt;"control"),H3011,0)</f>
        <v>0</v>
      </c>
      <c r="K3011">
        <f>IF(D3011="dram",H3011,0)</f>
        <v>20580</v>
      </c>
      <c r="L3011">
        <v>1310720</v>
      </c>
      <c r="M3011">
        <v>0</v>
      </c>
    </row>
    <row r="3012" spans="1:13">
      <c r="A3012">
        <v>3010</v>
      </c>
      <c r="B3012" t="s">
        <v>431</v>
      </c>
      <c r="C3012" t="s">
        <v>82</v>
      </c>
      <c r="D3012" t="s">
        <v>83</v>
      </c>
      <c r="E3012" t="s">
        <v>341</v>
      </c>
      <c r="F3012">
        <v>40960</v>
      </c>
      <c r="G3012">
        <f>MAX(I3009,I3011)</f>
        <v>5249796</v>
      </c>
      <c r="H3012">
        <f>CEILING((dram_access_latency+F3012/dram_bandwidth)*frequency,1)</f>
        <v>740</v>
      </c>
      <c r="I3012">
        <f>G3012+H3012</f>
        <v>5250536</v>
      </c>
      <c r="J3012">
        <f>IF(AND(D3012&lt;&gt;"dram",D3012&lt;&gt;"control"),H3012,0)</f>
        <v>0</v>
      </c>
      <c r="K3012">
        <f>IF(D3012="dram",H3012,0)</f>
        <v>740</v>
      </c>
      <c r="L3012">
        <v>40960</v>
      </c>
      <c r="M3012">
        <v>0</v>
      </c>
    </row>
    <row r="3013" spans="1:13">
      <c r="A3013">
        <v>3011</v>
      </c>
      <c r="B3013" t="s">
        <v>65</v>
      </c>
      <c r="C3013" t="s">
        <v>90</v>
      </c>
      <c r="D3013" t="s">
        <v>287</v>
      </c>
      <c r="E3013" t="s">
        <v>341</v>
      </c>
      <c r="F3013">
        <v>0</v>
      </c>
      <c r="G3013">
        <f>MAX(I3008,I2846,I3011,I2848,I3012,I3010)</f>
        <v>5271281</v>
      </c>
      <c r="H3013">
        <f>'Operations'!I29</f>
        <v>42245</v>
      </c>
      <c r="I3013">
        <f>G3013+H3013</f>
        <v>5313526</v>
      </c>
      <c r="J3013">
        <f>IF(AND(D3013&lt;&gt;"dram",D3013&lt;&gt;"control"),H3013,0)</f>
        <v>42245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432</v>
      </c>
      <c r="C3014" t="s">
        <v>88</v>
      </c>
      <c r="D3014" t="s">
        <v>89</v>
      </c>
      <c r="E3014" t="s">
        <v>341</v>
      </c>
      <c r="F3014">
        <v>0</v>
      </c>
      <c r="G3014">
        <f>MAX(I3009,I3008)</f>
        <v>5229036</v>
      </c>
      <c r="H3014">
        <f>0</f>
        <v>42245</v>
      </c>
      <c r="I3014">
        <f>G3014+H3014</f>
        <v>5271281</v>
      </c>
      <c r="J3014">
        <f>IF(AND(D3014&lt;&gt;"dram",D3014&lt;&gt;"control"),H3014,0)</f>
        <v>0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433</v>
      </c>
      <c r="C3015" t="s">
        <v>92</v>
      </c>
      <c r="D3015" t="s">
        <v>83</v>
      </c>
      <c r="E3015" t="s">
        <v>341</v>
      </c>
      <c r="F3015">
        <v>5120</v>
      </c>
      <c r="G3015">
        <f>MAX(I3014,I3012)</f>
        <v>5271281</v>
      </c>
      <c r="H3015">
        <f>CEILING((dram_access_latency+F3015/dram_bandwidth)*frequency,1)</f>
        <v>180</v>
      </c>
      <c r="I3015">
        <f>G3015+H3015</f>
        <v>5271461</v>
      </c>
      <c r="J3015">
        <f>IF(AND(D3015&lt;&gt;"dram",D3015&lt;&gt;"control"),H3015,0)</f>
        <v>0</v>
      </c>
      <c r="K3015">
        <f>IF(D3015="dram",H3015,0)</f>
        <v>180</v>
      </c>
      <c r="L3015">
        <v>0</v>
      </c>
      <c r="M3015">
        <v>5120</v>
      </c>
    </row>
    <row r="3016" spans="1:13">
      <c r="A3016">
        <v>3014</v>
      </c>
      <c r="B3016" t="s">
        <v>429</v>
      </c>
      <c r="C3016" t="s">
        <v>82</v>
      </c>
      <c r="D3016" t="s">
        <v>83</v>
      </c>
      <c r="E3016" t="s">
        <v>342</v>
      </c>
      <c r="F3016">
        <v>1310720</v>
      </c>
      <c r="G3016">
        <f>MAX(I3014,I3015)</f>
        <v>5271461</v>
      </c>
      <c r="H3016">
        <f>CEILING((dram_access_latency+F3016/dram_bandwidth)*frequency,1)</f>
        <v>20580</v>
      </c>
      <c r="I3016">
        <f>G3016+H3016</f>
        <v>5292041</v>
      </c>
      <c r="J3016">
        <f>IF(AND(D3016&lt;&gt;"dram",D3016&lt;&gt;"control"),H3016,0)</f>
        <v>0</v>
      </c>
      <c r="K3016">
        <f>IF(D3016="dram",H3016,0)</f>
        <v>20580</v>
      </c>
      <c r="L3016">
        <v>1310720</v>
      </c>
      <c r="M3016">
        <v>0</v>
      </c>
    </row>
    <row r="3017" spans="1:13">
      <c r="A3017">
        <v>3015</v>
      </c>
      <c r="B3017" t="s">
        <v>431</v>
      </c>
      <c r="C3017" t="s">
        <v>82</v>
      </c>
      <c r="D3017" t="s">
        <v>83</v>
      </c>
      <c r="E3017" t="s">
        <v>342</v>
      </c>
      <c r="F3017">
        <v>40960</v>
      </c>
      <c r="G3017">
        <f>MAX(I3014,I3016)</f>
        <v>5292041</v>
      </c>
      <c r="H3017">
        <f>CEILING((dram_access_latency+F3017/dram_bandwidth)*frequency,1)</f>
        <v>740</v>
      </c>
      <c r="I3017">
        <f>G3017+H3017</f>
        <v>5292781</v>
      </c>
      <c r="J3017">
        <f>IF(AND(D3017&lt;&gt;"dram",D3017&lt;&gt;"control"),H3017,0)</f>
        <v>0</v>
      </c>
      <c r="K3017">
        <f>IF(D3017="dram",H3017,0)</f>
        <v>740</v>
      </c>
      <c r="L3017">
        <v>40960</v>
      </c>
      <c r="M3017">
        <v>0</v>
      </c>
    </row>
    <row r="3018" spans="1:13">
      <c r="A3018">
        <v>3016</v>
      </c>
      <c r="B3018" t="s">
        <v>65</v>
      </c>
      <c r="C3018" t="s">
        <v>90</v>
      </c>
      <c r="D3018" t="s">
        <v>287</v>
      </c>
      <c r="E3018" t="s">
        <v>342</v>
      </c>
      <c r="F3018">
        <v>0</v>
      </c>
      <c r="G3018">
        <f>MAX(I3013,I2846,I3016,I2848,I3017,I3015)</f>
        <v>5313526</v>
      </c>
      <c r="H3018">
        <f>'Operations'!I29</f>
        <v>42245</v>
      </c>
      <c r="I3018">
        <f>G3018+H3018</f>
        <v>5355771</v>
      </c>
      <c r="J3018">
        <f>IF(AND(D3018&lt;&gt;"dram",D3018&lt;&gt;"control"),H3018,0)</f>
        <v>42245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432</v>
      </c>
      <c r="C3019" t="s">
        <v>88</v>
      </c>
      <c r="D3019" t="s">
        <v>89</v>
      </c>
      <c r="E3019" t="s">
        <v>342</v>
      </c>
      <c r="F3019">
        <v>0</v>
      </c>
      <c r="G3019">
        <f>MAX(I3014,I3013)</f>
        <v>5271281</v>
      </c>
      <c r="H3019">
        <f>0</f>
        <v>42245</v>
      </c>
      <c r="I3019">
        <f>G3019+H3019</f>
        <v>5313526</v>
      </c>
      <c r="J3019">
        <f>IF(AND(D3019&lt;&gt;"dram",D3019&lt;&gt;"control"),H3019,0)</f>
        <v>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433</v>
      </c>
      <c r="C3020" t="s">
        <v>92</v>
      </c>
      <c r="D3020" t="s">
        <v>83</v>
      </c>
      <c r="E3020" t="s">
        <v>342</v>
      </c>
      <c r="F3020">
        <v>5120</v>
      </c>
      <c r="G3020">
        <f>MAX(I3019,I3017)</f>
        <v>5313526</v>
      </c>
      <c r="H3020">
        <f>CEILING((dram_access_latency+F3020/dram_bandwidth)*frequency,1)</f>
        <v>180</v>
      </c>
      <c r="I3020">
        <f>G3020+H3020</f>
        <v>5313706</v>
      </c>
      <c r="J3020">
        <f>IF(AND(D3020&lt;&gt;"dram",D3020&lt;&gt;"control"),H3020,0)</f>
        <v>0</v>
      </c>
      <c r="K3020">
        <f>IF(D3020="dram",H3020,0)</f>
        <v>180</v>
      </c>
      <c r="L3020">
        <v>0</v>
      </c>
      <c r="M3020">
        <v>5120</v>
      </c>
    </row>
    <row r="3021" spans="1:13">
      <c r="A3021">
        <v>3019</v>
      </c>
      <c r="B3021" t="s">
        <v>429</v>
      </c>
      <c r="C3021" t="s">
        <v>82</v>
      </c>
      <c r="D3021" t="s">
        <v>83</v>
      </c>
      <c r="E3021" t="s">
        <v>343</v>
      </c>
      <c r="F3021">
        <v>1310720</v>
      </c>
      <c r="G3021">
        <f>MAX(I3019,I3020)</f>
        <v>5313706</v>
      </c>
      <c r="H3021">
        <f>CEILING((dram_access_latency+F3021/dram_bandwidth)*frequency,1)</f>
        <v>20580</v>
      </c>
      <c r="I3021">
        <f>G3021+H3021</f>
        <v>5334286</v>
      </c>
      <c r="J3021">
        <f>IF(AND(D3021&lt;&gt;"dram",D3021&lt;&gt;"control"),H3021,0)</f>
        <v>0</v>
      </c>
      <c r="K3021">
        <f>IF(D3021="dram",H3021,0)</f>
        <v>20580</v>
      </c>
      <c r="L3021">
        <v>1310720</v>
      </c>
      <c r="M3021">
        <v>0</v>
      </c>
    </row>
    <row r="3022" spans="1:13">
      <c r="A3022">
        <v>3020</v>
      </c>
      <c r="B3022" t="s">
        <v>431</v>
      </c>
      <c r="C3022" t="s">
        <v>82</v>
      </c>
      <c r="D3022" t="s">
        <v>83</v>
      </c>
      <c r="E3022" t="s">
        <v>343</v>
      </c>
      <c r="F3022">
        <v>40960</v>
      </c>
      <c r="G3022">
        <f>MAX(I3019,I3021)</f>
        <v>5334286</v>
      </c>
      <c r="H3022">
        <f>CEILING((dram_access_latency+F3022/dram_bandwidth)*frequency,1)</f>
        <v>740</v>
      </c>
      <c r="I3022">
        <f>G3022+H3022</f>
        <v>5335026</v>
      </c>
      <c r="J3022">
        <f>IF(AND(D3022&lt;&gt;"dram",D3022&lt;&gt;"control"),H3022,0)</f>
        <v>0</v>
      </c>
      <c r="K3022">
        <f>IF(D3022="dram",H3022,0)</f>
        <v>740</v>
      </c>
      <c r="L3022">
        <v>40960</v>
      </c>
      <c r="M3022">
        <v>0</v>
      </c>
    </row>
    <row r="3023" spans="1:13">
      <c r="A3023">
        <v>3021</v>
      </c>
      <c r="B3023" t="s">
        <v>65</v>
      </c>
      <c r="C3023" t="s">
        <v>90</v>
      </c>
      <c r="D3023" t="s">
        <v>287</v>
      </c>
      <c r="E3023" t="s">
        <v>343</v>
      </c>
      <c r="F3023">
        <v>0</v>
      </c>
      <c r="G3023">
        <f>MAX(I3018,I2846,I3021,I2848,I3022,I3020)</f>
        <v>5355771</v>
      </c>
      <c r="H3023">
        <f>'Operations'!I29</f>
        <v>42245</v>
      </c>
      <c r="I3023">
        <f>G3023+H3023</f>
        <v>5398016</v>
      </c>
      <c r="J3023">
        <f>IF(AND(D3023&lt;&gt;"dram",D3023&lt;&gt;"control"),H3023,0)</f>
        <v>42245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432</v>
      </c>
      <c r="C3024" t="s">
        <v>88</v>
      </c>
      <c r="D3024" t="s">
        <v>89</v>
      </c>
      <c r="E3024" t="s">
        <v>343</v>
      </c>
      <c r="F3024">
        <v>0</v>
      </c>
      <c r="G3024">
        <f>MAX(I3019,I3018)</f>
        <v>5313526</v>
      </c>
      <c r="H3024">
        <f>0</f>
        <v>42245</v>
      </c>
      <c r="I3024">
        <f>G3024+H3024</f>
        <v>5355771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433</v>
      </c>
      <c r="C3025" t="s">
        <v>92</v>
      </c>
      <c r="D3025" t="s">
        <v>83</v>
      </c>
      <c r="E3025" t="s">
        <v>343</v>
      </c>
      <c r="F3025">
        <v>5120</v>
      </c>
      <c r="G3025">
        <f>MAX(I3024,I3022)</f>
        <v>5355771</v>
      </c>
      <c r="H3025">
        <f>CEILING((dram_access_latency+F3025/dram_bandwidth)*frequency,1)</f>
        <v>180</v>
      </c>
      <c r="I3025">
        <f>G3025+H3025</f>
        <v>5355951</v>
      </c>
      <c r="J3025">
        <f>IF(AND(D3025&lt;&gt;"dram",D3025&lt;&gt;"control"),H3025,0)</f>
        <v>0</v>
      </c>
      <c r="K3025">
        <f>IF(D3025="dram",H3025,0)</f>
        <v>180</v>
      </c>
      <c r="L3025">
        <v>0</v>
      </c>
      <c r="M3025">
        <v>5120</v>
      </c>
    </row>
    <row r="3026" spans="1:13">
      <c r="A3026">
        <v>3024</v>
      </c>
      <c r="B3026" t="s">
        <v>429</v>
      </c>
      <c r="C3026" t="s">
        <v>82</v>
      </c>
      <c r="D3026" t="s">
        <v>83</v>
      </c>
      <c r="E3026" t="s">
        <v>344</v>
      </c>
      <c r="F3026">
        <v>1310720</v>
      </c>
      <c r="G3026">
        <f>MAX(I3024,I3025)</f>
        <v>5355951</v>
      </c>
      <c r="H3026">
        <f>CEILING((dram_access_latency+F3026/dram_bandwidth)*frequency,1)</f>
        <v>20580</v>
      </c>
      <c r="I3026">
        <f>G3026+H3026</f>
        <v>5376531</v>
      </c>
      <c r="J3026">
        <f>IF(AND(D3026&lt;&gt;"dram",D3026&lt;&gt;"control"),H3026,0)</f>
        <v>0</v>
      </c>
      <c r="K3026">
        <f>IF(D3026="dram",H3026,0)</f>
        <v>20580</v>
      </c>
      <c r="L3026">
        <v>1310720</v>
      </c>
      <c r="M3026">
        <v>0</v>
      </c>
    </row>
    <row r="3027" spans="1:13">
      <c r="A3027">
        <v>3025</v>
      </c>
      <c r="B3027" t="s">
        <v>431</v>
      </c>
      <c r="C3027" t="s">
        <v>82</v>
      </c>
      <c r="D3027" t="s">
        <v>83</v>
      </c>
      <c r="E3027" t="s">
        <v>344</v>
      </c>
      <c r="F3027">
        <v>40960</v>
      </c>
      <c r="G3027">
        <f>MAX(I3024,I3026)</f>
        <v>5376531</v>
      </c>
      <c r="H3027">
        <f>CEILING((dram_access_latency+F3027/dram_bandwidth)*frequency,1)</f>
        <v>740</v>
      </c>
      <c r="I3027">
        <f>G3027+H3027</f>
        <v>5377271</v>
      </c>
      <c r="J3027">
        <f>IF(AND(D3027&lt;&gt;"dram",D3027&lt;&gt;"control"),H3027,0)</f>
        <v>0</v>
      </c>
      <c r="K3027">
        <f>IF(D3027="dram",H3027,0)</f>
        <v>740</v>
      </c>
      <c r="L3027">
        <v>40960</v>
      </c>
      <c r="M3027">
        <v>0</v>
      </c>
    </row>
    <row r="3028" spans="1:13">
      <c r="A3028">
        <v>3026</v>
      </c>
      <c r="B3028" t="s">
        <v>65</v>
      </c>
      <c r="C3028" t="s">
        <v>90</v>
      </c>
      <c r="D3028" t="s">
        <v>287</v>
      </c>
      <c r="E3028" t="s">
        <v>344</v>
      </c>
      <c r="F3028">
        <v>0</v>
      </c>
      <c r="G3028">
        <f>MAX(I3023,I2846,I3026,I2848,I3027,I3025)</f>
        <v>5398016</v>
      </c>
      <c r="H3028">
        <f>'Operations'!I29</f>
        <v>42245</v>
      </c>
      <c r="I3028">
        <f>G3028+H3028</f>
        <v>5440261</v>
      </c>
      <c r="J3028">
        <f>IF(AND(D3028&lt;&gt;"dram",D3028&lt;&gt;"control"),H3028,0)</f>
        <v>42245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432</v>
      </c>
      <c r="C3029" t="s">
        <v>88</v>
      </c>
      <c r="D3029" t="s">
        <v>89</v>
      </c>
      <c r="E3029" t="s">
        <v>344</v>
      </c>
      <c r="F3029">
        <v>0</v>
      </c>
      <c r="G3029">
        <f>MAX(I3024,I3023)</f>
        <v>5355771</v>
      </c>
      <c r="H3029">
        <f>0</f>
        <v>42245</v>
      </c>
      <c r="I3029">
        <f>G3029+H3029</f>
        <v>5398016</v>
      </c>
      <c r="J3029">
        <f>IF(AND(D3029&lt;&gt;"dram",D3029&lt;&gt;"control"),H3029,0)</f>
        <v>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433</v>
      </c>
      <c r="C3030" t="s">
        <v>92</v>
      </c>
      <c r="D3030" t="s">
        <v>83</v>
      </c>
      <c r="E3030" t="s">
        <v>344</v>
      </c>
      <c r="F3030">
        <v>5120</v>
      </c>
      <c r="G3030">
        <f>MAX(I3029,I3027)</f>
        <v>5398016</v>
      </c>
      <c r="H3030">
        <f>CEILING((dram_access_latency+F3030/dram_bandwidth)*frequency,1)</f>
        <v>180</v>
      </c>
      <c r="I3030">
        <f>G3030+H3030</f>
        <v>5398196</v>
      </c>
      <c r="J3030">
        <f>IF(AND(D3030&lt;&gt;"dram",D3030&lt;&gt;"control"),H3030,0)</f>
        <v>0</v>
      </c>
      <c r="K3030">
        <f>IF(D3030="dram",H3030,0)</f>
        <v>180</v>
      </c>
      <c r="L3030">
        <v>0</v>
      </c>
      <c r="M3030">
        <v>5120</v>
      </c>
    </row>
    <row r="3031" spans="1:13">
      <c r="A3031">
        <v>3029</v>
      </c>
      <c r="B3031" t="s">
        <v>429</v>
      </c>
      <c r="C3031" t="s">
        <v>82</v>
      </c>
      <c r="D3031" t="s">
        <v>83</v>
      </c>
      <c r="E3031" t="s">
        <v>345</v>
      </c>
      <c r="F3031">
        <v>1310720</v>
      </c>
      <c r="G3031">
        <f>MAX(I3029,I3030)</f>
        <v>5398196</v>
      </c>
      <c r="H3031">
        <f>CEILING((dram_access_latency+F3031/dram_bandwidth)*frequency,1)</f>
        <v>20580</v>
      </c>
      <c r="I3031">
        <f>G3031+H3031</f>
        <v>5418776</v>
      </c>
      <c r="J3031">
        <f>IF(AND(D3031&lt;&gt;"dram",D3031&lt;&gt;"control"),H3031,0)</f>
        <v>0</v>
      </c>
      <c r="K3031">
        <f>IF(D3031="dram",H3031,0)</f>
        <v>20580</v>
      </c>
      <c r="L3031">
        <v>1310720</v>
      </c>
      <c r="M3031">
        <v>0</v>
      </c>
    </row>
    <row r="3032" spans="1:13">
      <c r="A3032">
        <v>3030</v>
      </c>
      <c r="B3032" t="s">
        <v>431</v>
      </c>
      <c r="C3032" t="s">
        <v>82</v>
      </c>
      <c r="D3032" t="s">
        <v>83</v>
      </c>
      <c r="E3032" t="s">
        <v>345</v>
      </c>
      <c r="F3032">
        <v>40960</v>
      </c>
      <c r="G3032">
        <f>MAX(I3029,I3031)</f>
        <v>5418776</v>
      </c>
      <c r="H3032">
        <f>CEILING((dram_access_latency+F3032/dram_bandwidth)*frequency,1)</f>
        <v>740</v>
      </c>
      <c r="I3032">
        <f>G3032+H3032</f>
        <v>5419516</v>
      </c>
      <c r="J3032">
        <f>IF(AND(D3032&lt;&gt;"dram",D3032&lt;&gt;"control"),H3032,0)</f>
        <v>0</v>
      </c>
      <c r="K3032">
        <f>IF(D3032="dram",H3032,0)</f>
        <v>740</v>
      </c>
      <c r="L3032">
        <v>40960</v>
      </c>
      <c r="M3032">
        <v>0</v>
      </c>
    </row>
    <row r="3033" spans="1:13">
      <c r="A3033">
        <v>3031</v>
      </c>
      <c r="B3033" t="s">
        <v>65</v>
      </c>
      <c r="C3033" t="s">
        <v>90</v>
      </c>
      <c r="D3033" t="s">
        <v>287</v>
      </c>
      <c r="E3033" t="s">
        <v>345</v>
      </c>
      <c r="F3033">
        <v>0</v>
      </c>
      <c r="G3033">
        <f>MAX(I3028,I2846,I3031,I2848,I3032,I3030)</f>
        <v>5440261</v>
      </c>
      <c r="H3033">
        <f>'Operations'!I29</f>
        <v>42245</v>
      </c>
      <c r="I3033">
        <f>G3033+H3033</f>
        <v>5482506</v>
      </c>
      <c r="J3033">
        <f>IF(AND(D3033&lt;&gt;"dram",D3033&lt;&gt;"control"),H3033,0)</f>
        <v>42245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432</v>
      </c>
      <c r="C3034" t="s">
        <v>88</v>
      </c>
      <c r="D3034" t="s">
        <v>89</v>
      </c>
      <c r="E3034" t="s">
        <v>345</v>
      </c>
      <c r="F3034">
        <v>0</v>
      </c>
      <c r="G3034">
        <f>MAX(I3029,I3028)</f>
        <v>5398016</v>
      </c>
      <c r="H3034">
        <f>0</f>
        <v>42245</v>
      </c>
      <c r="I3034">
        <f>G3034+H3034</f>
        <v>5440261</v>
      </c>
      <c r="J3034">
        <f>IF(AND(D3034&lt;&gt;"dram",D3034&lt;&gt;"control"),H3034,0)</f>
        <v>0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433</v>
      </c>
      <c r="C3035" t="s">
        <v>92</v>
      </c>
      <c r="D3035" t="s">
        <v>83</v>
      </c>
      <c r="E3035" t="s">
        <v>345</v>
      </c>
      <c r="F3035">
        <v>5120</v>
      </c>
      <c r="G3035">
        <f>MAX(I3034,I3032)</f>
        <v>5440261</v>
      </c>
      <c r="H3035">
        <f>CEILING((dram_access_latency+F3035/dram_bandwidth)*frequency,1)</f>
        <v>180</v>
      </c>
      <c r="I3035">
        <f>G3035+H3035</f>
        <v>5440441</v>
      </c>
      <c r="J3035">
        <f>IF(AND(D3035&lt;&gt;"dram",D3035&lt;&gt;"control"),H3035,0)</f>
        <v>0</v>
      </c>
      <c r="K3035">
        <f>IF(D3035="dram",H3035,0)</f>
        <v>180</v>
      </c>
      <c r="L3035">
        <v>0</v>
      </c>
      <c r="M3035">
        <v>5120</v>
      </c>
    </row>
    <row r="3036" spans="1:13">
      <c r="A3036">
        <v>3034</v>
      </c>
      <c r="B3036" t="s">
        <v>429</v>
      </c>
      <c r="C3036" t="s">
        <v>82</v>
      </c>
      <c r="D3036" t="s">
        <v>83</v>
      </c>
      <c r="E3036" t="s">
        <v>346</v>
      </c>
      <c r="F3036">
        <v>1310720</v>
      </c>
      <c r="G3036">
        <f>MAX(I3034,I3035)</f>
        <v>5440441</v>
      </c>
      <c r="H3036">
        <f>CEILING((dram_access_latency+F3036/dram_bandwidth)*frequency,1)</f>
        <v>20580</v>
      </c>
      <c r="I3036">
        <f>G3036+H3036</f>
        <v>5461021</v>
      </c>
      <c r="J3036">
        <f>IF(AND(D3036&lt;&gt;"dram",D3036&lt;&gt;"control"),H3036,0)</f>
        <v>0</v>
      </c>
      <c r="K3036">
        <f>IF(D3036="dram",H3036,0)</f>
        <v>20580</v>
      </c>
      <c r="L3036">
        <v>1310720</v>
      </c>
      <c r="M3036">
        <v>0</v>
      </c>
    </row>
    <row r="3037" spans="1:13">
      <c r="A3037">
        <v>3035</v>
      </c>
      <c r="B3037" t="s">
        <v>431</v>
      </c>
      <c r="C3037" t="s">
        <v>82</v>
      </c>
      <c r="D3037" t="s">
        <v>83</v>
      </c>
      <c r="E3037" t="s">
        <v>346</v>
      </c>
      <c r="F3037">
        <v>40960</v>
      </c>
      <c r="G3037">
        <f>MAX(I3034,I3036)</f>
        <v>5461021</v>
      </c>
      <c r="H3037">
        <f>CEILING((dram_access_latency+F3037/dram_bandwidth)*frequency,1)</f>
        <v>740</v>
      </c>
      <c r="I3037">
        <f>G3037+H3037</f>
        <v>5461761</v>
      </c>
      <c r="J3037">
        <f>IF(AND(D3037&lt;&gt;"dram",D3037&lt;&gt;"control"),H3037,0)</f>
        <v>0</v>
      </c>
      <c r="K3037">
        <f>IF(D3037="dram",H3037,0)</f>
        <v>740</v>
      </c>
      <c r="L3037">
        <v>40960</v>
      </c>
      <c r="M3037">
        <v>0</v>
      </c>
    </row>
    <row r="3038" spans="1:13">
      <c r="A3038">
        <v>3036</v>
      </c>
      <c r="B3038" t="s">
        <v>65</v>
      </c>
      <c r="C3038" t="s">
        <v>90</v>
      </c>
      <c r="D3038" t="s">
        <v>287</v>
      </c>
      <c r="E3038" t="s">
        <v>346</v>
      </c>
      <c r="F3038">
        <v>0</v>
      </c>
      <c r="G3038">
        <f>MAX(I3033,I2846,I3036,I2848,I3037,I3035)</f>
        <v>5482506</v>
      </c>
      <c r="H3038">
        <f>'Operations'!I29</f>
        <v>42245</v>
      </c>
      <c r="I3038">
        <f>G3038+H3038</f>
        <v>5524751</v>
      </c>
      <c r="J3038">
        <f>IF(AND(D3038&lt;&gt;"dram",D3038&lt;&gt;"control"),H3038,0)</f>
        <v>42245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432</v>
      </c>
      <c r="C3039" t="s">
        <v>88</v>
      </c>
      <c r="D3039" t="s">
        <v>89</v>
      </c>
      <c r="E3039" t="s">
        <v>346</v>
      </c>
      <c r="F3039">
        <v>0</v>
      </c>
      <c r="G3039">
        <f>MAX(I3034,I3033)</f>
        <v>5440261</v>
      </c>
      <c r="H3039">
        <f>0</f>
        <v>42245</v>
      </c>
      <c r="I3039">
        <f>G3039+H3039</f>
        <v>5482506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433</v>
      </c>
      <c r="C3040" t="s">
        <v>92</v>
      </c>
      <c r="D3040" t="s">
        <v>83</v>
      </c>
      <c r="E3040" t="s">
        <v>346</v>
      </c>
      <c r="F3040">
        <v>5120</v>
      </c>
      <c r="G3040">
        <f>MAX(I3039,I3037)</f>
        <v>5482506</v>
      </c>
      <c r="H3040">
        <f>CEILING((dram_access_latency+F3040/dram_bandwidth)*frequency,1)</f>
        <v>180</v>
      </c>
      <c r="I3040">
        <f>G3040+H3040</f>
        <v>5482686</v>
      </c>
      <c r="J3040">
        <f>IF(AND(D3040&lt;&gt;"dram",D3040&lt;&gt;"control"),H3040,0)</f>
        <v>0</v>
      </c>
      <c r="K3040">
        <f>IF(D3040="dram",H3040,0)</f>
        <v>180</v>
      </c>
      <c r="L3040">
        <v>0</v>
      </c>
      <c r="M3040">
        <v>5120</v>
      </c>
    </row>
    <row r="3041" spans="1:13">
      <c r="A3041">
        <v>3039</v>
      </c>
      <c r="B3041" t="s">
        <v>429</v>
      </c>
      <c r="C3041" t="s">
        <v>82</v>
      </c>
      <c r="D3041" t="s">
        <v>83</v>
      </c>
      <c r="E3041" t="s">
        <v>347</v>
      </c>
      <c r="F3041">
        <v>1310720</v>
      </c>
      <c r="G3041">
        <f>MAX(I3039,I3040)</f>
        <v>5482686</v>
      </c>
      <c r="H3041">
        <f>CEILING((dram_access_latency+F3041/dram_bandwidth)*frequency,1)</f>
        <v>20580</v>
      </c>
      <c r="I3041">
        <f>G3041+H3041</f>
        <v>5503266</v>
      </c>
      <c r="J3041">
        <f>IF(AND(D3041&lt;&gt;"dram",D3041&lt;&gt;"control"),H3041,0)</f>
        <v>0</v>
      </c>
      <c r="K3041">
        <f>IF(D3041="dram",H3041,0)</f>
        <v>20580</v>
      </c>
      <c r="L3041">
        <v>1310720</v>
      </c>
      <c r="M3041">
        <v>0</v>
      </c>
    </row>
    <row r="3042" spans="1:13">
      <c r="A3042">
        <v>3040</v>
      </c>
      <c r="B3042" t="s">
        <v>431</v>
      </c>
      <c r="C3042" t="s">
        <v>82</v>
      </c>
      <c r="D3042" t="s">
        <v>83</v>
      </c>
      <c r="E3042" t="s">
        <v>347</v>
      </c>
      <c r="F3042">
        <v>40960</v>
      </c>
      <c r="G3042">
        <f>MAX(I3039,I3041)</f>
        <v>5503266</v>
      </c>
      <c r="H3042">
        <f>CEILING((dram_access_latency+F3042/dram_bandwidth)*frequency,1)</f>
        <v>740</v>
      </c>
      <c r="I3042">
        <f>G3042+H3042</f>
        <v>5504006</v>
      </c>
      <c r="J3042">
        <f>IF(AND(D3042&lt;&gt;"dram",D3042&lt;&gt;"control"),H3042,0)</f>
        <v>0</v>
      </c>
      <c r="K3042">
        <f>IF(D3042="dram",H3042,0)</f>
        <v>740</v>
      </c>
      <c r="L3042">
        <v>40960</v>
      </c>
      <c r="M3042">
        <v>0</v>
      </c>
    </row>
    <row r="3043" spans="1:13">
      <c r="A3043">
        <v>3041</v>
      </c>
      <c r="B3043" t="s">
        <v>65</v>
      </c>
      <c r="C3043" t="s">
        <v>90</v>
      </c>
      <c r="D3043" t="s">
        <v>287</v>
      </c>
      <c r="E3043" t="s">
        <v>347</v>
      </c>
      <c r="F3043">
        <v>0</v>
      </c>
      <c r="G3043">
        <f>MAX(I3038,I2846,I3041,I2848,I3042,I3040)</f>
        <v>5524751</v>
      </c>
      <c r="H3043">
        <f>'Operations'!I29</f>
        <v>42245</v>
      </c>
      <c r="I3043">
        <f>G3043+H3043</f>
        <v>5566996</v>
      </c>
      <c r="J3043">
        <f>IF(AND(D3043&lt;&gt;"dram",D3043&lt;&gt;"control"),H3043,0)</f>
        <v>42245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432</v>
      </c>
      <c r="C3044" t="s">
        <v>88</v>
      </c>
      <c r="D3044" t="s">
        <v>89</v>
      </c>
      <c r="E3044" t="s">
        <v>347</v>
      </c>
      <c r="F3044">
        <v>0</v>
      </c>
      <c r="G3044">
        <f>MAX(I3039,I3038)</f>
        <v>5482506</v>
      </c>
      <c r="H3044">
        <f>0</f>
        <v>42245</v>
      </c>
      <c r="I3044">
        <f>G3044+H3044</f>
        <v>5524751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433</v>
      </c>
      <c r="C3045" t="s">
        <v>92</v>
      </c>
      <c r="D3045" t="s">
        <v>83</v>
      </c>
      <c r="E3045" t="s">
        <v>347</v>
      </c>
      <c r="F3045">
        <v>5120</v>
      </c>
      <c r="G3045">
        <f>MAX(I3044,I3042)</f>
        <v>5524751</v>
      </c>
      <c r="H3045">
        <f>CEILING((dram_access_latency+F3045/dram_bandwidth)*frequency,1)</f>
        <v>180</v>
      </c>
      <c r="I3045">
        <f>G3045+H3045</f>
        <v>5524931</v>
      </c>
      <c r="J3045">
        <f>IF(AND(D3045&lt;&gt;"dram",D3045&lt;&gt;"control"),H3045,0)</f>
        <v>0</v>
      </c>
      <c r="K3045">
        <f>IF(D3045="dram",H3045,0)</f>
        <v>180</v>
      </c>
      <c r="L3045">
        <v>0</v>
      </c>
      <c r="M3045">
        <v>5120</v>
      </c>
    </row>
    <row r="3046" spans="1:13">
      <c r="A3046">
        <v>3044</v>
      </c>
      <c r="B3046" t="s">
        <v>429</v>
      </c>
      <c r="C3046" t="s">
        <v>82</v>
      </c>
      <c r="D3046" t="s">
        <v>83</v>
      </c>
      <c r="E3046" t="s">
        <v>348</v>
      </c>
      <c r="F3046">
        <v>1310720</v>
      </c>
      <c r="G3046">
        <f>MAX(I3044,I3045)</f>
        <v>5524931</v>
      </c>
      <c r="H3046">
        <f>CEILING((dram_access_latency+F3046/dram_bandwidth)*frequency,1)</f>
        <v>20580</v>
      </c>
      <c r="I3046">
        <f>G3046+H3046</f>
        <v>5545511</v>
      </c>
      <c r="J3046">
        <f>IF(AND(D3046&lt;&gt;"dram",D3046&lt;&gt;"control"),H3046,0)</f>
        <v>0</v>
      </c>
      <c r="K3046">
        <f>IF(D3046="dram",H3046,0)</f>
        <v>20580</v>
      </c>
      <c r="L3046">
        <v>1310720</v>
      </c>
      <c r="M3046">
        <v>0</v>
      </c>
    </row>
    <row r="3047" spans="1:13">
      <c r="A3047">
        <v>3045</v>
      </c>
      <c r="B3047" t="s">
        <v>431</v>
      </c>
      <c r="C3047" t="s">
        <v>82</v>
      </c>
      <c r="D3047" t="s">
        <v>83</v>
      </c>
      <c r="E3047" t="s">
        <v>348</v>
      </c>
      <c r="F3047">
        <v>40960</v>
      </c>
      <c r="G3047">
        <f>MAX(I3044,I3046)</f>
        <v>5545511</v>
      </c>
      <c r="H3047">
        <f>CEILING((dram_access_latency+F3047/dram_bandwidth)*frequency,1)</f>
        <v>740</v>
      </c>
      <c r="I3047">
        <f>G3047+H3047</f>
        <v>5546251</v>
      </c>
      <c r="J3047">
        <f>IF(AND(D3047&lt;&gt;"dram",D3047&lt;&gt;"control"),H3047,0)</f>
        <v>0</v>
      </c>
      <c r="K3047">
        <f>IF(D3047="dram",H3047,0)</f>
        <v>740</v>
      </c>
      <c r="L3047">
        <v>40960</v>
      </c>
      <c r="M3047">
        <v>0</v>
      </c>
    </row>
    <row r="3048" spans="1:13">
      <c r="A3048">
        <v>3046</v>
      </c>
      <c r="B3048" t="s">
        <v>65</v>
      </c>
      <c r="C3048" t="s">
        <v>90</v>
      </c>
      <c r="D3048" t="s">
        <v>287</v>
      </c>
      <c r="E3048" t="s">
        <v>348</v>
      </c>
      <c r="F3048">
        <v>0</v>
      </c>
      <c r="G3048">
        <f>MAX(I3043,I2846,I3046,I2848,I3047,I3045)</f>
        <v>5566996</v>
      </c>
      <c r="H3048">
        <f>'Operations'!I29</f>
        <v>42245</v>
      </c>
      <c r="I3048">
        <f>G3048+H3048</f>
        <v>5609241</v>
      </c>
      <c r="J3048">
        <f>IF(AND(D3048&lt;&gt;"dram",D3048&lt;&gt;"control"),H3048,0)</f>
        <v>42245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432</v>
      </c>
      <c r="C3049" t="s">
        <v>88</v>
      </c>
      <c r="D3049" t="s">
        <v>89</v>
      </c>
      <c r="E3049" t="s">
        <v>348</v>
      </c>
      <c r="F3049">
        <v>0</v>
      </c>
      <c r="G3049">
        <f>MAX(I3044,I3043)</f>
        <v>5524751</v>
      </c>
      <c r="H3049">
        <f>0</f>
        <v>42245</v>
      </c>
      <c r="I3049">
        <f>G3049+H3049</f>
        <v>5566996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433</v>
      </c>
      <c r="C3050" t="s">
        <v>92</v>
      </c>
      <c r="D3050" t="s">
        <v>83</v>
      </c>
      <c r="E3050" t="s">
        <v>348</v>
      </c>
      <c r="F3050">
        <v>5120</v>
      </c>
      <c r="G3050">
        <f>MAX(I3049,I3047)</f>
        <v>5566996</v>
      </c>
      <c r="H3050">
        <f>CEILING((dram_access_latency+F3050/dram_bandwidth)*frequency,1)</f>
        <v>180</v>
      </c>
      <c r="I3050">
        <f>G3050+H3050</f>
        <v>5567176</v>
      </c>
      <c r="J3050">
        <f>IF(AND(D3050&lt;&gt;"dram",D3050&lt;&gt;"control"),H3050,0)</f>
        <v>0</v>
      </c>
      <c r="K3050">
        <f>IF(D3050="dram",H3050,0)</f>
        <v>180</v>
      </c>
      <c r="L3050">
        <v>0</v>
      </c>
      <c r="M3050">
        <v>5120</v>
      </c>
    </row>
    <row r="3051" spans="1:13">
      <c r="A3051">
        <v>3049</v>
      </c>
      <c r="B3051" t="s">
        <v>429</v>
      </c>
      <c r="C3051" t="s">
        <v>82</v>
      </c>
      <c r="D3051" t="s">
        <v>83</v>
      </c>
      <c r="E3051" t="s">
        <v>349</v>
      </c>
      <c r="F3051">
        <v>1310720</v>
      </c>
      <c r="G3051">
        <f>MAX(I3049,I3050)</f>
        <v>5567176</v>
      </c>
      <c r="H3051">
        <f>CEILING((dram_access_latency+F3051/dram_bandwidth)*frequency,1)</f>
        <v>20580</v>
      </c>
      <c r="I3051">
        <f>G3051+H3051</f>
        <v>5587756</v>
      </c>
      <c r="J3051">
        <f>IF(AND(D3051&lt;&gt;"dram",D3051&lt;&gt;"control"),H3051,0)</f>
        <v>0</v>
      </c>
      <c r="K3051">
        <f>IF(D3051="dram",H3051,0)</f>
        <v>20580</v>
      </c>
      <c r="L3051">
        <v>1310720</v>
      </c>
      <c r="M3051">
        <v>0</v>
      </c>
    </row>
    <row r="3052" spans="1:13">
      <c r="A3052">
        <v>3050</v>
      </c>
      <c r="B3052" t="s">
        <v>431</v>
      </c>
      <c r="C3052" t="s">
        <v>82</v>
      </c>
      <c r="D3052" t="s">
        <v>83</v>
      </c>
      <c r="E3052" t="s">
        <v>349</v>
      </c>
      <c r="F3052">
        <v>40960</v>
      </c>
      <c r="G3052">
        <f>MAX(I3049,I3051)</f>
        <v>5587756</v>
      </c>
      <c r="H3052">
        <f>CEILING((dram_access_latency+F3052/dram_bandwidth)*frequency,1)</f>
        <v>740</v>
      </c>
      <c r="I3052">
        <f>G3052+H3052</f>
        <v>5588496</v>
      </c>
      <c r="J3052">
        <f>IF(AND(D3052&lt;&gt;"dram",D3052&lt;&gt;"control"),H3052,0)</f>
        <v>0</v>
      </c>
      <c r="K3052">
        <f>IF(D3052="dram",H3052,0)</f>
        <v>740</v>
      </c>
      <c r="L3052">
        <v>40960</v>
      </c>
      <c r="M3052">
        <v>0</v>
      </c>
    </row>
    <row r="3053" spans="1:13">
      <c r="A3053">
        <v>3051</v>
      </c>
      <c r="B3053" t="s">
        <v>65</v>
      </c>
      <c r="C3053" t="s">
        <v>90</v>
      </c>
      <c r="D3053" t="s">
        <v>287</v>
      </c>
      <c r="E3053" t="s">
        <v>349</v>
      </c>
      <c r="F3053">
        <v>0</v>
      </c>
      <c r="G3053">
        <f>MAX(I3048,I2846,I3051,I2848,I3052,I3050)</f>
        <v>5609241</v>
      </c>
      <c r="H3053">
        <f>'Operations'!I29</f>
        <v>42245</v>
      </c>
      <c r="I3053">
        <f>G3053+H3053</f>
        <v>5651486</v>
      </c>
      <c r="J3053">
        <f>IF(AND(D3053&lt;&gt;"dram",D3053&lt;&gt;"control"),H3053,0)</f>
        <v>42245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432</v>
      </c>
      <c r="C3054" t="s">
        <v>88</v>
      </c>
      <c r="D3054" t="s">
        <v>89</v>
      </c>
      <c r="E3054" t="s">
        <v>349</v>
      </c>
      <c r="F3054">
        <v>0</v>
      </c>
      <c r="G3054">
        <f>MAX(I3049,I3048)</f>
        <v>5566996</v>
      </c>
      <c r="H3054">
        <f>0</f>
        <v>42245</v>
      </c>
      <c r="I3054">
        <f>G3054+H3054</f>
        <v>5609241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433</v>
      </c>
      <c r="C3055" t="s">
        <v>92</v>
      </c>
      <c r="D3055" t="s">
        <v>83</v>
      </c>
      <c r="E3055" t="s">
        <v>349</v>
      </c>
      <c r="F3055">
        <v>5120</v>
      </c>
      <c r="G3055">
        <f>MAX(I3054,I3052)</f>
        <v>5609241</v>
      </c>
      <c r="H3055">
        <f>CEILING((dram_access_latency+F3055/dram_bandwidth)*frequency,1)</f>
        <v>180</v>
      </c>
      <c r="I3055">
        <f>G3055+H3055</f>
        <v>5609421</v>
      </c>
      <c r="J3055">
        <f>IF(AND(D3055&lt;&gt;"dram",D3055&lt;&gt;"control"),H3055,0)</f>
        <v>0</v>
      </c>
      <c r="K3055">
        <f>IF(D3055="dram",H3055,0)</f>
        <v>180</v>
      </c>
      <c r="L3055">
        <v>0</v>
      </c>
      <c r="M3055">
        <v>5120</v>
      </c>
    </row>
    <row r="3056" spans="1:13">
      <c r="A3056">
        <v>3054</v>
      </c>
      <c r="B3056" t="s">
        <v>429</v>
      </c>
      <c r="C3056" t="s">
        <v>82</v>
      </c>
      <c r="D3056" t="s">
        <v>83</v>
      </c>
      <c r="E3056" t="s">
        <v>350</v>
      </c>
      <c r="F3056">
        <v>1310720</v>
      </c>
      <c r="G3056">
        <f>MAX(I3054,I3055)</f>
        <v>5609421</v>
      </c>
      <c r="H3056">
        <f>CEILING((dram_access_latency+F3056/dram_bandwidth)*frequency,1)</f>
        <v>20580</v>
      </c>
      <c r="I3056">
        <f>G3056+H3056</f>
        <v>5630001</v>
      </c>
      <c r="J3056">
        <f>IF(AND(D3056&lt;&gt;"dram",D3056&lt;&gt;"control"),H3056,0)</f>
        <v>0</v>
      </c>
      <c r="K3056">
        <f>IF(D3056="dram",H3056,0)</f>
        <v>20580</v>
      </c>
      <c r="L3056">
        <v>1310720</v>
      </c>
      <c r="M3056">
        <v>0</v>
      </c>
    </row>
    <row r="3057" spans="1:13">
      <c r="A3057">
        <v>3055</v>
      </c>
      <c r="B3057" t="s">
        <v>431</v>
      </c>
      <c r="C3057" t="s">
        <v>82</v>
      </c>
      <c r="D3057" t="s">
        <v>83</v>
      </c>
      <c r="E3057" t="s">
        <v>350</v>
      </c>
      <c r="F3057">
        <v>40960</v>
      </c>
      <c r="G3057">
        <f>MAX(I3054,I3056)</f>
        <v>5630001</v>
      </c>
      <c r="H3057">
        <f>CEILING((dram_access_latency+F3057/dram_bandwidth)*frequency,1)</f>
        <v>740</v>
      </c>
      <c r="I3057">
        <f>G3057+H3057</f>
        <v>5630741</v>
      </c>
      <c r="J3057">
        <f>IF(AND(D3057&lt;&gt;"dram",D3057&lt;&gt;"control"),H3057,0)</f>
        <v>0</v>
      </c>
      <c r="K3057">
        <f>IF(D3057="dram",H3057,0)</f>
        <v>740</v>
      </c>
      <c r="L3057">
        <v>40960</v>
      </c>
      <c r="M3057">
        <v>0</v>
      </c>
    </row>
    <row r="3058" spans="1:13">
      <c r="A3058">
        <v>3056</v>
      </c>
      <c r="B3058" t="s">
        <v>65</v>
      </c>
      <c r="C3058" t="s">
        <v>90</v>
      </c>
      <c r="D3058" t="s">
        <v>287</v>
      </c>
      <c r="E3058" t="s">
        <v>350</v>
      </c>
      <c r="F3058">
        <v>0</v>
      </c>
      <c r="G3058">
        <f>MAX(I3053,I2846,I3056,I2848,I3057,I3055)</f>
        <v>5651486</v>
      </c>
      <c r="H3058">
        <f>'Operations'!I29</f>
        <v>42245</v>
      </c>
      <c r="I3058">
        <f>G3058+H3058</f>
        <v>5693731</v>
      </c>
      <c r="J3058">
        <f>IF(AND(D3058&lt;&gt;"dram",D3058&lt;&gt;"control"),H3058,0)</f>
        <v>42245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432</v>
      </c>
      <c r="C3059" t="s">
        <v>88</v>
      </c>
      <c r="D3059" t="s">
        <v>89</v>
      </c>
      <c r="E3059" t="s">
        <v>350</v>
      </c>
      <c r="F3059">
        <v>0</v>
      </c>
      <c r="G3059">
        <f>MAX(I3054,I3053)</f>
        <v>5609241</v>
      </c>
      <c r="H3059">
        <f>0</f>
        <v>42245</v>
      </c>
      <c r="I3059">
        <f>G3059+H3059</f>
        <v>5651486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433</v>
      </c>
      <c r="C3060" t="s">
        <v>92</v>
      </c>
      <c r="D3060" t="s">
        <v>83</v>
      </c>
      <c r="E3060" t="s">
        <v>350</v>
      </c>
      <c r="F3060">
        <v>5120</v>
      </c>
      <c r="G3060">
        <f>MAX(I3059,I3057)</f>
        <v>5651486</v>
      </c>
      <c r="H3060">
        <f>CEILING((dram_access_latency+F3060/dram_bandwidth)*frequency,1)</f>
        <v>180</v>
      </c>
      <c r="I3060">
        <f>G3060+H3060</f>
        <v>5651666</v>
      </c>
      <c r="J3060">
        <f>IF(AND(D3060&lt;&gt;"dram",D3060&lt;&gt;"control"),H3060,0)</f>
        <v>0</v>
      </c>
      <c r="K3060">
        <f>IF(D3060="dram",H3060,0)</f>
        <v>180</v>
      </c>
      <c r="L3060">
        <v>0</v>
      </c>
      <c r="M3060">
        <v>5120</v>
      </c>
    </row>
    <row r="3061" spans="1:13">
      <c r="A3061">
        <v>3059</v>
      </c>
      <c r="B3061" t="s">
        <v>429</v>
      </c>
      <c r="C3061" t="s">
        <v>82</v>
      </c>
      <c r="D3061" t="s">
        <v>83</v>
      </c>
      <c r="E3061" t="s">
        <v>376</v>
      </c>
      <c r="F3061">
        <v>1310720</v>
      </c>
      <c r="G3061">
        <f>MAX(I3059,I3060)</f>
        <v>5651666</v>
      </c>
      <c r="H3061">
        <f>CEILING((dram_access_latency+F3061/dram_bandwidth)*frequency,1)</f>
        <v>20580</v>
      </c>
      <c r="I3061">
        <f>G3061+H3061</f>
        <v>5672246</v>
      </c>
      <c r="J3061">
        <f>IF(AND(D3061&lt;&gt;"dram",D3061&lt;&gt;"control"),H3061,0)</f>
        <v>0</v>
      </c>
      <c r="K3061">
        <f>IF(D3061="dram",H3061,0)</f>
        <v>20580</v>
      </c>
      <c r="L3061">
        <v>1310720</v>
      </c>
      <c r="M3061">
        <v>0</v>
      </c>
    </row>
    <row r="3062" spans="1:13">
      <c r="A3062">
        <v>3060</v>
      </c>
      <c r="B3062" t="s">
        <v>431</v>
      </c>
      <c r="C3062" t="s">
        <v>82</v>
      </c>
      <c r="D3062" t="s">
        <v>83</v>
      </c>
      <c r="E3062" t="s">
        <v>376</v>
      </c>
      <c r="F3062">
        <v>40960</v>
      </c>
      <c r="G3062">
        <f>MAX(I3059,I3061)</f>
        <v>5672246</v>
      </c>
      <c r="H3062">
        <f>CEILING((dram_access_latency+F3062/dram_bandwidth)*frequency,1)</f>
        <v>740</v>
      </c>
      <c r="I3062">
        <f>G3062+H3062</f>
        <v>5672986</v>
      </c>
      <c r="J3062">
        <f>IF(AND(D3062&lt;&gt;"dram",D3062&lt;&gt;"control"),H3062,0)</f>
        <v>0</v>
      </c>
      <c r="K3062">
        <f>IF(D3062="dram",H3062,0)</f>
        <v>740</v>
      </c>
      <c r="L3062">
        <v>40960</v>
      </c>
      <c r="M3062">
        <v>0</v>
      </c>
    </row>
    <row r="3063" spans="1:13">
      <c r="A3063">
        <v>3061</v>
      </c>
      <c r="B3063" t="s">
        <v>65</v>
      </c>
      <c r="C3063" t="s">
        <v>90</v>
      </c>
      <c r="D3063" t="s">
        <v>287</v>
      </c>
      <c r="E3063" t="s">
        <v>376</v>
      </c>
      <c r="F3063">
        <v>0</v>
      </c>
      <c r="G3063">
        <f>MAX(I3058,I2846,I3061,I2848,I3062,I3060)</f>
        <v>5693731</v>
      </c>
      <c r="H3063">
        <f>'Operations'!I29</f>
        <v>42245</v>
      </c>
      <c r="I3063">
        <f>G3063+H3063</f>
        <v>5735976</v>
      </c>
      <c r="J3063">
        <f>IF(AND(D3063&lt;&gt;"dram",D3063&lt;&gt;"control"),H3063,0)</f>
        <v>42245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432</v>
      </c>
      <c r="C3064" t="s">
        <v>88</v>
      </c>
      <c r="D3064" t="s">
        <v>89</v>
      </c>
      <c r="E3064" t="s">
        <v>376</v>
      </c>
      <c r="F3064">
        <v>0</v>
      </c>
      <c r="G3064">
        <f>MAX(I3059,I3058)</f>
        <v>5651486</v>
      </c>
      <c r="H3064">
        <f>0</f>
        <v>42245</v>
      </c>
      <c r="I3064">
        <f>G3064+H3064</f>
        <v>5693731</v>
      </c>
      <c r="J3064">
        <f>IF(AND(D3064&lt;&gt;"dram",D3064&lt;&gt;"control"),H3064,0)</f>
        <v>0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433</v>
      </c>
      <c r="C3065" t="s">
        <v>92</v>
      </c>
      <c r="D3065" t="s">
        <v>83</v>
      </c>
      <c r="E3065" t="s">
        <v>376</v>
      </c>
      <c r="F3065">
        <v>5120</v>
      </c>
      <c r="G3065">
        <f>MAX(I3064,I3062)</f>
        <v>5693731</v>
      </c>
      <c r="H3065">
        <f>CEILING((dram_access_latency+F3065/dram_bandwidth)*frequency,1)</f>
        <v>180</v>
      </c>
      <c r="I3065">
        <f>G3065+H3065</f>
        <v>5693911</v>
      </c>
      <c r="J3065">
        <f>IF(AND(D3065&lt;&gt;"dram",D3065&lt;&gt;"control"),H3065,0)</f>
        <v>0</v>
      </c>
      <c r="K3065">
        <f>IF(D3065="dram",H3065,0)</f>
        <v>180</v>
      </c>
      <c r="L3065">
        <v>0</v>
      </c>
      <c r="M3065">
        <v>5120</v>
      </c>
    </row>
    <row r="3066" spans="1:13">
      <c r="A3066">
        <v>3064</v>
      </c>
      <c r="B3066" t="s">
        <v>429</v>
      </c>
      <c r="C3066" t="s">
        <v>82</v>
      </c>
      <c r="D3066" t="s">
        <v>83</v>
      </c>
      <c r="E3066" t="s">
        <v>379</v>
      </c>
      <c r="F3066">
        <v>1310720</v>
      </c>
      <c r="G3066">
        <f>MAX(I3064,I3065)</f>
        <v>5693911</v>
      </c>
      <c r="H3066">
        <f>CEILING((dram_access_latency+F3066/dram_bandwidth)*frequency,1)</f>
        <v>20580</v>
      </c>
      <c r="I3066">
        <f>G3066+H3066</f>
        <v>5714491</v>
      </c>
      <c r="J3066">
        <f>IF(AND(D3066&lt;&gt;"dram",D3066&lt;&gt;"control"),H3066,0)</f>
        <v>0</v>
      </c>
      <c r="K3066">
        <f>IF(D3066="dram",H3066,0)</f>
        <v>20580</v>
      </c>
      <c r="L3066">
        <v>1310720</v>
      </c>
      <c r="M3066">
        <v>0</v>
      </c>
    </row>
    <row r="3067" spans="1:13">
      <c r="A3067">
        <v>3065</v>
      </c>
      <c r="B3067" t="s">
        <v>431</v>
      </c>
      <c r="C3067" t="s">
        <v>82</v>
      </c>
      <c r="D3067" t="s">
        <v>83</v>
      </c>
      <c r="E3067" t="s">
        <v>379</v>
      </c>
      <c r="F3067">
        <v>40960</v>
      </c>
      <c r="G3067">
        <f>MAX(I3064,I3066)</f>
        <v>5714491</v>
      </c>
      <c r="H3067">
        <f>CEILING((dram_access_latency+F3067/dram_bandwidth)*frequency,1)</f>
        <v>740</v>
      </c>
      <c r="I3067">
        <f>G3067+H3067</f>
        <v>5715231</v>
      </c>
      <c r="J3067">
        <f>IF(AND(D3067&lt;&gt;"dram",D3067&lt;&gt;"control"),H3067,0)</f>
        <v>0</v>
      </c>
      <c r="K3067">
        <f>IF(D3067="dram",H3067,0)</f>
        <v>740</v>
      </c>
      <c r="L3067">
        <v>40960</v>
      </c>
      <c r="M3067">
        <v>0</v>
      </c>
    </row>
    <row r="3068" spans="1:13">
      <c r="A3068">
        <v>3066</v>
      </c>
      <c r="B3068" t="s">
        <v>65</v>
      </c>
      <c r="C3068" t="s">
        <v>90</v>
      </c>
      <c r="D3068" t="s">
        <v>287</v>
      </c>
      <c r="E3068" t="s">
        <v>379</v>
      </c>
      <c r="F3068">
        <v>0</v>
      </c>
      <c r="G3068">
        <f>MAX(I3063,I2846,I3066,I2848,I3067,I3065)</f>
        <v>5735976</v>
      </c>
      <c r="H3068">
        <f>'Operations'!I29</f>
        <v>42245</v>
      </c>
      <c r="I3068">
        <f>G3068+H3068</f>
        <v>5778221</v>
      </c>
      <c r="J3068">
        <f>IF(AND(D3068&lt;&gt;"dram",D3068&lt;&gt;"control"),H3068,0)</f>
        <v>42245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432</v>
      </c>
      <c r="C3069" t="s">
        <v>88</v>
      </c>
      <c r="D3069" t="s">
        <v>89</v>
      </c>
      <c r="E3069" t="s">
        <v>379</v>
      </c>
      <c r="F3069">
        <v>0</v>
      </c>
      <c r="G3069">
        <f>MAX(I3064,I3063)</f>
        <v>5693731</v>
      </c>
      <c r="H3069">
        <f>0</f>
        <v>42245</v>
      </c>
      <c r="I3069">
        <f>G3069+H3069</f>
        <v>5735976</v>
      </c>
      <c r="J3069">
        <f>IF(AND(D3069&lt;&gt;"dram",D3069&lt;&gt;"control"),H3069,0)</f>
        <v>0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433</v>
      </c>
      <c r="C3070" t="s">
        <v>92</v>
      </c>
      <c r="D3070" t="s">
        <v>83</v>
      </c>
      <c r="E3070" t="s">
        <v>379</v>
      </c>
      <c r="F3070">
        <v>5120</v>
      </c>
      <c r="G3070">
        <f>MAX(I3069,I3067)</f>
        <v>5735976</v>
      </c>
      <c r="H3070">
        <f>CEILING((dram_access_latency+F3070/dram_bandwidth)*frequency,1)</f>
        <v>180</v>
      </c>
      <c r="I3070">
        <f>G3070+H3070</f>
        <v>5736156</v>
      </c>
      <c r="J3070">
        <f>IF(AND(D3070&lt;&gt;"dram",D3070&lt;&gt;"control"),H3070,0)</f>
        <v>0</v>
      </c>
      <c r="K3070">
        <f>IF(D3070="dram",H3070,0)</f>
        <v>180</v>
      </c>
      <c r="L3070">
        <v>0</v>
      </c>
      <c r="M3070">
        <v>5120</v>
      </c>
    </row>
    <row r="3071" spans="1:13">
      <c r="A3071">
        <v>3069</v>
      </c>
      <c r="B3071" t="s">
        <v>429</v>
      </c>
      <c r="C3071" t="s">
        <v>82</v>
      </c>
      <c r="D3071" t="s">
        <v>83</v>
      </c>
      <c r="E3071" t="s">
        <v>380</v>
      </c>
      <c r="F3071">
        <v>1310720</v>
      </c>
      <c r="G3071">
        <f>MAX(I3069,I3070)</f>
        <v>5736156</v>
      </c>
      <c r="H3071">
        <f>CEILING((dram_access_latency+F3071/dram_bandwidth)*frequency,1)</f>
        <v>20580</v>
      </c>
      <c r="I3071">
        <f>G3071+H3071</f>
        <v>5756736</v>
      </c>
      <c r="J3071">
        <f>IF(AND(D3071&lt;&gt;"dram",D3071&lt;&gt;"control"),H3071,0)</f>
        <v>0</v>
      </c>
      <c r="K3071">
        <f>IF(D3071="dram",H3071,0)</f>
        <v>20580</v>
      </c>
      <c r="L3071">
        <v>1310720</v>
      </c>
      <c r="M3071">
        <v>0</v>
      </c>
    </row>
    <row r="3072" spans="1:13">
      <c r="A3072">
        <v>3070</v>
      </c>
      <c r="B3072" t="s">
        <v>431</v>
      </c>
      <c r="C3072" t="s">
        <v>82</v>
      </c>
      <c r="D3072" t="s">
        <v>83</v>
      </c>
      <c r="E3072" t="s">
        <v>380</v>
      </c>
      <c r="F3072">
        <v>40960</v>
      </c>
      <c r="G3072">
        <f>MAX(I3069,I3071)</f>
        <v>5756736</v>
      </c>
      <c r="H3072">
        <f>CEILING((dram_access_latency+F3072/dram_bandwidth)*frequency,1)</f>
        <v>740</v>
      </c>
      <c r="I3072">
        <f>G3072+H3072</f>
        <v>5757476</v>
      </c>
      <c r="J3072">
        <f>IF(AND(D3072&lt;&gt;"dram",D3072&lt;&gt;"control"),H3072,0)</f>
        <v>0</v>
      </c>
      <c r="K3072">
        <f>IF(D3072="dram",H3072,0)</f>
        <v>740</v>
      </c>
      <c r="L3072">
        <v>40960</v>
      </c>
      <c r="M3072">
        <v>0</v>
      </c>
    </row>
    <row r="3073" spans="1:13">
      <c r="A3073">
        <v>3071</v>
      </c>
      <c r="B3073" t="s">
        <v>65</v>
      </c>
      <c r="C3073" t="s">
        <v>90</v>
      </c>
      <c r="D3073" t="s">
        <v>287</v>
      </c>
      <c r="E3073" t="s">
        <v>380</v>
      </c>
      <c r="F3073">
        <v>0</v>
      </c>
      <c r="G3073">
        <f>MAX(I3068,I2846,I3071,I2848,I3072,I3070)</f>
        <v>5778221</v>
      </c>
      <c r="H3073">
        <f>'Operations'!I29</f>
        <v>42245</v>
      </c>
      <c r="I3073">
        <f>G3073+H3073</f>
        <v>5820466</v>
      </c>
      <c r="J3073">
        <f>IF(AND(D3073&lt;&gt;"dram",D3073&lt;&gt;"control"),H3073,0)</f>
        <v>42245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432</v>
      </c>
      <c r="C3074" t="s">
        <v>88</v>
      </c>
      <c r="D3074" t="s">
        <v>89</v>
      </c>
      <c r="E3074" t="s">
        <v>380</v>
      </c>
      <c r="F3074">
        <v>0</v>
      </c>
      <c r="G3074">
        <f>MAX(I3069,I3068)</f>
        <v>5735976</v>
      </c>
      <c r="H3074">
        <f>0</f>
        <v>42245</v>
      </c>
      <c r="I3074">
        <f>G3074+H3074</f>
        <v>5778221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433</v>
      </c>
      <c r="C3075" t="s">
        <v>92</v>
      </c>
      <c r="D3075" t="s">
        <v>83</v>
      </c>
      <c r="E3075" t="s">
        <v>380</v>
      </c>
      <c r="F3075">
        <v>5120</v>
      </c>
      <c r="G3075">
        <f>MAX(I3074,I3072)</f>
        <v>5778221</v>
      </c>
      <c r="H3075">
        <f>CEILING((dram_access_latency+F3075/dram_bandwidth)*frequency,1)</f>
        <v>180</v>
      </c>
      <c r="I3075">
        <f>G3075+H3075</f>
        <v>5778401</v>
      </c>
      <c r="J3075">
        <f>IF(AND(D3075&lt;&gt;"dram",D3075&lt;&gt;"control"),H3075,0)</f>
        <v>0</v>
      </c>
      <c r="K3075">
        <f>IF(D3075="dram",H3075,0)</f>
        <v>180</v>
      </c>
      <c r="L3075">
        <v>0</v>
      </c>
      <c r="M3075">
        <v>5120</v>
      </c>
    </row>
    <row r="3076" spans="1:13">
      <c r="A3076">
        <v>3074</v>
      </c>
      <c r="B3076" t="s">
        <v>429</v>
      </c>
      <c r="C3076" t="s">
        <v>82</v>
      </c>
      <c r="D3076" t="s">
        <v>83</v>
      </c>
      <c r="E3076" t="s">
        <v>381</v>
      </c>
      <c r="F3076">
        <v>1310720</v>
      </c>
      <c r="G3076">
        <f>MAX(I3074,I3075)</f>
        <v>5778401</v>
      </c>
      <c r="H3076">
        <f>CEILING((dram_access_latency+F3076/dram_bandwidth)*frequency,1)</f>
        <v>20580</v>
      </c>
      <c r="I3076">
        <f>G3076+H3076</f>
        <v>5798981</v>
      </c>
      <c r="J3076">
        <f>IF(AND(D3076&lt;&gt;"dram",D3076&lt;&gt;"control"),H3076,0)</f>
        <v>0</v>
      </c>
      <c r="K3076">
        <f>IF(D3076="dram",H3076,0)</f>
        <v>20580</v>
      </c>
      <c r="L3076">
        <v>1310720</v>
      </c>
      <c r="M3076">
        <v>0</v>
      </c>
    </row>
    <row r="3077" spans="1:13">
      <c r="A3077">
        <v>3075</v>
      </c>
      <c r="B3077" t="s">
        <v>431</v>
      </c>
      <c r="C3077" t="s">
        <v>82</v>
      </c>
      <c r="D3077" t="s">
        <v>83</v>
      </c>
      <c r="E3077" t="s">
        <v>381</v>
      </c>
      <c r="F3077">
        <v>40960</v>
      </c>
      <c r="G3077">
        <f>MAX(I3074,I3076)</f>
        <v>5798981</v>
      </c>
      <c r="H3077">
        <f>CEILING((dram_access_latency+F3077/dram_bandwidth)*frequency,1)</f>
        <v>740</v>
      </c>
      <c r="I3077">
        <f>G3077+H3077</f>
        <v>5799721</v>
      </c>
      <c r="J3077">
        <f>IF(AND(D3077&lt;&gt;"dram",D3077&lt;&gt;"control"),H3077,0)</f>
        <v>0</v>
      </c>
      <c r="K3077">
        <f>IF(D3077="dram",H3077,0)</f>
        <v>740</v>
      </c>
      <c r="L3077">
        <v>40960</v>
      </c>
      <c r="M3077">
        <v>0</v>
      </c>
    </row>
    <row r="3078" spans="1:13">
      <c r="A3078">
        <v>3076</v>
      </c>
      <c r="B3078" t="s">
        <v>65</v>
      </c>
      <c r="C3078" t="s">
        <v>90</v>
      </c>
      <c r="D3078" t="s">
        <v>287</v>
      </c>
      <c r="E3078" t="s">
        <v>381</v>
      </c>
      <c r="F3078">
        <v>0</v>
      </c>
      <c r="G3078">
        <f>MAX(I3073,I2846,I3076,I2848,I3077,I3075)</f>
        <v>5820466</v>
      </c>
      <c r="H3078">
        <f>'Operations'!I29</f>
        <v>42245</v>
      </c>
      <c r="I3078">
        <f>G3078+H3078</f>
        <v>5862711</v>
      </c>
      <c r="J3078">
        <f>IF(AND(D3078&lt;&gt;"dram",D3078&lt;&gt;"control"),H3078,0)</f>
        <v>42245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432</v>
      </c>
      <c r="C3079" t="s">
        <v>88</v>
      </c>
      <c r="D3079" t="s">
        <v>89</v>
      </c>
      <c r="E3079" t="s">
        <v>381</v>
      </c>
      <c r="F3079">
        <v>0</v>
      </c>
      <c r="G3079">
        <f>MAX(I3074,I3073)</f>
        <v>5778221</v>
      </c>
      <c r="H3079">
        <f>0</f>
        <v>42245</v>
      </c>
      <c r="I3079">
        <f>G3079+H3079</f>
        <v>5820466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433</v>
      </c>
      <c r="C3080" t="s">
        <v>92</v>
      </c>
      <c r="D3080" t="s">
        <v>83</v>
      </c>
      <c r="E3080" t="s">
        <v>381</v>
      </c>
      <c r="F3080">
        <v>5120</v>
      </c>
      <c r="G3080">
        <f>MAX(I3079,I3077)</f>
        <v>5820466</v>
      </c>
      <c r="H3080">
        <f>CEILING((dram_access_latency+F3080/dram_bandwidth)*frequency,1)</f>
        <v>180</v>
      </c>
      <c r="I3080">
        <f>G3080+H3080</f>
        <v>5820646</v>
      </c>
      <c r="J3080">
        <f>IF(AND(D3080&lt;&gt;"dram",D3080&lt;&gt;"control"),H3080,0)</f>
        <v>0</v>
      </c>
      <c r="K3080">
        <f>IF(D3080="dram",H3080,0)</f>
        <v>180</v>
      </c>
      <c r="L3080">
        <v>0</v>
      </c>
      <c r="M3080">
        <v>5120</v>
      </c>
    </row>
    <row r="3081" spans="1:13">
      <c r="A3081">
        <v>3079</v>
      </c>
      <c r="B3081" t="s">
        <v>429</v>
      </c>
      <c r="C3081" t="s">
        <v>82</v>
      </c>
      <c r="D3081" t="s">
        <v>83</v>
      </c>
      <c r="E3081" t="s">
        <v>382</v>
      </c>
      <c r="F3081">
        <v>1310720</v>
      </c>
      <c r="G3081">
        <f>MAX(I3079,I3080)</f>
        <v>5820646</v>
      </c>
      <c r="H3081">
        <f>CEILING((dram_access_latency+F3081/dram_bandwidth)*frequency,1)</f>
        <v>20580</v>
      </c>
      <c r="I3081">
        <f>G3081+H3081</f>
        <v>5841226</v>
      </c>
      <c r="J3081">
        <f>IF(AND(D3081&lt;&gt;"dram",D3081&lt;&gt;"control"),H3081,0)</f>
        <v>0</v>
      </c>
      <c r="K3081">
        <f>IF(D3081="dram",H3081,0)</f>
        <v>20580</v>
      </c>
      <c r="L3081">
        <v>1310720</v>
      </c>
      <c r="M3081">
        <v>0</v>
      </c>
    </row>
    <row r="3082" spans="1:13">
      <c r="A3082">
        <v>3080</v>
      </c>
      <c r="B3082" t="s">
        <v>431</v>
      </c>
      <c r="C3082" t="s">
        <v>82</v>
      </c>
      <c r="D3082" t="s">
        <v>83</v>
      </c>
      <c r="E3082" t="s">
        <v>382</v>
      </c>
      <c r="F3082">
        <v>40960</v>
      </c>
      <c r="G3082">
        <f>MAX(I3079,I3081)</f>
        <v>5841226</v>
      </c>
      <c r="H3082">
        <f>CEILING((dram_access_latency+F3082/dram_bandwidth)*frequency,1)</f>
        <v>740</v>
      </c>
      <c r="I3082">
        <f>G3082+H3082</f>
        <v>5841966</v>
      </c>
      <c r="J3082">
        <f>IF(AND(D3082&lt;&gt;"dram",D3082&lt;&gt;"control"),H3082,0)</f>
        <v>0</v>
      </c>
      <c r="K3082">
        <f>IF(D3082="dram",H3082,0)</f>
        <v>740</v>
      </c>
      <c r="L3082">
        <v>40960</v>
      </c>
      <c r="M3082">
        <v>0</v>
      </c>
    </row>
    <row r="3083" spans="1:13">
      <c r="A3083">
        <v>3081</v>
      </c>
      <c r="B3083" t="s">
        <v>65</v>
      </c>
      <c r="C3083" t="s">
        <v>90</v>
      </c>
      <c r="D3083" t="s">
        <v>287</v>
      </c>
      <c r="E3083" t="s">
        <v>382</v>
      </c>
      <c r="F3083">
        <v>0</v>
      </c>
      <c r="G3083">
        <f>MAX(I3078,I2846,I3081,I2848,I3082,I3080)</f>
        <v>5862711</v>
      </c>
      <c r="H3083">
        <f>'Operations'!I29</f>
        <v>42245</v>
      </c>
      <c r="I3083">
        <f>G3083+H3083</f>
        <v>5904956</v>
      </c>
      <c r="J3083">
        <f>IF(AND(D3083&lt;&gt;"dram",D3083&lt;&gt;"control"),H3083,0)</f>
        <v>42245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432</v>
      </c>
      <c r="C3084" t="s">
        <v>88</v>
      </c>
      <c r="D3084" t="s">
        <v>89</v>
      </c>
      <c r="E3084" t="s">
        <v>382</v>
      </c>
      <c r="F3084">
        <v>0</v>
      </c>
      <c r="G3084">
        <f>MAX(I3079,I3078)</f>
        <v>5820466</v>
      </c>
      <c r="H3084">
        <f>0</f>
        <v>42245</v>
      </c>
      <c r="I3084">
        <f>G3084+H3084</f>
        <v>5862711</v>
      </c>
      <c r="J3084">
        <f>IF(AND(D3084&lt;&gt;"dram",D3084&lt;&gt;"control"),H3084,0)</f>
        <v>0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433</v>
      </c>
      <c r="C3085" t="s">
        <v>92</v>
      </c>
      <c r="D3085" t="s">
        <v>83</v>
      </c>
      <c r="E3085" t="s">
        <v>382</v>
      </c>
      <c r="F3085">
        <v>5120</v>
      </c>
      <c r="G3085">
        <f>MAX(I3084,I3082)</f>
        <v>5862711</v>
      </c>
      <c r="H3085">
        <f>CEILING((dram_access_latency+F3085/dram_bandwidth)*frequency,1)</f>
        <v>180</v>
      </c>
      <c r="I3085">
        <f>G3085+H3085</f>
        <v>5862891</v>
      </c>
      <c r="J3085">
        <f>IF(AND(D3085&lt;&gt;"dram",D3085&lt;&gt;"control"),H3085,0)</f>
        <v>0</v>
      </c>
      <c r="K3085">
        <f>IF(D3085="dram",H3085,0)</f>
        <v>180</v>
      </c>
      <c r="L3085">
        <v>0</v>
      </c>
      <c r="M3085">
        <v>5120</v>
      </c>
    </row>
    <row r="3086" spans="1:13">
      <c r="A3086">
        <v>3084</v>
      </c>
      <c r="B3086" t="s">
        <v>429</v>
      </c>
      <c r="C3086" t="s">
        <v>82</v>
      </c>
      <c r="D3086" t="s">
        <v>83</v>
      </c>
      <c r="E3086" t="s">
        <v>383</v>
      </c>
      <c r="F3086">
        <v>1310720</v>
      </c>
      <c r="G3086">
        <f>MAX(I3084,I3085)</f>
        <v>5862891</v>
      </c>
      <c r="H3086">
        <f>CEILING((dram_access_latency+F3086/dram_bandwidth)*frequency,1)</f>
        <v>20580</v>
      </c>
      <c r="I3086">
        <f>G3086+H3086</f>
        <v>5883471</v>
      </c>
      <c r="J3086">
        <f>IF(AND(D3086&lt;&gt;"dram",D3086&lt;&gt;"control"),H3086,0)</f>
        <v>0</v>
      </c>
      <c r="K3086">
        <f>IF(D3086="dram",H3086,0)</f>
        <v>20580</v>
      </c>
      <c r="L3086">
        <v>1310720</v>
      </c>
      <c r="M3086">
        <v>0</v>
      </c>
    </row>
    <row r="3087" spans="1:13">
      <c r="A3087">
        <v>3085</v>
      </c>
      <c r="B3087" t="s">
        <v>431</v>
      </c>
      <c r="C3087" t="s">
        <v>82</v>
      </c>
      <c r="D3087" t="s">
        <v>83</v>
      </c>
      <c r="E3087" t="s">
        <v>383</v>
      </c>
      <c r="F3087">
        <v>40960</v>
      </c>
      <c r="G3087">
        <f>MAX(I3084,I3086)</f>
        <v>5883471</v>
      </c>
      <c r="H3087">
        <f>CEILING((dram_access_latency+F3087/dram_bandwidth)*frequency,1)</f>
        <v>740</v>
      </c>
      <c r="I3087">
        <f>G3087+H3087</f>
        <v>5884211</v>
      </c>
      <c r="J3087">
        <f>IF(AND(D3087&lt;&gt;"dram",D3087&lt;&gt;"control"),H3087,0)</f>
        <v>0</v>
      </c>
      <c r="K3087">
        <f>IF(D3087="dram",H3087,0)</f>
        <v>740</v>
      </c>
      <c r="L3087">
        <v>40960</v>
      </c>
      <c r="M3087">
        <v>0</v>
      </c>
    </row>
    <row r="3088" spans="1:13">
      <c r="A3088">
        <v>3086</v>
      </c>
      <c r="B3088" t="s">
        <v>65</v>
      </c>
      <c r="C3088" t="s">
        <v>90</v>
      </c>
      <c r="D3088" t="s">
        <v>287</v>
      </c>
      <c r="E3088" t="s">
        <v>383</v>
      </c>
      <c r="F3088">
        <v>0</v>
      </c>
      <c r="G3088">
        <f>MAX(I3083,I2846,I3086,I2848,I3087,I3085)</f>
        <v>5904956</v>
      </c>
      <c r="H3088">
        <f>'Operations'!I29</f>
        <v>42245</v>
      </c>
      <c r="I3088">
        <f>G3088+H3088</f>
        <v>5947201</v>
      </c>
      <c r="J3088">
        <f>IF(AND(D3088&lt;&gt;"dram",D3088&lt;&gt;"control"),H3088,0)</f>
        <v>42245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432</v>
      </c>
      <c r="C3089" t="s">
        <v>88</v>
      </c>
      <c r="D3089" t="s">
        <v>89</v>
      </c>
      <c r="E3089" t="s">
        <v>383</v>
      </c>
      <c r="F3089">
        <v>0</v>
      </c>
      <c r="G3089">
        <f>MAX(I3084,I3083)</f>
        <v>5862711</v>
      </c>
      <c r="H3089">
        <f>0</f>
        <v>42245</v>
      </c>
      <c r="I3089">
        <f>G3089+H3089</f>
        <v>5904956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433</v>
      </c>
      <c r="C3090" t="s">
        <v>92</v>
      </c>
      <c r="D3090" t="s">
        <v>83</v>
      </c>
      <c r="E3090" t="s">
        <v>383</v>
      </c>
      <c r="F3090">
        <v>5120</v>
      </c>
      <c r="G3090">
        <f>MAX(I3089,I3087)</f>
        <v>5904956</v>
      </c>
      <c r="H3090">
        <f>CEILING((dram_access_latency+F3090/dram_bandwidth)*frequency,1)</f>
        <v>180</v>
      </c>
      <c r="I3090">
        <f>G3090+H3090</f>
        <v>5905136</v>
      </c>
      <c r="J3090">
        <f>IF(AND(D3090&lt;&gt;"dram",D3090&lt;&gt;"control"),H3090,0)</f>
        <v>0</v>
      </c>
      <c r="K3090">
        <f>IF(D3090="dram",H3090,0)</f>
        <v>180</v>
      </c>
      <c r="L3090">
        <v>0</v>
      </c>
      <c r="M3090">
        <v>5120</v>
      </c>
    </row>
    <row r="3091" spans="1:13">
      <c r="A3091">
        <v>3089</v>
      </c>
      <c r="B3091" t="s">
        <v>429</v>
      </c>
      <c r="C3091" t="s">
        <v>82</v>
      </c>
      <c r="D3091" t="s">
        <v>83</v>
      </c>
      <c r="E3091" t="s">
        <v>384</v>
      </c>
      <c r="F3091">
        <v>1310720</v>
      </c>
      <c r="G3091">
        <f>MAX(I3089,I3090)</f>
        <v>5905136</v>
      </c>
      <c r="H3091">
        <f>CEILING((dram_access_latency+F3091/dram_bandwidth)*frequency,1)</f>
        <v>20580</v>
      </c>
      <c r="I3091">
        <f>G3091+H3091</f>
        <v>5925716</v>
      </c>
      <c r="J3091">
        <f>IF(AND(D3091&lt;&gt;"dram",D3091&lt;&gt;"control"),H3091,0)</f>
        <v>0</v>
      </c>
      <c r="K3091">
        <f>IF(D3091="dram",H3091,0)</f>
        <v>20580</v>
      </c>
      <c r="L3091">
        <v>1310720</v>
      </c>
      <c r="M3091">
        <v>0</v>
      </c>
    </row>
    <row r="3092" spans="1:13">
      <c r="A3092">
        <v>3090</v>
      </c>
      <c r="B3092" t="s">
        <v>431</v>
      </c>
      <c r="C3092" t="s">
        <v>82</v>
      </c>
      <c r="D3092" t="s">
        <v>83</v>
      </c>
      <c r="E3092" t="s">
        <v>384</v>
      </c>
      <c r="F3092">
        <v>40960</v>
      </c>
      <c r="G3092">
        <f>MAX(I3089,I3091)</f>
        <v>5925716</v>
      </c>
      <c r="H3092">
        <f>CEILING((dram_access_latency+F3092/dram_bandwidth)*frequency,1)</f>
        <v>740</v>
      </c>
      <c r="I3092">
        <f>G3092+H3092</f>
        <v>5926456</v>
      </c>
      <c r="J3092">
        <f>IF(AND(D3092&lt;&gt;"dram",D3092&lt;&gt;"control"),H3092,0)</f>
        <v>0</v>
      </c>
      <c r="K3092">
        <f>IF(D3092="dram",H3092,0)</f>
        <v>740</v>
      </c>
      <c r="L3092">
        <v>40960</v>
      </c>
      <c r="M3092">
        <v>0</v>
      </c>
    </row>
    <row r="3093" spans="1:13">
      <c r="A3093">
        <v>3091</v>
      </c>
      <c r="B3093" t="s">
        <v>65</v>
      </c>
      <c r="C3093" t="s">
        <v>90</v>
      </c>
      <c r="D3093" t="s">
        <v>287</v>
      </c>
      <c r="E3093" t="s">
        <v>384</v>
      </c>
      <c r="F3093">
        <v>0</v>
      </c>
      <c r="G3093">
        <f>MAX(I3088,I2846,I3091,I2848,I3092,I3090)</f>
        <v>5947201</v>
      </c>
      <c r="H3093">
        <f>'Operations'!I29</f>
        <v>42245</v>
      </c>
      <c r="I3093">
        <f>G3093+H3093</f>
        <v>5989446</v>
      </c>
      <c r="J3093">
        <f>IF(AND(D3093&lt;&gt;"dram",D3093&lt;&gt;"control"),H3093,0)</f>
        <v>42245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432</v>
      </c>
      <c r="C3094" t="s">
        <v>88</v>
      </c>
      <c r="D3094" t="s">
        <v>89</v>
      </c>
      <c r="E3094" t="s">
        <v>384</v>
      </c>
      <c r="F3094">
        <v>0</v>
      </c>
      <c r="G3094">
        <f>MAX(I3089,I3088)</f>
        <v>5904956</v>
      </c>
      <c r="H3094">
        <f>0</f>
        <v>42245</v>
      </c>
      <c r="I3094">
        <f>G3094+H3094</f>
        <v>5947201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433</v>
      </c>
      <c r="C3095" t="s">
        <v>92</v>
      </c>
      <c r="D3095" t="s">
        <v>83</v>
      </c>
      <c r="E3095" t="s">
        <v>384</v>
      </c>
      <c r="F3095">
        <v>5120</v>
      </c>
      <c r="G3095">
        <f>MAX(I3094,I3092)</f>
        <v>5947201</v>
      </c>
      <c r="H3095">
        <f>CEILING((dram_access_latency+F3095/dram_bandwidth)*frequency,1)</f>
        <v>180</v>
      </c>
      <c r="I3095">
        <f>G3095+H3095</f>
        <v>5947381</v>
      </c>
      <c r="J3095">
        <f>IF(AND(D3095&lt;&gt;"dram",D3095&lt;&gt;"control"),H3095,0)</f>
        <v>0</v>
      </c>
      <c r="K3095">
        <f>IF(D3095="dram",H3095,0)</f>
        <v>180</v>
      </c>
      <c r="L3095">
        <v>0</v>
      </c>
      <c r="M3095">
        <v>5120</v>
      </c>
    </row>
    <row r="3096" spans="1:13">
      <c r="A3096">
        <v>3094</v>
      </c>
      <c r="B3096" t="s">
        <v>434</v>
      </c>
      <c r="C3096" t="s">
        <v>88</v>
      </c>
      <c r="D3096" t="s">
        <v>89</v>
      </c>
      <c r="E3096" t="s">
        <v>84</v>
      </c>
      <c r="F3096">
        <v>0</v>
      </c>
      <c r="G3096">
        <f>MAX(I3094,I3093)</f>
        <v>5947201</v>
      </c>
      <c r="H3096">
        <f>0</f>
        <v>42245</v>
      </c>
      <c r="I3096">
        <f>G3096+H3096</f>
        <v>5989446</v>
      </c>
      <c r="J3096">
        <f>IF(AND(D3096&lt;&gt;"dram",D3096&lt;&gt;"control"),H3096,0)</f>
        <v>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435</v>
      </c>
      <c r="C3097" t="s">
        <v>92</v>
      </c>
      <c r="D3097" t="s">
        <v>83</v>
      </c>
      <c r="E3097" t="s">
        <v>84</v>
      </c>
      <c r="F3097">
        <v>5120</v>
      </c>
      <c r="G3097">
        <f>MAX(I3096,I3095)</f>
        <v>5989446</v>
      </c>
      <c r="H3097">
        <f>CEILING((dram_access_latency+F3097/dram_bandwidth)*frequency,1)</f>
        <v>180</v>
      </c>
      <c r="I3097">
        <f>G3097+H3097</f>
        <v>5989626</v>
      </c>
      <c r="J3097">
        <f>IF(AND(D3097&lt;&gt;"dram",D3097&lt;&gt;"control"),H3097,0)</f>
        <v>0</v>
      </c>
      <c r="K3097">
        <f>IF(D3097="dram",H3097,0)</f>
        <v>180</v>
      </c>
      <c r="L3097">
        <v>0</v>
      </c>
      <c r="M3097">
        <v>5120</v>
      </c>
    </row>
    <row r="3098" spans="1:13">
      <c r="A3098">
        <v>3096</v>
      </c>
      <c r="B3098" t="s">
        <v>436</v>
      </c>
      <c r="C3098" t="s">
        <v>88</v>
      </c>
      <c r="D3098" t="s">
        <v>89</v>
      </c>
      <c r="E3098" t="s">
        <v>84</v>
      </c>
      <c r="F3098">
        <v>0</v>
      </c>
      <c r="G3098">
        <f>MAX(I3096,I3095)</f>
        <v>5989446</v>
      </c>
      <c r="H3098">
        <f>0</f>
        <v>0</v>
      </c>
      <c r="I3098">
        <f>G3098+H3098</f>
        <v>5989446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437</v>
      </c>
      <c r="C3099" t="s">
        <v>88</v>
      </c>
      <c r="D3099" t="s">
        <v>89</v>
      </c>
      <c r="E3099" t="s">
        <v>84</v>
      </c>
      <c r="F3099">
        <v>0</v>
      </c>
      <c r="G3099">
        <f>MAX(I3098,I3097)</f>
        <v>5989446</v>
      </c>
      <c r="H3099">
        <f>0</f>
        <v>180</v>
      </c>
      <c r="I3099">
        <f>G3099+H3099</f>
        <v>5989626</v>
      </c>
      <c r="J3099">
        <f>IF(AND(D3099&lt;&gt;"dram",D3099&lt;&gt;"control"),H3099,0)</f>
        <v>0</v>
      </c>
      <c r="K3099">
        <f>IF(D3099="dram",H3099,0)</f>
        <v>0</v>
      </c>
      <c r="L3099">
        <v>0</v>
      </c>
      <c r="M309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438</v>
      </c>
    </row>
    <row r="2" spans="1:6">
      <c r="A2" t="s">
        <v>439</v>
      </c>
      <c r="B2">
        <f>MAX(Events!I2:I3099)</f>
        <v>5989626</v>
      </c>
    </row>
    <row r="3" spans="1:6">
      <c r="A3" t="s">
        <v>440</v>
      </c>
      <c r="B3">
        <f>SUM(Events!L2:L3099)</f>
        <v>190549248</v>
      </c>
    </row>
    <row r="4" spans="1:6">
      <c r="A4" t="s">
        <v>441</v>
      </c>
      <c r="B4">
        <f>SUM(Events!M2:M3099)</f>
        <v>10807248</v>
      </c>
    </row>
    <row r="6" spans="1:6">
      <c r="A6" s="1" t="s">
        <v>442</v>
      </c>
    </row>
    <row r="7" spans="1:6">
      <c r="A7" s="1" t="s">
        <v>443</v>
      </c>
      <c r="B7" s="1" t="s">
        <v>444</v>
      </c>
      <c r="C7" s="1" t="s">
        <v>445</v>
      </c>
      <c r="D7" s="1" t="s">
        <v>446</v>
      </c>
      <c r="E7" s="1" t="s">
        <v>447</v>
      </c>
      <c r="F7" s="1" t="s">
        <v>448</v>
      </c>
    </row>
    <row r="8" spans="1:6">
      <c r="A8" t="s">
        <v>449</v>
      </c>
      <c r="B8">
        <v>2</v>
      </c>
      <c r="C8">
        <v>0</v>
      </c>
      <c r="D8">
        <v>1</v>
      </c>
      <c r="E8">
        <v>940</v>
      </c>
      <c r="F8" t="s">
        <v>450</v>
      </c>
    </row>
    <row r="9" spans="1:6">
      <c r="A9" t="s">
        <v>451</v>
      </c>
      <c r="B9">
        <v>1</v>
      </c>
      <c r="C9">
        <v>0</v>
      </c>
      <c r="D9">
        <v>1</v>
      </c>
      <c r="E9">
        <v>9364</v>
      </c>
      <c r="F9" t="s">
        <v>450</v>
      </c>
    </row>
    <row r="10" spans="1:6">
      <c r="A10" t="s">
        <v>452</v>
      </c>
      <c r="B10">
        <v>32</v>
      </c>
      <c r="C10">
        <v>5</v>
      </c>
      <c r="D10">
        <v>30</v>
      </c>
      <c r="E10">
        <v>8453</v>
      </c>
      <c r="F10" t="s">
        <v>453</v>
      </c>
    </row>
    <row r="11" spans="1:6">
      <c r="A11" t="s">
        <v>454</v>
      </c>
      <c r="B11">
        <v>32</v>
      </c>
      <c r="C11">
        <v>5</v>
      </c>
      <c r="D11">
        <v>30</v>
      </c>
      <c r="E11">
        <v>8453</v>
      </c>
      <c r="F11" t="s">
        <v>453</v>
      </c>
    </row>
    <row r="12" spans="1:6">
      <c r="A12" t="s">
        <v>455</v>
      </c>
      <c r="B12">
        <v>32</v>
      </c>
      <c r="C12">
        <v>5</v>
      </c>
      <c r="D12">
        <v>30</v>
      </c>
      <c r="E12">
        <v>8453</v>
      </c>
      <c r="F12" t="s">
        <v>453</v>
      </c>
    </row>
    <row r="13" spans="1:6">
      <c r="A13" t="s">
        <v>456</v>
      </c>
      <c r="B13">
        <v>2</v>
      </c>
      <c r="C13">
        <v>0</v>
      </c>
      <c r="D13">
        <v>1</v>
      </c>
      <c r="E13">
        <v>684</v>
      </c>
      <c r="F13" t="s">
        <v>450</v>
      </c>
    </row>
    <row r="14" spans="1:6">
      <c r="A14" t="s">
        <v>457</v>
      </c>
      <c r="B14">
        <v>2</v>
      </c>
      <c r="C14">
        <v>0</v>
      </c>
      <c r="D14">
        <v>1</v>
      </c>
      <c r="E14">
        <v>1184</v>
      </c>
      <c r="F14" t="s">
        <v>450</v>
      </c>
    </row>
    <row r="15" spans="1:6">
      <c r="A15" t="s">
        <v>458</v>
      </c>
      <c r="B15">
        <v>2</v>
      </c>
      <c r="C15">
        <v>0</v>
      </c>
      <c r="D15">
        <v>1</v>
      </c>
      <c r="E15">
        <v>1838</v>
      </c>
      <c r="F15" t="s">
        <v>450</v>
      </c>
    </row>
    <row r="16" spans="1:6">
      <c r="A16" t="s">
        <v>459</v>
      </c>
      <c r="B16">
        <v>2</v>
      </c>
      <c r="C16">
        <v>0</v>
      </c>
      <c r="D16">
        <v>1</v>
      </c>
      <c r="E16">
        <v>684</v>
      </c>
      <c r="F16" t="s">
        <v>450</v>
      </c>
    </row>
    <row r="17" spans="1:6">
      <c r="A17" t="s">
        <v>460</v>
      </c>
      <c r="B17">
        <v>2</v>
      </c>
      <c r="C17">
        <v>0</v>
      </c>
      <c r="D17">
        <v>1</v>
      </c>
      <c r="E17">
        <v>1184</v>
      </c>
      <c r="F17" t="s">
        <v>450</v>
      </c>
    </row>
    <row r="18" spans="1:6">
      <c r="A18" t="s">
        <v>461</v>
      </c>
      <c r="B18">
        <v>2</v>
      </c>
      <c r="C18">
        <v>0</v>
      </c>
      <c r="D18">
        <v>1</v>
      </c>
      <c r="E18">
        <v>1896</v>
      </c>
      <c r="F18" t="s">
        <v>450</v>
      </c>
    </row>
    <row r="19" spans="1:6">
      <c r="A19" t="s">
        <v>462</v>
      </c>
      <c r="B19">
        <v>16</v>
      </c>
      <c r="C19">
        <v>7</v>
      </c>
      <c r="D19">
        <v>13</v>
      </c>
      <c r="E19">
        <v>7380</v>
      </c>
      <c r="F19" t="s">
        <v>463</v>
      </c>
    </row>
    <row r="20" spans="1:6">
      <c r="A20" t="s">
        <v>464</v>
      </c>
      <c r="B20">
        <v>32</v>
      </c>
      <c r="C20">
        <v>7</v>
      </c>
      <c r="D20">
        <v>29</v>
      </c>
      <c r="E20">
        <v>1527</v>
      </c>
      <c r="F20" t="s">
        <v>465</v>
      </c>
    </row>
    <row r="21" spans="1:6">
      <c r="A21" t="s">
        <v>466</v>
      </c>
      <c r="B21">
        <v>4</v>
      </c>
      <c r="C21">
        <v>0</v>
      </c>
      <c r="D21">
        <v>1</v>
      </c>
      <c r="E21">
        <v>2977</v>
      </c>
      <c r="F21" t="s">
        <v>450</v>
      </c>
    </row>
    <row r="22" spans="1:6">
      <c r="A22" t="s">
        <v>467</v>
      </c>
      <c r="B22">
        <v>1</v>
      </c>
      <c r="C22">
        <v>0</v>
      </c>
      <c r="D22">
        <v>1</v>
      </c>
      <c r="E22">
        <v>274</v>
      </c>
      <c r="F22" t="s">
        <v>450</v>
      </c>
    </row>
    <row r="23" spans="1:6">
      <c r="A23" t="s">
        <v>468</v>
      </c>
      <c r="B23">
        <v>8</v>
      </c>
      <c r="C23">
        <v>7</v>
      </c>
      <c r="D23">
        <v>5</v>
      </c>
      <c r="E23">
        <v>3132</v>
      </c>
      <c r="F23" t="s">
        <v>469</v>
      </c>
    </row>
    <row r="24" spans="1:6">
      <c r="A24" t="s">
        <v>470</v>
      </c>
      <c r="B24">
        <v>32</v>
      </c>
      <c r="C24">
        <v>7</v>
      </c>
      <c r="D24">
        <v>29</v>
      </c>
      <c r="E24">
        <v>719</v>
      </c>
      <c r="F24" t="s">
        <v>465</v>
      </c>
    </row>
    <row r="25" spans="1:6">
      <c r="A25" t="s">
        <v>471</v>
      </c>
      <c r="B25">
        <v>32</v>
      </c>
      <c r="C25">
        <v>9</v>
      </c>
      <c r="D25">
        <v>29</v>
      </c>
      <c r="E25">
        <v>1530</v>
      </c>
      <c r="F25" t="s">
        <v>465</v>
      </c>
    </row>
    <row r="26" spans="1:6">
      <c r="A26" t="s">
        <v>472</v>
      </c>
      <c r="B26">
        <v>32</v>
      </c>
      <c r="C26">
        <v>6</v>
      </c>
      <c r="D26">
        <v>30</v>
      </c>
      <c r="E26">
        <v>8453</v>
      </c>
      <c r="F26" t="s">
        <v>453</v>
      </c>
    </row>
    <row r="27" spans="1:6">
      <c r="A27" t="s">
        <v>473</v>
      </c>
      <c r="B27">
        <v>2</v>
      </c>
      <c r="C27">
        <v>0</v>
      </c>
      <c r="D27">
        <v>1</v>
      </c>
      <c r="E27">
        <v>940</v>
      </c>
      <c r="F27" t="s">
        <v>450</v>
      </c>
    </row>
    <row r="28" spans="1:6">
      <c r="A28" t="s">
        <v>474</v>
      </c>
      <c r="B28">
        <v>1</v>
      </c>
      <c r="C28">
        <v>0</v>
      </c>
      <c r="D28">
        <v>1</v>
      </c>
      <c r="E28">
        <v>9364</v>
      </c>
      <c r="F28" t="s">
        <v>450</v>
      </c>
    </row>
    <row r="29" spans="1:6">
      <c r="A29" t="s">
        <v>475</v>
      </c>
      <c r="B29">
        <v>43</v>
      </c>
      <c r="C29">
        <v>5</v>
      </c>
      <c r="D29">
        <v>41</v>
      </c>
      <c r="E29">
        <v>16901</v>
      </c>
      <c r="F29" t="s">
        <v>476</v>
      </c>
    </row>
    <row r="30" spans="1:6">
      <c r="A30" t="s">
        <v>477</v>
      </c>
      <c r="B30">
        <v>43</v>
      </c>
      <c r="C30">
        <v>7</v>
      </c>
      <c r="D30">
        <v>41</v>
      </c>
      <c r="E30">
        <v>16901</v>
      </c>
      <c r="F30" t="s">
        <v>476</v>
      </c>
    </row>
    <row r="31" spans="1:6">
      <c r="A31" t="s">
        <v>478</v>
      </c>
      <c r="B31">
        <v>86</v>
      </c>
      <c r="C31">
        <v>6</v>
      </c>
      <c r="D31">
        <v>40</v>
      </c>
      <c r="E31">
        <v>8452</v>
      </c>
      <c r="F31" t="s">
        <v>479</v>
      </c>
    </row>
    <row r="32" spans="1:6">
      <c r="A32" t="s">
        <v>480</v>
      </c>
      <c r="B32">
        <v>50</v>
      </c>
      <c r="C32">
        <v>5</v>
      </c>
      <c r="D32">
        <v>48</v>
      </c>
      <c r="E32">
        <v>42245</v>
      </c>
      <c r="F32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2026-08-06T05:57:09Z</dcterms:created>
  <dcterms:modified xsi:type="dcterms:W3CDTF">2026-08-06T05:57:09Z</dcterms:modified>
</cp:coreProperties>
</file>