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<sst xmlns="http://schemas.openxmlformats.org/spreadsheetml/2006/main" count="8409" uniqueCount="419">
  <si>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</si>
  <si>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</si>
  <si>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</si>
  <si>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</si>
  <si>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</si>
  <si>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</si>
  <si>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</si>
  <si>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</si>
  <si>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</si>
  <si>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</si>
  <si>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</si>
  <si>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</si>
  <si>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</si>
  <si>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</si>
  <si>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</si>
  <si>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</si>
  <si>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</si>
  <si>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</si>
  <si>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1x1x4096</t>
  </si>
  <si>
    <t>model_layers_0_input_layernorm_fused</t>
  </si>
  <si>
    <t>model_layers_0_self_attn_q_proj_fused</t>
  </si>
  <si>
    <t>gemm</t>
  </si>
  <si>
    <t>1024x4096</t>
  </si>
  <si>
    <t>1x1x1024</t>
  </si>
  <si>
    <t>model_layers_0_self_attn_k_proj_fused</t>
  </si>
  <si>
    <t>model_layers_0_self_attn_v_proj_fused</t>
  </si>
  <si>
    <t>neg</t>
  </si>
  <si>
    <t>1x32x1x64</t>
  </si>
  <si>
    <t>mul_3</t>
  </si>
  <si>
    <t>1x32x1x128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</si>
  <si>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</si>
  <si>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</si>
  <si>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</si>
  <si>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</si>
  <si>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</si>
  <si>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</si>
  <si>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</si>
  <si>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1x1x1x128</t>
  </si>
  <si>
    <t>1x1x640x128</t>
  </si>
  <si>
    <t>1x1x1x640</t>
  </si>
  <si>
    <t>softmax_fused</t>
  </si>
  <si>
    <t>1x8x1x640</t>
  </si>
  <si>
    <t>sub_32</t>
  </si>
  <si>
    <t>1</t>
  </si>
  <si>
    <t>quantize_mx_3</t>
  </si>
  <si>
    <t>1x4x128x128</t>
  </si>
  <si>
    <t>matmul_mx_1</t>
  </si>
  <si>
    <t>1x1x128x128</t>
  </si>
  <si>
    <t>matmul_mx_fused</t>
  </si>
  <si>
    <t>1x1x1x512</t>
  </si>
  <si>
    <t>1x1x128x512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</si>
  <si>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</si>
  <si>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</si>
  <si>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</si>
  <si>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</si>
  <si>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</si>
  <si>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1x1x256</t>
  </si>
  <si>
    <t>model_layers_0_mlp_up_proj_fused</t>
  </si>
  <si>
    <t>model_layers_0_mlp_down_proj_fused</t>
  </si>
  <si>
    <t>1x1x11008</t>
  </si>
  <si>
    <t>256x11008</t>
  </si>
  <si>
    <t>lm_head</t>
  </si>
  <si>
    <t>1x4096</t>
  </si>
  <si>
    <t>640x4096</t>
  </si>
  <si>
    <t>1x640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</si>
  <si>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</si>
  <si>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</si>
  <si>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</si>
  <si>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</si>
  <si>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</si>
  <si>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</si>
  <si>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</si>
  <si>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</si>
  <si>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</si>
  <si>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</si>
  <si>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</si>
  <si>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</si>
  <si>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async_copy_35</t>
  </si>
  <si>
    <t>load</t>
  </si>
  <si>
    <t>dram</t>
  </si>
  <si>
    <t>()</t>
  </si>
  <si>
    <t>async_wait_11</t>
  </si>
  <si>
    <t>async_wait</t>
  </si>
  <si>
    <t>control</t>
  </si>
  <si>
    <t>(0,)</t>
  </si>
  <si>
    <t>compute</t>
  </si>
  <si>
    <t>async_copy_37</t>
  </si>
  <si>
    <t>store</t>
  </si>
  <si>
    <t>async_wait_13</t>
  </si>
  <si>
    <t>async_copy_38</t>
  </si>
  <si>
    <t>async_copy_39</t>
  </si>
  <si>
    <t>async_wait_15</t>
  </si>
  <si>
    <t>async_wait_16</t>
  </si>
  <si>
    <t>async_copy_42</t>
  </si>
  <si>
    <t>async_copy_43</t>
  </si>
  <si>
    <t>async_wait_19</t>
  </si>
  <si>
    <t>async_wait_21</t>
  </si>
  <si>
    <t>async_copy_44</t>
  </si>
  <si>
    <t>async_copy_45</t>
  </si>
  <si>
    <t>async_copy_46</t>
  </si>
  <si>
    <t>async_copy_47</t>
  </si>
  <si>
    <t>(1,)</t>
  </si>
  <si>
    <t>async_wait_23</t>
  </si>
  <si>
    <t>async_copy_48</t>
  </si>
  <si>
    <t>(2,)</t>
  </si>
  <si>
    <t>(3,)</t>
  </si>
  <si>
    <t>async_wait_24</t>
  </si>
  <si>
    <t>async_copy_49</t>
  </si>
  <si>
    <t>async_wait_25</t>
  </si>
  <si>
    <t>async_wait_26</t>
  </si>
  <si>
    <t>async_copy_50</t>
  </si>
  <si>
    <t>async_copy_51</t>
  </si>
  <si>
    <t>async_copy_52</t>
  </si>
  <si>
    <t>async_copy_53</t>
  </si>
  <si>
    <t>async_wait_27</t>
  </si>
  <si>
    <t>async_copy_54</t>
  </si>
  <si>
    <t>async_wait_28</t>
  </si>
  <si>
    <t>async_copy_55</t>
  </si>
  <si>
    <t>async_wait_29</t>
  </si>
  <si>
    <t>async_wait_30</t>
  </si>
  <si>
    <t>async_copy_56</t>
  </si>
  <si>
    <t>async_copy_57</t>
  </si>
  <si>
    <t>async_copy_58</t>
  </si>
  <si>
    <t>async_copy_59</t>
  </si>
  <si>
    <t>async_wait_31</t>
  </si>
  <si>
    <t>async_copy_60</t>
  </si>
  <si>
    <t>async_wait_32</t>
  </si>
  <si>
    <t>async_copy_61</t>
  </si>
  <si>
    <t>async_wait_33</t>
  </si>
  <si>
    <t>async_wait_34</t>
  </si>
  <si>
    <t>slice_1</t>
  </si>
  <si>
    <t>slice_2</t>
  </si>
  <si>
    <t>async_copy_62</t>
  </si>
  <si>
    <t>async_wait_35</t>
  </si>
  <si>
    <t>async_copy_64</t>
  </si>
  <si>
    <t>async_wait_37</t>
  </si>
  <si>
    <t>cat</t>
  </si>
  <si>
    <t>async_copy_65</t>
  </si>
  <si>
    <t>async_copy_66</t>
  </si>
  <si>
    <t>async_wait_39</t>
  </si>
  <si>
    <t>async_wait_40</t>
  </si>
  <si>
    <t>async_copy_69</t>
  </si>
  <si>
    <t>async_wait_42</t>
  </si>
  <si>
    <t>async_copy_70</t>
  </si>
  <si>
    <t>async_copy_71</t>
  </si>
  <si>
    <t>async_copy_72</t>
  </si>
  <si>
    <t>async_wait_44</t>
  </si>
  <si>
    <t>async_wait_45</t>
  </si>
  <si>
    <t>async_wait_46</t>
  </si>
  <si>
    <t>async_copy_76</t>
  </si>
  <si>
    <t>async_copy_77</t>
  </si>
  <si>
    <t>async_wait_49</t>
  </si>
  <si>
    <t>async_wait_51</t>
  </si>
  <si>
    <t>slice_3</t>
  </si>
  <si>
    <t>slice_4</t>
  </si>
  <si>
    <t>async_copy_78</t>
  </si>
  <si>
    <t>async_wait_53</t>
  </si>
  <si>
    <t>async_copy_80</t>
  </si>
  <si>
    <t>async_wait_55</t>
  </si>
  <si>
    <t>cat_1</t>
  </si>
  <si>
    <t>async_copy_81</t>
  </si>
  <si>
    <t>async_copy_82</t>
  </si>
  <si>
    <t>async_wait_57</t>
  </si>
  <si>
    <t>async_wait_58</t>
  </si>
  <si>
    <t>async_copy_85</t>
  </si>
  <si>
    <t>async_wait_60</t>
  </si>
  <si>
    <t>async_copy_86</t>
  </si>
  <si>
    <t>async_copy_87</t>
  </si>
  <si>
    <t>async_copy_88</t>
  </si>
  <si>
    <t>async_wait_62</t>
  </si>
  <si>
    <t>async_wait_63</t>
  </si>
  <si>
    <t>async_wait_64</t>
  </si>
  <si>
    <t>async_copy_92</t>
  </si>
  <si>
    <t>async_wait_66</t>
  </si>
  <si>
    <t>index_copy_</t>
  </si>
  <si>
    <t>transpose_3</t>
  </si>
  <si>
    <t>async_copy_93</t>
  </si>
  <si>
    <t>async_copy_94</t>
  </si>
  <si>
    <t>async_wait_68</t>
  </si>
  <si>
    <t>async_copy_95</t>
  </si>
  <si>
    <t>async_copy_96</t>
  </si>
  <si>
    <t>async_wait_69</t>
  </si>
  <si>
    <t>async_wait_70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</si>
  <si>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</si>
  <si>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</si>
  <si>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</si>
  <si>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</si>
  <si>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</si>
  <si>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</si>
  <si>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</si>
  <si>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</si>
  <si>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</si>
  <si>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</si>
  <si>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</si>
  <si>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</si>
  <si>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async_wait_71</t>
  </si>
  <si>
    <t>async_wait_72</t>
  </si>
  <si>
    <t>async_wait_73</t>
  </si>
  <si>
    <t>async_wait_74</t>
  </si>
  <si>
    <t>async_copy_97</t>
  </si>
  <si>
    <t>async_copy_98</t>
  </si>
  <si>
    <t>async_copy_99</t>
  </si>
  <si>
    <t>async_copy_100</t>
  </si>
  <si>
    <t>async_copy_101</t>
  </si>
  <si>
    <t>async_wait_75</t>
  </si>
  <si>
    <t>async_copy_102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</si>
  <si>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</si>
  <si>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</si>
  <si>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</si>
  <si>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</si>
  <si>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</si>
  <si>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</si>
  <si>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</si>
  <si>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</si>
  <si>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</si>
  <si>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</si>
  <si>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</si>
  <si>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</si>
  <si>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</si>
  <si>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</si>
  <si>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</si>
  <si>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</si>
  <si>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async_wait_76</t>
  </si>
  <si>
    <t>async_copy_103</t>
  </si>
  <si>
    <t>async_wait_77</t>
  </si>
  <si>
    <t>async_wait_78</t>
  </si>
  <si>
    <t>async_copy_104</t>
  </si>
  <si>
    <t>async_copy_105</t>
  </si>
  <si>
    <t>async_wait_79</t>
  </si>
  <si>
    <t>async_copy_106</t>
  </si>
  <si>
    <t>async_copy_107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</si>
  <si>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</si>
  <si>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</si>
  <si>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</si>
  <si>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</si>
  <si>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</si>
  <si>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</si>
  <si>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async_copy_108</t>
  </si>
  <si>
    <t>async_wait_87</t>
  </si>
  <si>
    <t>index_copy__2</t>
  </si>
  <si>
    <t>async_copy_109</t>
  </si>
  <si>
    <t>async_copy_110</t>
  </si>
  <si>
    <t>async_wait_89</t>
  </si>
  <si>
    <t>async_copy_111</t>
  </si>
  <si>
    <t>async_copy_112</t>
  </si>
  <si>
    <t>async_wait_90</t>
  </si>
  <si>
    <t>async_wait_91</t>
  </si>
  <si>
    <t>async_wait_92</t>
  </si>
  <si>
    <t>async_wait_93</t>
  </si>
  <si>
    <t>async_wait_94</t>
  </si>
  <si>
    <t>async_wait_95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</si>
  <si>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</si>
  <si>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</si>
  <si>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</si>
  <si>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</si>
  <si>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</si>
  <si>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</si>
  <si>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</si>
  <si>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</si>
  <si>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async_copy_113</t>
  </si>
  <si>
    <t>async_copy_114</t>
  </si>
  <si>
    <t>async_copy_115</t>
  </si>
  <si>
    <t>async_copy_116</t>
  </si>
  <si>
    <t>async_wait_96</t>
  </si>
  <si>
    <t>async_copy_117</t>
  </si>
  <si>
    <t>async_wait_97</t>
  </si>
  <si>
    <t>async_copy_118</t>
  </si>
  <si>
    <t>async_wait_98</t>
  </si>
  <si>
    <t>async_wait_99</t>
  </si>
  <si>
    <t>async_copy_119</t>
  </si>
  <si>
    <t>async_copy_120</t>
  </si>
  <si>
    <t>async_copy_121</t>
  </si>
  <si>
    <t>async_copy_122</t>
  </si>
  <si>
    <t>async_copy_123</t>
  </si>
  <si>
    <t>async_wait_100</t>
  </si>
  <si>
    <t>async_copy_124</t>
  </si>
  <si>
    <t>async_copy_125</t>
  </si>
  <si>
    <t>async_wait_101</t>
  </si>
  <si>
    <t>async_copy_126</t>
  </si>
  <si>
    <t>async_copy_127</t>
  </si>
  <si>
    <t>async_wait_102</t>
  </si>
  <si>
    <t>async_wait_103</t>
  </si>
  <si>
    <t>async_wait_104</t>
  </si>
  <si>
    <t>async_wait_105</t>
  </si>
  <si>
    <t>async_copy_128</t>
  </si>
  <si>
    <t>async_copy_129</t>
  </si>
  <si>
    <t>async_copy_130</t>
  </si>
  <si>
    <t>async_copy_131</t>
  </si>
  <si>
    <t>async_copy_132</t>
  </si>
  <si>
    <t>async_wait_106</t>
  </si>
  <si>
    <t>async_copy_133</t>
  </si>
  <si>
    <t>async_wait_107</t>
  </si>
  <si>
    <t>async_copy_134</t>
  </si>
  <si>
    <t>async_wait_108</t>
  </si>
  <si>
    <t>async_wait_109</t>
  </si>
  <si>
    <t>async_copy_135</t>
  </si>
  <si>
    <t>async_wait_110</t>
  </si>
  <si>
    <t>async_copy_137</t>
  </si>
  <si>
    <t>async_wait_112</t>
  </si>
  <si>
    <t>async_copy_138</t>
  </si>
  <si>
    <t>async_copy_139</t>
  </si>
  <si>
    <t>async_wait_114</t>
  </si>
  <si>
    <t>async_wait_115</t>
  </si>
  <si>
    <t>async_copy_142</t>
  </si>
  <si>
    <t>async_copy_143</t>
  </si>
  <si>
    <t>async_wait_118</t>
  </si>
  <si>
    <t>async_wait_120</t>
  </si>
  <si>
    <t>async_copy_144</t>
  </si>
  <si>
    <t>async_copy_145</t>
  </si>
  <si>
    <t>async_copy_146</t>
  </si>
  <si>
    <t>async_copy_147</t>
  </si>
  <si>
    <t>async_wait_122</t>
  </si>
  <si>
    <t>async_copy_148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</si>
  <si>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</si>
  <si>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</si>
  <si>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</si>
  <si>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</si>
  <si>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</si>
  <si>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</si>
  <si>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</si>
  <si>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</si>
  <si>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</si>
  <si>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</si>
  <si>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</si>
  <si>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async_wait_123</t>
  </si>
  <si>
    <t>async_copy_149</t>
  </si>
  <si>
    <t>async_wait_124</t>
  </si>
  <si>
    <t>async_wait_125</t>
  </si>
  <si>
    <t>async_copy_150</t>
  </si>
  <si>
    <t>async_copy_151</t>
  </si>
  <si>
    <t>async_copy_152</t>
  </si>
  <si>
    <t>async_copy_153</t>
  </si>
  <si>
    <t>async_copy_154</t>
  </si>
  <si>
    <t>async_wait_126</t>
  </si>
  <si>
    <t>async_copy_155</t>
  </si>
  <si>
    <t>async_copy_156</t>
  </si>
  <si>
    <t>async_wait_127</t>
  </si>
  <si>
    <t>async_copy_157</t>
  </si>
  <si>
    <t>async_copy_158</t>
  </si>
  <si>
    <t>async_wait_128</t>
  </si>
  <si>
    <t>async_wait_129</t>
  </si>
  <si>
    <t>async_wait_130</t>
  </si>
  <si>
    <t>async_wait_131</t>
  </si>
  <si>
    <t>async_copy_159</t>
  </si>
  <si>
    <t>async_copy_160</t>
  </si>
  <si>
    <t>async_copy_161</t>
  </si>
  <si>
    <t>async_copy_162</t>
  </si>
  <si>
    <t>async_copy_163</t>
  </si>
  <si>
    <t>async_wait_132</t>
  </si>
  <si>
    <t>async_copy_164</t>
  </si>
  <si>
    <t>async_copy_165</t>
  </si>
  <si>
    <t>async_wait_133</t>
  </si>
  <si>
    <t>async_copy_166</t>
  </si>
  <si>
    <t>async_copy_167</t>
  </si>
  <si>
    <t>async_wait_134</t>
  </si>
  <si>
    <t>async_wait_135</t>
  </si>
  <si>
    <t>async_wait_136</t>
  </si>
  <si>
    <t>async_wait_137</t>
  </si>
  <si>
    <t>async_copy_168</t>
  </si>
  <si>
    <t>async_copy_169</t>
  </si>
  <si>
    <t>async_copy_170</t>
  </si>
  <si>
    <t>async_copy_171</t>
  </si>
  <si>
    <t>async_wait_138</t>
  </si>
  <si>
    <t>async_copy_172</t>
  </si>
  <si>
    <t>(43,)</t>
  </si>
  <si>
    <t>(44,)</t>
  </si>
  <si>
    <t>(45,)</t>
  </si>
  <si>
    <t>(46,)</t>
  </si>
  <si>
    <t>(47,)</t>
  </si>
  <si>
    <t>(48,)</t>
  </si>
  <si>
    <t>(49,)</t>
  </si>
  <si>
    <t>async_wait_139</t>
  </si>
  <si>
    <t>async_copy_173</t>
  </si>
  <si>
    <t>async_wait_140</t>
  </si>
  <si>
    <t>async_wait_141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</si>
  <si>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</si>
  <si>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</si>
  <si>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</si>
  <si>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</si>
  <si>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</si>
  <si>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</si>
  <si>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</si>
  <si>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</si>
  <si>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</si>
  <si>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</si>
  <si>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</si>
  <si>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</si>
  <si>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</si>
  <si>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</si>
  <si>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</si>
  <si>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2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</si>
  <si>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</si>
  <si>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</si>
  <si>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</si>
  <si>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</si>
  <si>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</si>
  <si>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</si>
  <si>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</si>
  <si>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</si>
  <si>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</si>
  <si>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</si>
  <si>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</si>
  <si>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</si>
  <si>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</si>
  <si>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</si>
  <si>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</si>
  <si>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</si>
  <si>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</si>
  <si>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</si>
  <si>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</si>
  <si>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</si>
  <si>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</si>
  <si>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</si>
  <si>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</si>
  <si>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</si>
  <si>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</si>
  <si>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14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</si>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</sst>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2052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221</c:v>
                </c:pt>
                <c:pt idx="3">
                  <c:v>349</c:v>
                </c:pt>
                <c:pt idx="4">
                  <c:v>349</c:v>
                </c:pt>
                <c:pt idx="5">
                  <c:v>510</c:v>
                </c:pt>
                <c:pt idx="6">
                  <c:v>671</c:v>
                </c:pt>
                <c:pt idx="7">
                  <c:v>510</c:v>
                </c:pt>
                <c:pt idx="8">
                  <c:v>671</c:v>
                </c:pt>
                <c:pt idx="9">
                  <c:v>892</c:v>
                </c:pt>
                <c:pt idx="10">
                  <c:v>2940</c:v>
                </c:pt>
                <c:pt idx="11">
                  <c:v>3041</c:v>
                </c:pt>
                <c:pt idx="12">
                  <c:v>2940</c:v>
                </c:pt>
                <c:pt idx="13">
                  <c:v>3041</c:v>
                </c:pt>
                <c:pt idx="14">
                  <c:v>3172</c:v>
                </c:pt>
                <c:pt idx="15">
                  <c:v>3303</c:v>
                </c:pt>
                <c:pt idx="16">
                  <c:v>34244</c:v>
                </c:pt>
                <c:pt idx="17">
                  <c:v>34345</c:v>
                </c:pt>
                <c:pt idx="18">
                  <c:v>35409</c:v>
                </c:pt>
                <c:pt idx="19">
                  <c:v>35409</c:v>
                </c:pt>
                <c:pt idx="20">
                  <c:v>66350</c:v>
                </c:pt>
                <c:pt idx="21">
                  <c:v>100945</c:v>
                </c:pt>
                <c:pt idx="22">
                  <c:v>3172</c:v>
                </c:pt>
                <c:pt idx="23">
                  <c:v>100945</c:v>
                </c:pt>
                <c:pt idx="24">
                  <c:v>101076</c:v>
                </c:pt>
                <c:pt idx="25">
                  <c:v>132017</c:v>
                </c:pt>
                <c:pt idx="26">
                  <c:v>166481</c:v>
                </c:pt>
                <c:pt idx="27">
                  <c:v>100945</c:v>
                </c:pt>
                <c:pt idx="28">
                  <c:v>166481</c:v>
                </c:pt>
                <c:pt idx="29">
                  <c:v>166612</c:v>
                </c:pt>
                <c:pt idx="30">
                  <c:v>197553</c:v>
                </c:pt>
                <c:pt idx="31">
                  <c:v>232017</c:v>
                </c:pt>
                <c:pt idx="32">
                  <c:v>166481</c:v>
                </c:pt>
                <c:pt idx="33">
                  <c:v>232017</c:v>
                </c:pt>
                <c:pt idx="34">
                  <c:v>232017</c:v>
                </c:pt>
                <c:pt idx="35">
                  <c:v>297553</c:v>
                </c:pt>
                <c:pt idx="36">
                  <c:v>297553</c:v>
                </c:pt>
                <c:pt idx="37">
                  <c:v>297553</c:v>
                </c:pt>
                <c:pt idx="38">
                  <c:v>297684</c:v>
                </c:pt>
                <c:pt idx="39">
                  <c:v>297815</c:v>
                </c:pt>
                <c:pt idx="40">
                  <c:v>328756</c:v>
                </c:pt>
                <c:pt idx="41">
                  <c:v>328857</c:v>
                </c:pt>
                <c:pt idx="42">
                  <c:v>329921</c:v>
                </c:pt>
                <c:pt idx="43">
                  <c:v>329921</c:v>
                </c:pt>
                <c:pt idx="44">
                  <c:v>360862</c:v>
                </c:pt>
                <c:pt idx="45">
                  <c:v>395457</c:v>
                </c:pt>
                <c:pt idx="46">
                  <c:v>297684</c:v>
                </c:pt>
                <c:pt idx="47">
                  <c:v>395457</c:v>
                </c:pt>
                <c:pt idx="48">
                  <c:v>395588</c:v>
                </c:pt>
                <c:pt idx="49">
                  <c:v>426529</c:v>
                </c:pt>
                <c:pt idx="50">
                  <c:v>460993</c:v>
                </c:pt>
                <c:pt idx="51">
                  <c:v>395457</c:v>
                </c:pt>
                <c:pt idx="52">
                  <c:v>460993</c:v>
                </c:pt>
                <c:pt idx="53">
                  <c:v>461124</c:v>
                </c:pt>
                <c:pt idx="54">
                  <c:v>492065</c:v>
                </c:pt>
                <c:pt idx="55">
                  <c:v>526529</c:v>
                </c:pt>
                <c:pt idx="56">
                  <c:v>460993</c:v>
                </c:pt>
                <c:pt idx="57">
                  <c:v>526529</c:v>
                </c:pt>
                <c:pt idx="58">
                  <c:v>526529</c:v>
                </c:pt>
                <c:pt idx="59">
                  <c:v>592065</c:v>
                </c:pt>
                <c:pt idx="60">
                  <c:v>592065</c:v>
                </c:pt>
                <c:pt idx="61">
                  <c:v>592065</c:v>
                </c:pt>
                <c:pt idx="62">
                  <c:v>592196</c:v>
                </c:pt>
                <c:pt idx="63">
                  <c:v>592327</c:v>
                </c:pt>
                <c:pt idx="64">
                  <c:v>623268</c:v>
                </c:pt>
                <c:pt idx="65">
                  <c:v>623369</c:v>
                </c:pt>
                <c:pt idx="66">
                  <c:v>624433</c:v>
                </c:pt>
                <c:pt idx="67">
                  <c:v>624433</c:v>
                </c:pt>
                <c:pt idx="68">
                  <c:v>655374</c:v>
                </c:pt>
                <c:pt idx="69">
                  <c:v>689969</c:v>
                </c:pt>
                <c:pt idx="70">
                  <c:v>592196</c:v>
                </c:pt>
                <c:pt idx="71">
                  <c:v>689969</c:v>
                </c:pt>
                <c:pt idx="72">
                  <c:v>690100</c:v>
                </c:pt>
                <c:pt idx="73">
                  <c:v>721041</c:v>
                </c:pt>
                <c:pt idx="74">
                  <c:v>755505</c:v>
                </c:pt>
                <c:pt idx="75">
                  <c:v>689969</c:v>
                </c:pt>
                <c:pt idx="76">
                  <c:v>755505</c:v>
                </c:pt>
                <c:pt idx="77">
                  <c:v>755636</c:v>
                </c:pt>
                <c:pt idx="78">
                  <c:v>786577</c:v>
                </c:pt>
                <c:pt idx="79">
                  <c:v>821041</c:v>
                </c:pt>
                <c:pt idx="80">
                  <c:v>755505</c:v>
                </c:pt>
                <c:pt idx="81">
                  <c:v>821041</c:v>
                </c:pt>
                <c:pt idx="82">
                  <c:v>821041</c:v>
                </c:pt>
                <c:pt idx="83">
                  <c:v>886577</c:v>
                </c:pt>
                <c:pt idx="84">
                  <c:v>886577</c:v>
                </c:pt>
                <c:pt idx="85">
                  <c:v>886577</c:v>
                </c:pt>
                <c:pt idx="86">
                  <c:v>886708</c:v>
                </c:pt>
                <c:pt idx="87">
                  <c:v>886869</c:v>
                </c:pt>
                <c:pt idx="88">
                  <c:v>887030</c:v>
                </c:pt>
                <c:pt idx="89">
                  <c:v>887191</c:v>
                </c:pt>
                <c:pt idx="90">
                  <c:v>887352</c:v>
                </c:pt>
                <c:pt idx="91">
                  <c:v>887352</c:v>
                </c:pt>
                <c:pt idx="92">
                  <c:v>887513</c:v>
                </c:pt>
                <c:pt idx="93">
                  <c:v>887577</c:v>
                </c:pt>
                <c:pt idx="94">
                  <c:v>887577</c:v>
                </c:pt>
                <c:pt idx="95">
                  <c:v>887738</c:v>
                </c:pt>
                <c:pt idx="96">
                  <c:v>887899</c:v>
                </c:pt>
                <c:pt idx="97">
                  <c:v>888060</c:v>
                </c:pt>
                <c:pt idx="98">
                  <c:v>888281</c:v>
                </c:pt>
                <c:pt idx="99">
                  <c:v>888502</c:v>
                </c:pt>
                <c:pt idx="100">
                  <c:v>888281</c:v>
                </c:pt>
                <c:pt idx="101">
                  <c:v>888502</c:v>
                </c:pt>
                <c:pt idx="102">
                  <c:v>888606</c:v>
                </c:pt>
                <c:pt idx="103">
                  <c:v>888734</c:v>
                </c:pt>
                <c:pt idx="104">
                  <c:v>888734</c:v>
                </c:pt>
                <c:pt idx="105">
                  <c:v>888955</c:v>
                </c:pt>
                <c:pt idx="106">
                  <c:v>889176</c:v>
                </c:pt>
                <c:pt idx="107">
                  <c:v>889280</c:v>
                </c:pt>
                <c:pt idx="108">
                  <c:v>888955</c:v>
                </c:pt>
                <c:pt idx="109">
                  <c:v>889176</c:v>
                </c:pt>
                <c:pt idx="110">
                  <c:v>889280</c:v>
                </c:pt>
                <c:pt idx="111">
                  <c:v>889501</c:v>
                </c:pt>
                <c:pt idx="112">
                  <c:v>889629</c:v>
                </c:pt>
                <c:pt idx="113">
                  <c:v>889730</c:v>
                </c:pt>
                <c:pt idx="114">
                  <c:v>889629</c:v>
                </c:pt>
                <c:pt idx="115">
                  <c:v>889730</c:v>
                </c:pt>
                <c:pt idx="116">
                  <c:v>889876</c:v>
                </c:pt>
                <c:pt idx="117">
                  <c:v>890037</c:v>
                </c:pt>
                <c:pt idx="118">
                  <c:v>890198</c:v>
                </c:pt>
                <c:pt idx="119">
                  <c:v>890359</c:v>
                </c:pt>
                <c:pt idx="120">
                  <c:v>890520</c:v>
                </c:pt>
                <c:pt idx="121">
                  <c:v>890520</c:v>
                </c:pt>
                <c:pt idx="122">
                  <c:v>890681</c:v>
                </c:pt>
                <c:pt idx="123">
                  <c:v>890745</c:v>
                </c:pt>
                <c:pt idx="124">
                  <c:v>890745</c:v>
                </c:pt>
                <c:pt idx="125">
                  <c:v>890906</c:v>
                </c:pt>
                <c:pt idx="126">
                  <c:v>891067</c:v>
                </c:pt>
                <c:pt idx="127">
                  <c:v>891228</c:v>
                </c:pt>
                <c:pt idx="128">
                  <c:v>891449</c:v>
                </c:pt>
                <c:pt idx="129">
                  <c:v>891670</c:v>
                </c:pt>
                <c:pt idx="130">
                  <c:v>891449</c:v>
                </c:pt>
                <c:pt idx="131">
                  <c:v>891670</c:v>
                </c:pt>
                <c:pt idx="132">
                  <c:v>891774</c:v>
                </c:pt>
                <c:pt idx="133">
                  <c:v>891902</c:v>
                </c:pt>
                <c:pt idx="134">
                  <c:v>891902</c:v>
                </c:pt>
                <c:pt idx="135">
                  <c:v>892123</c:v>
                </c:pt>
                <c:pt idx="136">
                  <c:v>892344</c:v>
                </c:pt>
                <c:pt idx="137">
                  <c:v>892448</c:v>
                </c:pt>
                <c:pt idx="138">
                  <c:v>892123</c:v>
                </c:pt>
                <c:pt idx="139">
                  <c:v>892344</c:v>
                </c:pt>
                <c:pt idx="140">
                  <c:v>892448</c:v>
                </c:pt>
                <c:pt idx="141">
                  <c:v>892669</c:v>
                </c:pt>
                <c:pt idx="142">
                  <c:v>892797</c:v>
                </c:pt>
                <c:pt idx="143">
                  <c:v>892797</c:v>
                </c:pt>
                <c:pt idx="144">
                  <c:v>893018</c:v>
                </c:pt>
                <c:pt idx="145">
                  <c:v>893119</c:v>
                </c:pt>
                <c:pt idx="146">
                  <c:v>893340</c:v>
                </c:pt>
                <c:pt idx="147">
                  <c:v>893561</c:v>
                </c:pt>
                <c:pt idx="148">
                  <c:v>970763</c:v>
                </c:pt>
                <c:pt idx="149">
                  <c:v>1047965</c:v>
                </c:pt>
                <c:pt idx="150">
                  <c:v>1052884</c:v>
                </c:pt>
                <c:pt idx="151">
                  <c:v>1047965</c:v>
                </c:pt>
                <c:pt idx="152">
                  <c:v>1052884</c:v>
                </c:pt>
                <c:pt idx="153">
                  <c:v>1058004</c:v>
                </c:pt>
                <c:pt idx="154">
                  <c:v>1058142</c:v>
                </c:pt>
                <c:pt idx="155">
                  <c:v>1060050</c:v>
                </c:pt>
                <c:pt idx="156">
                  <c:v>1058004</c:v>
                </c:pt>
                <c:pt idx="157">
                  <c:v>1058004</c:v>
                </c:pt>
                <c:pt idx="158">
                  <c:v>1064969</c:v>
                </c:pt>
                <c:pt idx="159">
                  <c:v>1065107</c:v>
                </c:pt>
                <c:pt idx="160">
                  <c:v>1067015</c:v>
                </c:pt>
                <c:pt idx="161">
                  <c:v>1063124</c:v>
                </c:pt>
                <c:pt idx="162">
                  <c:v>1064969</c:v>
                </c:pt>
                <c:pt idx="163">
                  <c:v>1064969</c:v>
                </c:pt>
                <c:pt idx="164">
                  <c:v>1064969</c:v>
                </c:pt>
                <c:pt idx="165">
                  <c:v>1071934</c:v>
                </c:pt>
                <c:pt idx="166">
                  <c:v>1072072</c:v>
                </c:pt>
                <c:pt idx="167">
                  <c:v>1073980</c:v>
                </c:pt>
                <c:pt idx="168">
                  <c:v>1070089</c:v>
                </c:pt>
                <c:pt idx="169">
                  <c:v>1071934</c:v>
                </c:pt>
                <c:pt idx="170">
                  <c:v>1071934</c:v>
                </c:pt>
                <c:pt idx="171">
                  <c:v>1071934</c:v>
                </c:pt>
                <c:pt idx="172">
                  <c:v>1078899</c:v>
                </c:pt>
                <c:pt idx="173">
                  <c:v>1079037</c:v>
                </c:pt>
                <c:pt idx="174">
                  <c:v>1080945</c:v>
                </c:pt>
                <c:pt idx="175">
                  <c:v>1077054</c:v>
                </c:pt>
                <c:pt idx="176">
                  <c:v>1078899</c:v>
                </c:pt>
                <c:pt idx="177">
                  <c:v>1078899</c:v>
                </c:pt>
                <c:pt idx="178">
                  <c:v>1078899</c:v>
                </c:pt>
                <c:pt idx="179">
                  <c:v>1085864</c:v>
                </c:pt>
                <c:pt idx="180">
                  <c:v>1086002</c:v>
                </c:pt>
                <c:pt idx="181">
                  <c:v>1087910</c:v>
                </c:pt>
                <c:pt idx="182">
                  <c:v>1084019</c:v>
                </c:pt>
                <c:pt idx="183">
                  <c:v>1085864</c:v>
                </c:pt>
                <c:pt idx="184">
                  <c:v>1085864</c:v>
                </c:pt>
                <c:pt idx="185">
                  <c:v>1085864</c:v>
                </c:pt>
                <c:pt idx="186">
                  <c:v>1092829</c:v>
                </c:pt>
                <c:pt idx="187">
                  <c:v>1092967</c:v>
                </c:pt>
                <c:pt idx="188">
                  <c:v>1094875</c:v>
                </c:pt>
                <c:pt idx="189">
                  <c:v>1090984</c:v>
                </c:pt>
                <c:pt idx="190">
                  <c:v>1092829</c:v>
                </c:pt>
                <c:pt idx="191">
                  <c:v>1092829</c:v>
                </c:pt>
                <c:pt idx="192">
                  <c:v>1092829</c:v>
                </c:pt>
                <c:pt idx="193">
                  <c:v>1099794</c:v>
                </c:pt>
                <c:pt idx="194">
                  <c:v>1099932</c:v>
                </c:pt>
                <c:pt idx="195">
                  <c:v>1101840</c:v>
                </c:pt>
                <c:pt idx="196">
                  <c:v>1097949</c:v>
                </c:pt>
                <c:pt idx="197">
                  <c:v>1099794</c:v>
                </c:pt>
                <c:pt idx="198">
                  <c:v>1099794</c:v>
                </c:pt>
                <c:pt idx="199">
                  <c:v>1099794</c:v>
                </c:pt>
                <c:pt idx="200">
                  <c:v>1106759</c:v>
                </c:pt>
                <c:pt idx="201">
                  <c:v>1106897</c:v>
                </c:pt>
                <c:pt idx="202">
                  <c:v>1108805</c:v>
                </c:pt>
                <c:pt idx="203">
                  <c:v>1104914</c:v>
                </c:pt>
                <c:pt idx="204">
                  <c:v>1106759</c:v>
                </c:pt>
                <c:pt idx="205">
                  <c:v>1106759</c:v>
                </c:pt>
                <c:pt idx="206">
                  <c:v>1106759</c:v>
                </c:pt>
                <c:pt idx="207">
                  <c:v>1113724</c:v>
                </c:pt>
                <c:pt idx="208">
                  <c:v>1113862</c:v>
                </c:pt>
                <c:pt idx="209">
                  <c:v>1115770</c:v>
                </c:pt>
                <c:pt idx="210">
                  <c:v>1111879</c:v>
                </c:pt>
                <c:pt idx="211">
                  <c:v>1113724</c:v>
                </c:pt>
                <c:pt idx="212">
                  <c:v>1113724</c:v>
                </c:pt>
                <c:pt idx="213">
                  <c:v>1113724</c:v>
                </c:pt>
                <c:pt idx="214">
                  <c:v>1120689</c:v>
                </c:pt>
                <c:pt idx="215">
                  <c:v>1120827</c:v>
                </c:pt>
                <c:pt idx="216">
                  <c:v>1122735</c:v>
                </c:pt>
                <c:pt idx="217">
                  <c:v>1118844</c:v>
                </c:pt>
                <c:pt idx="218">
                  <c:v>1120689</c:v>
                </c:pt>
                <c:pt idx="219">
                  <c:v>1120689</c:v>
                </c:pt>
                <c:pt idx="220">
                  <c:v>1120689</c:v>
                </c:pt>
                <c:pt idx="221">
                  <c:v>1127654</c:v>
                </c:pt>
                <c:pt idx="222">
                  <c:v>1127792</c:v>
                </c:pt>
                <c:pt idx="223">
                  <c:v>1129700</c:v>
                </c:pt>
                <c:pt idx="224">
                  <c:v>1125809</c:v>
                </c:pt>
                <c:pt idx="225">
                  <c:v>1127654</c:v>
                </c:pt>
                <c:pt idx="226">
                  <c:v>1127654</c:v>
                </c:pt>
                <c:pt idx="227">
                  <c:v>1127654</c:v>
                </c:pt>
                <c:pt idx="228">
                  <c:v>1134619</c:v>
                </c:pt>
                <c:pt idx="229">
                  <c:v>1134757</c:v>
                </c:pt>
                <c:pt idx="230">
                  <c:v>1136665</c:v>
                </c:pt>
                <c:pt idx="231">
                  <c:v>1132774</c:v>
                </c:pt>
                <c:pt idx="232">
                  <c:v>1134619</c:v>
                </c:pt>
                <c:pt idx="233">
                  <c:v>1134619</c:v>
                </c:pt>
                <c:pt idx="234">
                  <c:v>1134619</c:v>
                </c:pt>
                <c:pt idx="235">
                  <c:v>1141584</c:v>
                </c:pt>
                <c:pt idx="236">
                  <c:v>1141722</c:v>
                </c:pt>
                <c:pt idx="237">
                  <c:v>1143630</c:v>
                </c:pt>
                <c:pt idx="238">
                  <c:v>1139739</c:v>
                </c:pt>
                <c:pt idx="239">
                  <c:v>1141584</c:v>
                </c:pt>
                <c:pt idx="240">
                  <c:v>1141584</c:v>
                </c:pt>
                <c:pt idx="241">
                  <c:v>1141584</c:v>
                </c:pt>
                <c:pt idx="242">
                  <c:v>1148549</c:v>
                </c:pt>
                <c:pt idx="243">
                  <c:v>1148687</c:v>
                </c:pt>
                <c:pt idx="244">
                  <c:v>1150595</c:v>
                </c:pt>
                <c:pt idx="245">
                  <c:v>1146704</c:v>
                </c:pt>
                <c:pt idx="246">
                  <c:v>1148549</c:v>
                </c:pt>
                <c:pt idx="247">
                  <c:v>1148549</c:v>
                </c:pt>
                <c:pt idx="248">
                  <c:v>1148549</c:v>
                </c:pt>
                <c:pt idx="249">
                  <c:v>1155514</c:v>
                </c:pt>
                <c:pt idx="250">
                  <c:v>1155652</c:v>
                </c:pt>
                <c:pt idx="251">
                  <c:v>1153669</c:v>
                </c:pt>
                <c:pt idx="252">
                  <c:v>1155514</c:v>
                </c:pt>
                <c:pt idx="253">
                  <c:v>1155514</c:v>
                </c:pt>
                <c:pt idx="254">
                  <c:v>1155514</c:v>
                </c:pt>
                <c:pt idx="255">
                  <c:v>1160634</c:v>
                </c:pt>
                <c:pt idx="256">
                  <c:v>1160772</c:v>
                </c:pt>
                <c:pt idx="257">
                  <c:v>1160634</c:v>
                </c:pt>
                <c:pt idx="258">
                  <c:v>1160634</c:v>
                </c:pt>
                <c:pt idx="259">
                  <c:v>1160772</c:v>
                </c:pt>
                <c:pt idx="260">
                  <c:v>1160772</c:v>
                </c:pt>
                <c:pt idx="261">
                  <c:v>1162680</c:v>
                </c:pt>
                <c:pt idx="262">
                  <c:v>1162782</c:v>
                </c:pt>
                <c:pt idx="263">
                  <c:v>1163786</c:v>
                </c:pt>
                <c:pt idx="264">
                  <c:v>1163905</c:v>
                </c:pt>
                <c:pt idx="265">
                  <c:v>1164007</c:v>
                </c:pt>
                <c:pt idx="266">
                  <c:v>1164108</c:v>
                </c:pt>
                <c:pt idx="267">
                  <c:v>1164108</c:v>
                </c:pt>
                <c:pt idx="268">
                  <c:v>1165112</c:v>
                </c:pt>
                <c:pt idx="269">
                  <c:v>1165231</c:v>
                </c:pt>
                <c:pt idx="270">
                  <c:v>1165333</c:v>
                </c:pt>
                <c:pt idx="271">
                  <c:v>1165434</c:v>
                </c:pt>
                <c:pt idx="272">
                  <c:v>1162680</c:v>
                </c:pt>
                <c:pt idx="273">
                  <c:v>1165434</c:v>
                </c:pt>
                <c:pt idx="274">
                  <c:v>1165544</c:v>
                </c:pt>
                <c:pt idx="275">
                  <c:v>1166548</c:v>
                </c:pt>
                <c:pt idx="276">
                  <c:v>1166667</c:v>
                </c:pt>
                <c:pt idx="277">
                  <c:v>1166769</c:v>
                </c:pt>
                <c:pt idx="278">
                  <c:v>1166870</c:v>
                </c:pt>
                <c:pt idx="279">
                  <c:v>1165388</c:v>
                </c:pt>
                <c:pt idx="280">
                  <c:v>1166870</c:v>
                </c:pt>
                <c:pt idx="281">
                  <c:v>1166980</c:v>
                </c:pt>
                <c:pt idx="282">
                  <c:v>1167984</c:v>
                </c:pt>
                <c:pt idx="283">
                  <c:v>1168103</c:v>
                </c:pt>
                <c:pt idx="284">
                  <c:v>1168205</c:v>
                </c:pt>
                <c:pt idx="285">
                  <c:v>1168306</c:v>
                </c:pt>
                <c:pt idx="286">
                  <c:v>1166714</c:v>
                </c:pt>
                <c:pt idx="287">
                  <c:v>1168306</c:v>
                </c:pt>
                <c:pt idx="288">
                  <c:v>1168416</c:v>
                </c:pt>
                <c:pt idx="289">
                  <c:v>1169420</c:v>
                </c:pt>
                <c:pt idx="290">
                  <c:v>1169539</c:v>
                </c:pt>
                <c:pt idx="291">
                  <c:v>1169641</c:v>
                </c:pt>
                <c:pt idx="292">
                  <c:v>1169742</c:v>
                </c:pt>
                <c:pt idx="293">
                  <c:v>1168150</c:v>
                </c:pt>
                <c:pt idx="294">
                  <c:v>1169742</c:v>
                </c:pt>
                <c:pt idx="295">
                  <c:v>1169852</c:v>
                </c:pt>
                <c:pt idx="296">
                  <c:v>1170856</c:v>
                </c:pt>
                <c:pt idx="297">
                  <c:v>1170975</c:v>
                </c:pt>
                <c:pt idx="298">
                  <c:v>1171077</c:v>
                </c:pt>
                <c:pt idx="299">
                  <c:v>1171178</c:v>
                </c:pt>
                <c:pt idx="300">
                  <c:v>1169586</c:v>
                </c:pt>
                <c:pt idx="301">
                  <c:v>1171178</c:v>
                </c:pt>
                <c:pt idx="302">
                  <c:v>1171288</c:v>
                </c:pt>
                <c:pt idx="303">
                  <c:v>1172292</c:v>
                </c:pt>
                <c:pt idx="304">
                  <c:v>1172411</c:v>
                </c:pt>
                <c:pt idx="305">
                  <c:v>1172513</c:v>
                </c:pt>
                <c:pt idx="306">
                  <c:v>1172614</c:v>
                </c:pt>
                <c:pt idx="307">
                  <c:v>1171022</c:v>
                </c:pt>
                <c:pt idx="308">
                  <c:v>1172614</c:v>
                </c:pt>
                <c:pt idx="309">
                  <c:v>1172724</c:v>
                </c:pt>
                <c:pt idx="310">
                  <c:v>1173728</c:v>
                </c:pt>
                <c:pt idx="311">
                  <c:v>1173847</c:v>
                </c:pt>
                <c:pt idx="312">
                  <c:v>1173949</c:v>
                </c:pt>
                <c:pt idx="313">
                  <c:v>1174050</c:v>
                </c:pt>
                <c:pt idx="314">
                  <c:v>1172458</c:v>
                </c:pt>
                <c:pt idx="315">
                  <c:v>1174050</c:v>
                </c:pt>
                <c:pt idx="316">
                  <c:v>1174160</c:v>
                </c:pt>
                <c:pt idx="317">
                  <c:v>1175164</c:v>
                </c:pt>
                <c:pt idx="318">
                  <c:v>1175283</c:v>
                </c:pt>
                <c:pt idx="319">
                  <c:v>1175385</c:v>
                </c:pt>
                <c:pt idx="320">
                  <c:v>1175486</c:v>
                </c:pt>
                <c:pt idx="321">
                  <c:v>1173894</c:v>
                </c:pt>
                <c:pt idx="322">
                  <c:v>1175486</c:v>
                </c:pt>
                <c:pt idx="323">
                  <c:v>1175596</c:v>
                </c:pt>
                <c:pt idx="324">
                  <c:v>1176600</c:v>
                </c:pt>
                <c:pt idx="325">
                  <c:v>1176719</c:v>
                </c:pt>
                <c:pt idx="326">
                  <c:v>1176821</c:v>
                </c:pt>
                <c:pt idx="327">
                  <c:v>1176922</c:v>
                </c:pt>
                <c:pt idx="328">
                  <c:v>1175330</c:v>
                </c:pt>
                <c:pt idx="329">
                  <c:v>1176922</c:v>
                </c:pt>
                <c:pt idx="330">
                  <c:v>1177032</c:v>
                </c:pt>
                <c:pt idx="331">
                  <c:v>1178036</c:v>
                </c:pt>
                <c:pt idx="332">
                  <c:v>1178155</c:v>
                </c:pt>
                <c:pt idx="333">
                  <c:v>1178257</c:v>
                </c:pt>
                <c:pt idx="334">
                  <c:v>1178358</c:v>
                </c:pt>
                <c:pt idx="335">
                  <c:v>1176766</c:v>
                </c:pt>
                <c:pt idx="336">
                  <c:v>1178358</c:v>
                </c:pt>
                <c:pt idx="337">
                  <c:v>1178468</c:v>
                </c:pt>
                <c:pt idx="338">
                  <c:v>1179472</c:v>
                </c:pt>
                <c:pt idx="339">
                  <c:v>1179591</c:v>
                </c:pt>
                <c:pt idx="340">
                  <c:v>1179693</c:v>
                </c:pt>
                <c:pt idx="341">
                  <c:v>1179794</c:v>
                </c:pt>
                <c:pt idx="342">
                  <c:v>1178202</c:v>
                </c:pt>
                <c:pt idx="343">
                  <c:v>1179794</c:v>
                </c:pt>
                <c:pt idx="344">
                  <c:v>1179904</c:v>
                </c:pt>
                <c:pt idx="345">
                  <c:v>1180908</c:v>
                </c:pt>
                <c:pt idx="346">
                  <c:v>1181027</c:v>
                </c:pt>
                <c:pt idx="347">
                  <c:v>1181129</c:v>
                </c:pt>
                <c:pt idx="348">
                  <c:v>1181230</c:v>
                </c:pt>
                <c:pt idx="349">
                  <c:v>1179638</c:v>
                </c:pt>
                <c:pt idx="350">
                  <c:v>1181230</c:v>
                </c:pt>
                <c:pt idx="351">
                  <c:v>1181340</c:v>
                </c:pt>
                <c:pt idx="352">
                  <c:v>1182344</c:v>
                </c:pt>
                <c:pt idx="353">
                  <c:v>1182463</c:v>
                </c:pt>
                <c:pt idx="354">
                  <c:v>1182565</c:v>
                </c:pt>
                <c:pt idx="355">
                  <c:v>1182666</c:v>
                </c:pt>
                <c:pt idx="356">
                  <c:v>1181074</c:v>
                </c:pt>
                <c:pt idx="357">
                  <c:v>1182666</c:v>
                </c:pt>
                <c:pt idx="358">
                  <c:v>1182776</c:v>
                </c:pt>
                <c:pt idx="359">
                  <c:v>1183780</c:v>
                </c:pt>
                <c:pt idx="360">
                  <c:v>1183899</c:v>
                </c:pt>
                <c:pt idx="361">
                  <c:v>1184001</c:v>
                </c:pt>
                <c:pt idx="362">
                  <c:v>1184102</c:v>
                </c:pt>
                <c:pt idx="363">
                  <c:v>1182510</c:v>
                </c:pt>
                <c:pt idx="364">
                  <c:v>1184102</c:v>
                </c:pt>
                <c:pt idx="365">
                  <c:v>1184212</c:v>
                </c:pt>
                <c:pt idx="366">
                  <c:v>1185216</c:v>
                </c:pt>
                <c:pt idx="367">
                  <c:v>1185335</c:v>
                </c:pt>
                <c:pt idx="368">
                  <c:v>1185437</c:v>
                </c:pt>
                <c:pt idx="369">
                  <c:v>1185538</c:v>
                </c:pt>
                <c:pt idx="370">
                  <c:v>1183946</c:v>
                </c:pt>
                <c:pt idx="371">
                  <c:v>1185538</c:v>
                </c:pt>
                <c:pt idx="372">
                  <c:v>1185648</c:v>
                </c:pt>
                <c:pt idx="373">
                  <c:v>1186652</c:v>
                </c:pt>
                <c:pt idx="374">
                  <c:v>1186771</c:v>
                </c:pt>
                <c:pt idx="375">
                  <c:v>1186873</c:v>
                </c:pt>
                <c:pt idx="376">
                  <c:v>1186974</c:v>
                </c:pt>
                <c:pt idx="377">
                  <c:v>1185382</c:v>
                </c:pt>
                <c:pt idx="378">
                  <c:v>1186974</c:v>
                </c:pt>
                <c:pt idx="379">
                  <c:v>1187084</c:v>
                </c:pt>
                <c:pt idx="380">
                  <c:v>1188088</c:v>
                </c:pt>
                <c:pt idx="381">
                  <c:v>1188207</c:v>
                </c:pt>
                <c:pt idx="382">
                  <c:v>1188309</c:v>
                </c:pt>
                <c:pt idx="383">
                  <c:v>1188410</c:v>
                </c:pt>
                <c:pt idx="384">
                  <c:v>1186818</c:v>
                </c:pt>
                <c:pt idx="385">
                  <c:v>1188410</c:v>
                </c:pt>
                <c:pt idx="386">
                  <c:v>1188520</c:v>
                </c:pt>
                <c:pt idx="387">
                  <c:v>1189524</c:v>
                </c:pt>
                <c:pt idx="388">
                  <c:v>1189643</c:v>
                </c:pt>
                <c:pt idx="389">
                  <c:v>1189745</c:v>
                </c:pt>
                <c:pt idx="390">
                  <c:v>1189846</c:v>
                </c:pt>
                <c:pt idx="391">
                  <c:v>1188254</c:v>
                </c:pt>
                <c:pt idx="392">
                  <c:v>1189846</c:v>
                </c:pt>
                <c:pt idx="393">
                  <c:v>1189956</c:v>
                </c:pt>
                <c:pt idx="394">
                  <c:v>1190960</c:v>
                </c:pt>
                <c:pt idx="395">
                  <c:v>1191079</c:v>
                </c:pt>
                <c:pt idx="396">
                  <c:v>1191181</c:v>
                </c:pt>
                <c:pt idx="397">
                  <c:v>1191282</c:v>
                </c:pt>
                <c:pt idx="398">
                  <c:v>1189690</c:v>
                </c:pt>
                <c:pt idx="399">
                  <c:v>1191282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128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65536</c:v>
                </c:pt>
                <c:pt idx="19">
                  <c:v>0</c:v>
                </c:pt>
                <c:pt idx="20">
                  <c:v>0</c:v>
                </c:pt>
                <c:pt idx="21">
                  <c:v>65536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65536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65536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65536</c:v>
                </c:pt>
                <c:pt idx="43">
                  <c:v>0</c:v>
                </c:pt>
                <c:pt idx="44">
                  <c:v>0</c:v>
                </c:pt>
                <c:pt idx="45">
                  <c:v>65536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65536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65536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65536</c:v>
                </c:pt>
                <c:pt idx="67">
                  <c:v>0</c:v>
                </c:pt>
                <c:pt idx="68">
                  <c:v>0</c:v>
                </c:pt>
                <c:pt idx="69">
                  <c:v>65536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65536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65536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128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128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128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5120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5120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5120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5120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5120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5120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5120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5120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5120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5120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5120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5120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5120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5120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5120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5120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1280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1280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1280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1280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1280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1280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1280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1280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1280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1280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1280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1280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1280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1280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1280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1280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1280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1280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1280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1280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221</c:v>
                </c:pt>
                <c:pt idx="1">
                  <c:v>0</c:v>
                </c:pt>
                <c:pt idx="2">
                  <c:v>0</c:v>
                </c:pt>
                <c:pt idx="3">
                  <c:v>161</c:v>
                </c:pt>
                <c:pt idx="4">
                  <c:v>0</c:v>
                </c:pt>
                <c:pt idx="5">
                  <c:v>161</c:v>
                </c:pt>
                <c:pt idx="6">
                  <c:v>221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101</c:v>
                </c:pt>
                <c:pt idx="11">
                  <c:v>131</c:v>
                </c:pt>
                <c:pt idx="12">
                  <c:v>0</c:v>
                </c:pt>
                <c:pt idx="13">
                  <c:v>0</c:v>
                </c:pt>
                <c:pt idx="14">
                  <c:v>131</c:v>
                </c:pt>
                <c:pt idx="15">
                  <c:v>30941</c:v>
                </c:pt>
                <c:pt idx="16">
                  <c:v>101</c:v>
                </c:pt>
                <c:pt idx="17">
                  <c:v>1064</c:v>
                </c:pt>
                <c:pt idx="18">
                  <c:v>0</c:v>
                </c:pt>
                <c:pt idx="19">
                  <c:v>30941</c:v>
                </c:pt>
                <c:pt idx="20">
                  <c:v>1064</c:v>
                </c:pt>
                <c:pt idx="21">
                  <c:v>0</c:v>
                </c:pt>
                <c:pt idx="22">
                  <c:v>0</c:v>
                </c:pt>
                <c:pt idx="23">
                  <c:v>131</c:v>
                </c:pt>
                <c:pt idx="24">
                  <c:v>30941</c:v>
                </c:pt>
                <c:pt idx="25">
                  <c:v>1064</c:v>
                </c:pt>
                <c:pt idx="26">
                  <c:v>0</c:v>
                </c:pt>
                <c:pt idx="27">
                  <c:v>0</c:v>
                </c:pt>
                <c:pt idx="28">
                  <c:v>131</c:v>
                </c:pt>
                <c:pt idx="29">
                  <c:v>30941</c:v>
                </c:pt>
                <c:pt idx="30">
                  <c:v>1064</c:v>
                </c:pt>
                <c:pt idx="31">
                  <c:v>0</c:v>
                </c:pt>
                <c:pt idx="32">
                  <c:v>0</c:v>
                </c:pt>
                <c:pt idx="33">
                  <c:v>131</c:v>
                </c:pt>
                <c:pt idx="34">
                  <c:v>0</c:v>
                </c:pt>
                <c:pt idx="35">
                  <c:v>131</c:v>
                </c:pt>
                <c:pt idx="36">
                  <c:v>0</c:v>
                </c:pt>
                <c:pt idx="37">
                  <c:v>0</c:v>
                </c:pt>
                <c:pt idx="38">
                  <c:v>131</c:v>
                </c:pt>
                <c:pt idx="39">
                  <c:v>30941</c:v>
                </c:pt>
                <c:pt idx="40">
                  <c:v>101</c:v>
                </c:pt>
                <c:pt idx="41">
                  <c:v>1064</c:v>
                </c:pt>
                <c:pt idx="42">
                  <c:v>0</c:v>
                </c:pt>
                <c:pt idx="43">
                  <c:v>30941</c:v>
                </c:pt>
                <c:pt idx="44">
                  <c:v>1064</c:v>
                </c:pt>
                <c:pt idx="45">
                  <c:v>0</c:v>
                </c:pt>
                <c:pt idx="46">
                  <c:v>0</c:v>
                </c:pt>
                <c:pt idx="47">
                  <c:v>131</c:v>
                </c:pt>
                <c:pt idx="48">
                  <c:v>30941</c:v>
                </c:pt>
                <c:pt idx="49">
                  <c:v>1064</c:v>
                </c:pt>
                <c:pt idx="50">
                  <c:v>0</c:v>
                </c:pt>
                <c:pt idx="51">
                  <c:v>0</c:v>
                </c:pt>
                <c:pt idx="52">
                  <c:v>131</c:v>
                </c:pt>
                <c:pt idx="53">
                  <c:v>30941</c:v>
                </c:pt>
                <c:pt idx="54">
                  <c:v>1064</c:v>
                </c:pt>
                <c:pt idx="55">
                  <c:v>0</c:v>
                </c:pt>
                <c:pt idx="56">
                  <c:v>0</c:v>
                </c:pt>
                <c:pt idx="57">
                  <c:v>131</c:v>
                </c:pt>
                <c:pt idx="58">
                  <c:v>0</c:v>
                </c:pt>
                <c:pt idx="59">
                  <c:v>131</c:v>
                </c:pt>
                <c:pt idx="60">
                  <c:v>0</c:v>
                </c:pt>
                <c:pt idx="61">
                  <c:v>0</c:v>
                </c:pt>
                <c:pt idx="62">
                  <c:v>131</c:v>
                </c:pt>
                <c:pt idx="63">
                  <c:v>30941</c:v>
                </c:pt>
                <c:pt idx="64">
                  <c:v>101</c:v>
                </c:pt>
                <c:pt idx="65">
                  <c:v>1064</c:v>
                </c:pt>
                <c:pt idx="66">
                  <c:v>0</c:v>
                </c:pt>
                <c:pt idx="67">
                  <c:v>30941</c:v>
                </c:pt>
                <c:pt idx="68">
                  <c:v>1064</c:v>
                </c:pt>
                <c:pt idx="69">
                  <c:v>0</c:v>
                </c:pt>
                <c:pt idx="70">
                  <c:v>0</c:v>
                </c:pt>
                <c:pt idx="71">
                  <c:v>131</c:v>
                </c:pt>
                <c:pt idx="72">
                  <c:v>30941</c:v>
                </c:pt>
                <c:pt idx="73">
                  <c:v>1064</c:v>
                </c:pt>
                <c:pt idx="74">
                  <c:v>0</c:v>
                </c:pt>
                <c:pt idx="75">
                  <c:v>0</c:v>
                </c:pt>
                <c:pt idx="76">
                  <c:v>131</c:v>
                </c:pt>
                <c:pt idx="77">
                  <c:v>30941</c:v>
                </c:pt>
                <c:pt idx="78">
                  <c:v>1064</c:v>
                </c:pt>
                <c:pt idx="79">
                  <c:v>0</c:v>
                </c:pt>
                <c:pt idx="80">
                  <c:v>0</c:v>
                </c:pt>
                <c:pt idx="81">
                  <c:v>131</c:v>
                </c:pt>
                <c:pt idx="82">
                  <c:v>0</c:v>
                </c:pt>
                <c:pt idx="83">
                  <c:v>131</c:v>
                </c:pt>
                <c:pt idx="84">
                  <c:v>0</c:v>
                </c:pt>
                <c:pt idx="85">
                  <c:v>0</c:v>
                </c:pt>
                <c:pt idx="86">
                  <c:v>161</c:v>
                </c:pt>
                <c:pt idx="87">
                  <c:v>161</c:v>
                </c:pt>
                <c:pt idx="88">
                  <c:v>161</c:v>
                </c:pt>
                <c:pt idx="89">
                  <c:v>161</c:v>
                </c:pt>
                <c:pt idx="90">
                  <c:v>161</c:v>
                </c:pt>
                <c:pt idx="91">
                  <c:v>0</c:v>
                </c:pt>
                <c:pt idx="92">
                  <c:v>0</c:v>
                </c:pt>
                <c:pt idx="93">
                  <c:v>161</c:v>
                </c:pt>
                <c:pt idx="94">
                  <c:v>0</c:v>
                </c:pt>
                <c:pt idx="95">
                  <c:v>161</c:v>
                </c:pt>
                <c:pt idx="96">
                  <c:v>161</c:v>
                </c:pt>
                <c:pt idx="97">
                  <c:v>221</c:v>
                </c:pt>
                <c:pt idx="98">
                  <c:v>221</c:v>
                </c:pt>
                <c:pt idx="99">
                  <c:v>104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221</c:v>
                </c:pt>
                <c:pt idx="104">
                  <c:v>0</c:v>
                </c:pt>
                <c:pt idx="105">
                  <c:v>221</c:v>
                </c:pt>
                <c:pt idx="106">
                  <c:v>104</c:v>
                </c:pt>
                <c:pt idx="107">
                  <c:v>221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101</c:v>
                </c:pt>
                <c:pt idx="113">
                  <c:v>146</c:v>
                </c:pt>
                <c:pt idx="114">
                  <c:v>0</c:v>
                </c:pt>
                <c:pt idx="115">
                  <c:v>0</c:v>
                </c:pt>
                <c:pt idx="116">
                  <c:v>161</c:v>
                </c:pt>
                <c:pt idx="117">
                  <c:v>161</c:v>
                </c:pt>
                <c:pt idx="118">
                  <c:v>161</c:v>
                </c:pt>
                <c:pt idx="119">
                  <c:v>161</c:v>
                </c:pt>
                <c:pt idx="120">
                  <c:v>161</c:v>
                </c:pt>
                <c:pt idx="121">
                  <c:v>0</c:v>
                </c:pt>
                <c:pt idx="122">
                  <c:v>0</c:v>
                </c:pt>
                <c:pt idx="123">
                  <c:v>161</c:v>
                </c:pt>
                <c:pt idx="124">
                  <c:v>0</c:v>
                </c:pt>
                <c:pt idx="125">
                  <c:v>161</c:v>
                </c:pt>
                <c:pt idx="126">
                  <c:v>161</c:v>
                </c:pt>
                <c:pt idx="127">
                  <c:v>221</c:v>
                </c:pt>
                <c:pt idx="128">
                  <c:v>221</c:v>
                </c:pt>
                <c:pt idx="129">
                  <c:v>104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221</c:v>
                </c:pt>
                <c:pt idx="134">
                  <c:v>0</c:v>
                </c:pt>
                <c:pt idx="135">
                  <c:v>221</c:v>
                </c:pt>
                <c:pt idx="136">
                  <c:v>104</c:v>
                </c:pt>
                <c:pt idx="137">
                  <c:v>221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221</c:v>
                </c:pt>
                <c:pt idx="143">
                  <c:v>0</c:v>
                </c:pt>
                <c:pt idx="144">
                  <c:v>101</c:v>
                </c:pt>
                <c:pt idx="145">
                  <c:v>221</c:v>
                </c:pt>
                <c:pt idx="146">
                  <c:v>221</c:v>
                </c:pt>
                <c:pt idx="147">
                  <c:v>77202</c:v>
                </c:pt>
                <c:pt idx="148">
                  <c:v>77202</c:v>
                </c:pt>
                <c:pt idx="149">
                  <c:v>4919</c:v>
                </c:pt>
                <c:pt idx="150">
                  <c:v>4919</c:v>
                </c:pt>
                <c:pt idx="151">
                  <c:v>0</c:v>
                </c:pt>
                <c:pt idx="152">
                  <c:v>0</c:v>
                </c:pt>
                <c:pt idx="153">
                  <c:v>138</c:v>
                </c:pt>
                <c:pt idx="154">
                  <c:v>1908</c:v>
                </c:pt>
                <c:pt idx="155">
                  <c:v>4919</c:v>
                </c:pt>
                <c:pt idx="156">
                  <c:v>0</c:v>
                </c:pt>
                <c:pt idx="157">
                  <c:v>0</c:v>
                </c:pt>
                <c:pt idx="158">
                  <c:v>138</c:v>
                </c:pt>
                <c:pt idx="159">
                  <c:v>1908</c:v>
                </c:pt>
                <c:pt idx="160">
                  <c:v>4919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138</c:v>
                </c:pt>
                <c:pt idx="166">
                  <c:v>1908</c:v>
                </c:pt>
                <c:pt idx="167">
                  <c:v>4919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138</c:v>
                </c:pt>
                <c:pt idx="173">
                  <c:v>1908</c:v>
                </c:pt>
                <c:pt idx="174">
                  <c:v>4919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138</c:v>
                </c:pt>
                <c:pt idx="180">
                  <c:v>1908</c:v>
                </c:pt>
                <c:pt idx="181">
                  <c:v>4919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138</c:v>
                </c:pt>
                <c:pt idx="187">
                  <c:v>1908</c:v>
                </c:pt>
                <c:pt idx="188">
                  <c:v>4919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138</c:v>
                </c:pt>
                <c:pt idx="194">
                  <c:v>1908</c:v>
                </c:pt>
                <c:pt idx="195">
                  <c:v>4919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138</c:v>
                </c:pt>
                <c:pt idx="201">
                  <c:v>1908</c:v>
                </c:pt>
                <c:pt idx="202">
                  <c:v>4919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138</c:v>
                </c:pt>
                <c:pt idx="208">
                  <c:v>1908</c:v>
                </c:pt>
                <c:pt idx="209">
                  <c:v>4919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138</c:v>
                </c:pt>
                <c:pt idx="215">
                  <c:v>1908</c:v>
                </c:pt>
                <c:pt idx="216">
                  <c:v>4919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138</c:v>
                </c:pt>
                <c:pt idx="222">
                  <c:v>1908</c:v>
                </c:pt>
                <c:pt idx="223">
                  <c:v>4919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138</c:v>
                </c:pt>
                <c:pt idx="229">
                  <c:v>1908</c:v>
                </c:pt>
                <c:pt idx="230">
                  <c:v>4919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138</c:v>
                </c:pt>
                <c:pt idx="236">
                  <c:v>1908</c:v>
                </c:pt>
                <c:pt idx="237">
                  <c:v>4919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138</c:v>
                </c:pt>
                <c:pt idx="243">
                  <c:v>1908</c:v>
                </c:pt>
                <c:pt idx="244">
                  <c:v>4919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138</c:v>
                </c:pt>
                <c:pt idx="250">
                  <c:v>1908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138</c:v>
                </c:pt>
                <c:pt idx="256">
                  <c:v>1908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102</c:v>
                </c:pt>
                <c:pt idx="262">
                  <c:v>1004</c:v>
                </c:pt>
                <c:pt idx="263">
                  <c:v>119</c:v>
                </c:pt>
                <c:pt idx="264">
                  <c:v>102</c:v>
                </c:pt>
                <c:pt idx="265">
                  <c:v>101</c:v>
                </c:pt>
                <c:pt idx="266">
                  <c:v>0</c:v>
                </c:pt>
                <c:pt idx="267">
                  <c:v>1004</c:v>
                </c:pt>
                <c:pt idx="268">
                  <c:v>119</c:v>
                </c:pt>
                <c:pt idx="269">
                  <c:v>102</c:v>
                </c:pt>
                <c:pt idx="270">
                  <c:v>101</c:v>
                </c:pt>
                <c:pt idx="271">
                  <c:v>0</c:v>
                </c:pt>
                <c:pt idx="272">
                  <c:v>0</c:v>
                </c:pt>
                <c:pt idx="273">
                  <c:v>110</c:v>
                </c:pt>
                <c:pt idx="274">
                  <c:v>1004</c:v>
                </c:pt>
                <c:pt idx="275">
                  <c:v>119</c:v>
                </c:pt>
                <c:pt idx="276">
                  <c:v>102</c:v>
                </c:pt>
                <c:pt idx="277">
                  <c:v>101</c:v>
                </c:pt>
                <c:pt idx="278">
                  <c:v>0</c:v>
                </c:pt>
                <c:pt idx="279">
                  <c:v>0</c:v>
                </c:pt>
                <c:pt idx="280">
                  <c:v>110</c:v>
                </c:pt>
                <c:pt idx="281">
                  <c:v>1004</c:v>
                </c:pt>
                <c:pt idx="282">
                  <c:v>119</c:v>
                </c:pt>
                <c:pt idx="283">
                  <c:v>102</c:v>
                </c:pt>
                <c:pt idx="284">
                  <c:v>101</c:v>
                </c:pt>
                <c:pt idx="285">
                  <c:v>0</c:v>
                </c:pt>
                <c:pt idx="286">
                  <c:v>0</c:v>
                </c:pt>
                <c:pt idx="287">
                  <c:v>110</c:v>
                </c:pt>
                <c:pt idx="288">
                  <c:v>1004</c:v>
                </c:pt>
                <c:pt idx="289">
                  <c:v>119</c:v>
                </c:pt>
                <c:pt idx="290">
                  <c:v>102</c:v>
                </c:pt>
                <c:pt idx="291">
                  <c:v>101</c:v>
                </c:pt>
                <c:pt idx="292">
                  <c:v>0</c:v>
                </c:pt>
                <c:pt idx="293">
                  <c:v>0</c:v>
                </c:pt>
                <c:pt idx="294">
                  <c:v>110</c:v>
                </c:pt>
                <c:pt idx="295">
                  <c:v>1004</c:v>
                </c:pt>
                <c:pt idx="296">
                  <c:v>119</c:v>
                </c:pt>
                <c:pt idx="297">
                  <c:v>102</c:v>
                </c:pt>
                <c:pt idx="298">
                  <c:v>101</c:v>
                </c:pt>
                <c:pt idx="299">
                  <c:v>0</c:v>
                </c:pt>
                <c:pt idx="300">
                  <c:v>0</c:v>
                </c:pt>
                <c:pt idx="301">
                  <c:v>110</c:v>
                </c:pt>
                <c:pt idx="302">
                  <c:v>1004</c:v>
                </c:pt>
                <c:pt idx="303">
                  <c:v>119</c:v>
                </c:pt>
                <c:pt idx="304">
                  <c:v>102</c:v>
                </c:pt>
                <c:pt idx="305">
                  <c:v>101</c:v>
                </c:pt>
                <c:pt idx="306">
                  <c:v>0</c:v>
                </c:pt>
                <c:pt idx="307">
                  <c:v>0</c:v>
                </c:pt>
                <c:pt idx="308">
                  <c:v>110</c:v>
                </c:pt>
                <c:pt idx="309">
                  <c:v>1004</c:v>
                </c:pt>
                <c:pt idx="310">
                  <c:v>119</c:v>
                </c:pt>
                <c:pt idx="311">
                  <c:v>102</c:v>
                </c:pt>
                <c:pt idx="312">
                  <c:v>101</c:v>
                </c:pt>
                <c:pt idx="313">
                  <c:v>0</c:v>
                </c:pt>
                <c:pt idx="314">
                  <c:v>0</c:v>
                </c:pt>
                <c:pt idx="315">
                  <c:v>110</c:v>
                </c:pt>
                <c:pt idx="316">
                  <c:v>1004</c:v>
                </c:pt>
                <c:pt idx="317">
                  <c:v>119</c:v>
                </c:pt>
                <c:pt idx="318">
                  <c:v>102</c:v>
                </c:pt>
                <c:pt idx="319">
                  <c:v>101</c:v>
                </c:pt>
                <c:pt idx="320">
                  <c:v>0</c:v>
                </c:pt>
                <c:pt idx="321">
                  <c:v>0</c:v>
                </c:pt>
                <c:pt idx="322">
                  <c:v>110</c:v>
                </c:pt>
                <c:pt idx="323">
                  <c:v>1004</c:v>
                </c:pt>
                <c:pt idx="324">
                  <c:v>119</c:v>
                </c:pt>
                <c:pt idx="325">
                  <c:v>102</c:v>
                </c:pt>
                <c:pt idx="326">
                  <c:v>101</c:v>
                </c:pt>
                <c:pt idx="327">
                  <c:v>0</c:v>
                </c:pt>
                <c:pt idx="328">
                  <c:v>0</c:v>
                </c:pt>
                <c:pt idx="329">
                  <c:v>110</c:v>
                </c:pt>
                <c:pt idx="330">
                  <c:v>1004</c:v>
                </c:pt>
                <c:pt idx="331">
                  <c:v>119</c:v>
                </c:pt>
                <c:pt idx="332">
                  <c:v>102</c:v>
                </c:pt>
                <c:pt idx="333">
                  <c:v>101</c:v>
                </c:pt>
                <c:pt idx="334">
                  <c:v>0</c:v>
                </c:pt>
                <c:pt idx="335">
                  <c:v>0</c:v>
                </c:pt>
                <c:pt idx="336">
                  <c:v>110</c:v>
                </c:pt>
                <c:pt idx="337">
                  <c:v>1004</c:v>
                </c:pt>
                <c:pt idx="338">
                  <c:v>119</c:v>
                </c:pt>
                <c:pt idx="339">
                  <c:v>102</c:v>
                </c:pt>
                <c:pt idx="340">
                  <c:v>101</c:v>
                </c:pt>
                <c:pt idx="341">
                  <c:v>0</c:v>
                </c:pt>
                <c:pt idx="342">
                  <c:v>0</c:v>
                </c:pt>
                <c:pt idx="343">
                  <c:v>110</c:v>
                </c:pt>
                <c:pt idx="344">
                  <c:v>1004</c:v>
                </c:pt>
                <c:pt idx="345">
                  <c:v>119</c:v>
                </c:pt>
                <c:pt idx="346">
                  <c:v>102</c:v>
                </c:pt>
                <c:pt idx="347">
                  <c:v>101</c:v>
                </c:pt>
                <c:pt idx="348">
                  <c:v>0</c:v>
                </c:pt>
                <c:pt idx="349">
                  <c:v>0</c:v>
                </c:pt>
                <c:pt idx="350">
                  <c:v>110</c:v>
                </c:pt>
                <c:pt idx="351">
                  <c:v>1004</c:v>
                </c:pt>
                <c:pt idx="352">
                  <c:v>119</c:v>
                </c:pt>
                <c:pt idx="353">
                  <c:v>102</c:v>
                </c:pt>
                <c:pt idx="354">
                  <c:v>101</c:v>
                </c:pt>
                <c:pt idx="355">
                  <c:v>0</c:v>
                </c:pt>
                <c:pt idx="356">
                  <c:v>0</c:v>
                </c:pt>
                <c:pt idx="357">
                  <c:v>110</c:v>
                </c:pt>
                <c:pt idx="358">
                  <c:v>1004</c:v>
                </c:pt>
                <c:pt idx="359">
                  <c:v>119</c:v>
                </c:pt>
                <c:pt idx="360">
                  <c:v>102</c:v>
                </c:pt>
                <c:pt idx="361">
                  <c:v>101</c:v>
                </c:pt>
                <c:pt idx="362">
                  <c:v>0</c:v>
                </c:pt>
                <c:pt idx="363">
                  <c:v>0</c:v>
                </c:pt>
                <c:pt idx="364">
                  <c:v>110</c:v>
                </c:pt>
                <c:pt idx="365">
                  <c:v>1004</c:v>
                </c:pt>
                <c:pt idx="366">
                  <c:v>119</c:v>
                </c:pt>
                <c:pt idx="367">
                  <c:v>102</c:v>
                </c:pt>
                <c:pt idx="368">
                  <c:v>101</c:v>
                </c:pt>
                <c:pt idx="369">
                  <c:v>0</c:v>
                </c:pt>
                <c:pt idx="370">
                  <c:v>0</c:v>
                </c:pt>
                <c:pt idx="371">
                  <c:v>110</c:v>
                </c:pt>
                <c:pt idx="372">
                  <c:v>1004</c:v>
                </c:pt>
                <c:pt idx="373">
                  <c:v>119</c:v>
                </c:pt>
                <c:pt idx="374">
                  <c:v>102</c:v>
                </c:pt>
                <c:pt idx="375">
                  <c:v>101</c:v>
                </c:pt>
                <c:pt idx="376">
                  <c:v>0</c:v>
                </c:pt>
                <c:pt idx="377">
                  <c:v>0</c:v>
                </c:pt>
                <c:pt idx="378">
                  <c:v>110</c:v>
                </c:pt>
                <c:pt idx="379">
                  <c:v>1004</c:v>
                </c:pt>
                <c:pt idx="380">
                  <c:v>119</c:v>
                </c:pt>
                <c:pt idx="381">
                  <c:v>102</c:v>
                </c:pt>
                <c:pt idx="382">
                  <c:v>101</c:v>
                </c:pt>
                <c:pt idx="383">
                  <c:v>0</c:v>
                </c:pt>
                <c:pt idx="384">
                  <c:v>0</c:v>
                </c:pt>
                <c:pt idx="385">
                  <c:v>110</c:v>
                </c:pt>
                <c:pt idx="386">
                  <c:v>1004</c:v>
                </c:pt>
                <c:pt idx="387">
                  <c:v>119</c:v>
                </c:pt>
                <c:pt idx="388">
                  <c:v>102</c:v>
                </c:pt>
                <c:pt idx="389">
                  <c:v>101</c:v>
                </c:pt>
                <c:pt idx="390">
                  <c:v>0</c:v>
                </c:pt>
                <c:pt idx="391">
                  <c:v>0</c:v>
                </c:pt>
                <c:pt idx="392">
                  <c:v>110</c:v>
                </c:pt>
                <c:pt idx="393">
                  <c:v>1004</c:v>
                </c:pt>
                <c:pt idx="394">
                  <c:v>119</c:v>
                </c:pt>
                <c:pt idx="395">
                  <c:v>102</c:v>
                </c:pt>
                <c:pt idx="396">
                  <c:v>101</c:v>
                </c:pt>
                <c:pt idx="397">
                  <c:v>0</c:v>
                </c:pt>
                <c:pt idx="398">
                  <c:v>0</c:v>
                </c:pt>
                <c:pt idx="399">
                  <c:v>110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while_loop_36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Events!$G$162:$G$168</c:f>
              <c:numCache>
                <c:formatCode>General</c:formatCode>
                <c:ptCount val="7"/>
                <c:pt idx="0">
                  <c:v>1067015</c:v>
                </c:pt>
                <c:pt idx="1">
                  <c:v>1063124</c:v>
                </c:pt>
                <c:pt idx="2">
                  <c:v>1064969</c:v>
                </c:pt>
                <c:pt idx="3">
                  <c:v>1064969</c:v>
                </c:pt>
                <c:pt idx="4">
                  <c:v>1064969</c:v>
                </c:pt>
                <c:pt idx="5">
                  <c:v>1071934</c:v>
                </c:pt>
                <c:pt idx="6">
                  <c:v>1072072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Events!$J$162:$J$168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5120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Events!$K$162:$K$168</c:f>
              <c:numCache>
                <c:formatCode>General</c:formatCode>
                <c:ptCount val="7"/>
                <c:pt idx="0">
                  <c:v>4919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138</c:v>
                </c:pt>
                <c:pt idx="6">
                  <c:v>1908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</v>
      </c>
      <c r="G2">
        <f>CEILING(F2/oc_unroll,1)</f>
        <v>64</v>
      </c>
      <c r="H2" s="2">
        <v>0.5</v>
      </c>
      <c r="I2">
        <f>CEILING(G2/H2,1)</f>
        <v>128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20</v>
      </c>
      <c r="B4" t="s">
        <v>21</v>
      </c>
      <c r="C4" t="s">
        <v>18</v>
      </c>
      <c r="D4" t="s">
        <v>22</v>
      </c>
      <c r="E4" t="s">
        <v>23</v>
      </c>
      <c r="F4">
        <v>4194304</v>
      </c>
      <c r="G4">
        <f>CEILING(F4/oc_unroll,1)</f>
        <v>65536</v>
      </c>
      <c r="H4" s="2">
        <v>1</v>
      </c>
      <c r="I4">
        <f>CEILING(G4/H4,1)</f>
        <v>65536</v>
      </c>
    </row>
    <row r="5" spans="1:9">
      <c r="A5" t="s">
        <v>24</v>
      </c>
      <c r="B5" t="s">
        <v>21</v>
      </c>
      <c r="C5" t="s">
        <v>18</v>
      </c>
      <c r="D5" t="s">
        <v>22</v>
      </c>
      <c r="E5" t="s">
        <v>23</v>
      </c>
      <c r="F5">
        <v>4194304</v>
      </c>
      <c r="G5">
        <f>CEILING(F5/oc_unroll,1)</f>
        <v>65536</v>
      </c>
      <c r="H5" s="2">
        <v>1</v>
      </c>
      <c r="I5">
        <f>CEILING(G5/H5,1)</f>
        <v>65536</v>
      </c>
    </row>
    <row r="6" spans="1:9">
      <c r="A6" t="s">
        <v>25</v>
      </c>
      <c r="B6" t="s">
        <v>21</v>
      </c>
      <c r="C6" t="s">
        <v>18</v>
      </c>
      <c r="D6" t="s">
        <v>22</v>
      </c>
      <c r="E6" t="s">
        <v>23</v>
      </c>
      <c r="F6">
        <v>4194304</v>
      </c>
      <c r="G6">
        <f>CEILING(F6/oc_unroll,1)</f>
        <v>65536</v>
      </c>
      <c r="H6" s="2">
        <v>1</v>
      </c>
      <c r="I6">
        <f>CEILING(G6/H6,1)</f>
        <v>65536</v>
      </c>
    </row>
    <row r="7" spans="1:9">
      <c r="A7" t="s">
        <v>26</v>
      </c>
      <c r="B7" t="s">
        <v>17</v>
      </c>
      <c r="C7" t="s">
        <v>27</v>
      </c>
      <c r="E7" t="s">
        <v>27</v>
      </c>
      <c r="F7">
        <v>2048</v>
      </c>
      <c r="G7">
        <f>CEILING(F7/oc_unroll,1)</f>
        <v>32</v>
      </c>
      <c r="H7" s="2">
        <v>0.5</v>
      </c>
      <c r="I7">
        <f>CEILING(G7/H7,1)</f>
        <v>64</v>
      </c>
    </row>
    <row r="8" spans="1:9">
      <c r="A8" t="s">
        <v>28</v>
      </c>
      <c r="B8" t="s">
        <v>17</v>
      </c>
      <c r="C8" t="s">
        <v>29</v>
      </c>
      <c r="E8" t="s">
        <v>29</v>
      </c>
      <c r="F8">
        <v>4096</v>
      </c>
      <c r="G8">
        <f>CEILING(F8/oc_unroll,1)</f>
        <v>64</v>
      </c>
      <c r="H8" s="2">
        <v>0.5</v>
      </c>
      <c r="I8">
        <f>CEILING(G8/H8,1)</f>
        <v>128</v>
      </c>
    </row>
    <row r="9" spans="1:9">
      <c r="A9" t="s">
        <v>30</v>
      </c>
      <c r="B9" t="s">
        <v>17</v>
      </c>
      <c r="C9" t="s">
        <v>29</v>
      </c>
      <c r="E9" t="s">
        <v>29</v>
      </c>
      <c r="F9">
        <v>4096</v>
      </c>
      <c r="G9">
        <f>CEILING(F9/oc_unroll,1)</f>
        <v>64</v>
      </c>
      <c r="H9" s="2">
        <v>0.5</v>
      </c>
      <c r="I9">
        <f>CEILING(G9/H9,1)</f>
        <v>128</v>
      </c>
    </row>
    <row r="10" spans="1:9">
      <c r="A10" t="s">
        <v>31</v>
      </c>
      <c r="B10" t="s">
        <v>17</v>
      </c>
      <c r="C10" t="s">
        <v>27</v>
      </c>
      <c r="E10" t="s">
        <v>27</v>
      </c>
      <c r="F10">
        <v>2048</v>
      </c>
      <c r="G10">
        <f>CEILING(F10/oc_unroll,1)</f>
        <v>32</v>
      </c>
      <c r="H10" s="2">
        <v>0.5</v>
      </c>
      <c r="I10">
        <f>CEILING(G10/H10,1)</f>
        <v>64</v>
      </c>
    </row>
    <row r="11" spans="1:9">
      <c r="A11" t="s">
        <v>32</v>
      </c>
      <c r="B11" t="s">
        <v>17</v>
      </c>
      <c r="C11" t="s">
        <v>29</v>
      </c>
      <c r="E11" t="s">
        <v>29</v>
      </c>
      <c r="F11">
        <v>4096</v>
      </c>
      <c r="G11">
        <f>CEILING(F11/oc_unroll,1)</f>
        <v>64</v>
      </c>
      <c r="H11" s="2">
        <v>0.5</v>
      </c>
      <c r="I11">
        <f>CEILING(G11/H11,1)</f>
        <v>128</v>
      </c>
    </row>
    <row r="12" spans="1:9">
      <c r="A12" t="s">
        <v>33</v>
      </c>
      <c r="B12" t="s">
        <v>17</v>
      </c>
      <c r="C12" t="s">
        <v>29</v>
      </c>
      <c r="E12" t="s">
        <v>29</v>
      </c>
      <c r="F12">
        <v>4096</v>
      </c>
      <c r="G12">
        <f>CEILING(F12/oc_unroll,1)</f>
        <v>64</v>
      </c>
      <c r="H12" s="2">
        <v>0.5</v>
      </c>
      <c r="I12">
        <f>CEILING(G12/H12,1)</f>
        <v>128</v>
      </c>
    </row>
    <row r="13" spans="1:9">
      <c r="A13" t="s">
        <v>34</v>
      </c>
      <c r="B13" t="s">
        <v>17</v>
      </c>
      <c r="C13" t="s">
        <v>35</v>
      </c>
      <c r="E13" t="s">
        <v>35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36</v>
      </c>
      <c r="B14" t="s">
        <v>21</v>
      </c>
      <c r="C14" t="s">
        <v>37</v>
      </c>
      <c r="D14" t="s">
        <v>38</v>
      </c>
      <c r="E14" t="s">
        <v>39</v>
      </c>
      <c r="F14">
        <v>81920</v>
      </c>
      <c r="G14">
        <f>CEILING(F14/oc_unroll,1)</f>
        <v>1280</v>
      </c>
      <c r="H14" s="2">
        <v>1</v>
      </c>
      <c r="I14">
        <f>CEILING(G14/H14,1)</f>
        <v>1280</v>
      </c>
    </row>
    <row r="15" spans="1:9">
      <c r="A15" t="s">
        <v>40</v>
      </c>
      <c r="B15" t="s">
        <v>17</v>
      </c>
      <c r="C15" t="s">
        <v>41</v>
      </c>
      <c r="E15" t="s">
        <v>41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42</v>
      </c>
      <c r="B16" t="s">
        <v>17</v>
      </c>
      <c r="C16" t="s">
        <v>43</v>
      </c>
      <c r="E16" t="s">
        <v>43</v>
      </c>
      <c r="F16">
        <v>1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44</v>
      </c>
      <c r="B17" t="s">
        <v>17</v>
      </c>
      <c r="C17" t="s">
        <v>45</v>
      </c>
      <c r="E17" t="s">
        <v>45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46</v>
      </c>
      <c r="B18" t="s">
        <v>21</v>
      </c>
      <c r="C18" t="s">
        <v>37</v>
      </c>
      <c r="D18" t="s">
        <v>47</v>
      </c>
      <c r="E18" t="s">
        <v>37</v>
      </c>
      <c r="F18">
        <v>16384</v>
      </c>
      <c r="G18">
        <f>CEILING(F18/oc_unroll,1)</f>
        <v>256</v>
      </c>
      <c r="H18" s="2">
        <v>1</v>
      </c>
      <c r="I18">
        <f>CEILING(G18/H18,1)</f>
        <v>256</v>
      </c>
    </row>
    <row r="19" spans="1:9">
      <c r="A19" t="s">
        <v>48</v>
      </c>
      <c r="B19" t="s">
        <v>21</v>
      </c>
      <c r="C19" t="s">
        <v>49</v>
      </c>
      <c r="D19" t="s">
        <v>50</v>
      </c>
      <c r="E19" t="s">
        <v>37</v>
      </c>
      <c r="F19">
        <v>65536</v>
      </c>
      <c r="G19">
        <f>CEILING(F19/oc_unroll,1)</f>
        <v>1024</v>
      </c>
      <c r="H19" s="2">
        <v>1</v>
      </c>
      <c r="I19">
        <f>CEILING(G19/H19,1)</f>
        <v>1024</v>
      </c>
    </row>
    <row r="20" spans="1:9">
      <c r="A20" t="s">
        <v>51</v>
      </c>
      <c r="B20" t="s">
        <v>21</v>
      </c>
      <c r="C20" t="s">
        <v>18</v>
      </c>
      <c r="D20" t="s">
        <v>22</v>
      </c>
      <c r="E20" t="s">
        <v>23</v>
      </c>
      <c r="F20">
        <v>4194304</v>
      </c>
      <c r="G20">
        <f>CEILING(F20/oc_unroll,1)</f>
        <v>65536</v>
      </c>
      <c r="H20" s="2">
        <v>1</v>
      </c>
      <c r="I20">
        <f>CEILING(G20/H20,1)</f>
        <v>65536</v>
      </c>
    </row>
    <row r="21" spans="1:9">
      <c r="A21" t="s">
        <v>52</v>
      </c>
      <c r="B21" t="s">
        <v>17</v>
      </c>
      <c r="C21" t="s">
        <v>18</v>
      </c>
      <c r="E21" t="s">
        <v>18</v>
      </c>
      <c r="F21">
        <v>4096</v>
      </c>
      <c r="G21">
        <f>CEILING(F21/oc_unroll,1)</f>
        <v>64</v>
      </c>
      <c r="H21" s="2">
        <v>0.5</v>
      </c>
      <c r="I21">
        <f>CEILING(G21/H21,1)</f>
        <v>128</v>
      </c>
    </row>
    <row r="22" spans="1:9">
      <c r="A22" t="s">
        <v>53</v>
      </c>
      <c r="B22" t="s">
        <v>17</v>
      </c>
      <c r="C22" t="s">
        <v>18</v>
      </c>
      <c r="E22" t="s">
        <v>18</v>
      </c>
      <c r="F22">
        <v>4096</v>
      </c>
      <c r="G22">
        <f>CEILING(F22/oc_unroll,1)</f>
        <v>64</v>
      </c>
      <c r="H22" s="2">
        <v>0.03125</v>
      </c>
      <c r="I22">
        <f>CEILING(G22/H22,1)</f>
        <v>2048</v>
      </c>
    </row>
    <row r="23" spans="1:9">
      <c r="A23" t="s">
        <v>54</v>
      </c>
      <c r="B23" t="s">
        <v>21</v>
      </c>
      <c r="C23" t="s">
        <v>18</v>
      </c>
      <c r="D23" t="s">
        <v>55</v>
      </c>
      <c r="E23" t="s">
        <v>56</v>
      </c>
      <c r="F23">
        <v>1048576</v>
      </c>
      <c r="G23">
        <f>CEILING(F23/oc_unroll,1)</f>
        <v>16384</v>
      </c>
      <c r="H23" s="2">
        <v>1</v>
      </c>
      <c r="I23">
        <f>CEILING(G23/H23,1)</f>
        <v>16384</v>
      </c>
    </row>
    <row r="24" spans="1:9">
      <c r="A24" t="s">
        <v>57</v>
      </c>
      <c r="B24" t="s">
        <v>21</v>
      </c>
      <c r="C24" t="s">
        <v>18</v>
      </c>
      <c r="D24" t="s">
        <v>55</v>
      </c>
      <c r="E24" t="s">
        <v>56</v>
      </c>
      <c r="F24">
        <v>1048576</v>
      </c>
      <c r="G24">
        <f>CEILING(F24/oc_unroll,1)</f>
        <v>16384</v>
      </c>
      <c r="H24" s="2">
        <v>1</v>
      </c>
      <c r="I24">
        <f>CEILING(G24/H24,1)</f>
        <v>16384</v>
      </c>
    </row>
    <row r="25" spans="1:9">
      <c r="A25" t="s">
        <v>58</v>
      </c>
      <c r="B25" t="s">
        <v>21</v>
      </c>
      <c r="C25" t="s">
        <v>59</v>
      </c>
      <c r="D25" t="s">
        <v>60</v>
      </c>
      <c r="E25" t="s">
        <v>56</v>
      </c>
      <c r="F25">
        <v>2818048</v>
      </c>
      <c r="G25">
        <f>CEILING(F25/oc_unroll,1)</f>
        <v>44032</v>
      </c>
      <c r="H25" s="2">
        <v>1</v>
      </c>
      <c r="I25">
        <f>CEILING(G25/H25,1)</f>
        <v>44032</v>
      </c>
    </row>
    <row r="26" spans="1:9">
      <c r="A26" t="s">
        <v>61</v>
      </c>
      <c r="B26" t="s">
        <v>21</v>
      </c>
      <c r="C26" t="s">
        <v>62</v>
      </c>
      <c r="D26" t="s">
        <v>63</v>
      </c>
      <c r="E26" t="s">
        <v>64</v>
      </c>
      <c r="F26">
        <v>2621440</v>
      </c>
      <c r="G26">
        <f>CEILING(F26/oc_unroll,1)</f>
        <v>40960</v>
      </c>
      <c r="H26" s="2">
        <v>1</v>
      </c>
      <c r="I26">
        <f>CEILING(G26/H26,1)</f>
        <v>40960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53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65</v>
      </c>
      <c r="B1" s="1" t="s">
        <v>7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>
        <v>0</v>
      </c>
      <c r="B2" t="s">
        <v>77</v>
      </c>
      <c r="C2" t="s">
        <v>78</v>
      </c>
      <c r="D2" t="s">
        <v>79</v>
      </c>
      <c r="E2" t="s">
        <v>80</v>
      </c>
      <c r="F2">
        <v>8192</v>
      </c>
      <c r="G2">
        <f>0</f>
        <v>0</v>
      </c>
      <c r="H2">
        <f>CEILING((dram_access_latency+F2/dram_bandwidth)*frequency,1)</f>
        <v>221</v>
      </c>
      <c r="I2">
        <f>G2+H2</f>
        <v>221</v>
      </c>
      <c r="J2">
        <f>IF(AND(D2&lt;&gt;"dram",D2&lt;&gt;"control"),H2,0)</f>
        <v>0</v>
      </c>
      <c r="K2">
        <f>IF(D2="dram",H2,0)</f>
        <v>221</v>
      </c>
      <c r="L2">
        <v>8192</v>
      </c>
      <c r="M2">
        <v>0</v>
      </c>
    </row>
    <row r="3" spans="1:13">
      <c r="A3">
        <v>1</v>
      </c>
      <c r="B3" t="s">
        <v>81</v>
      </c>
      <c r="C3" t="s">
        <v>82</v>
      </c>
      <c r="D3" t="s">
        <v>83</v>
      </c>
      <c r="E3" t="s">
        <v>84</v>
      </c>
      <c r="F3">
        <v>0</v>
      </c>
      <c r="G3">
        <f>MAX(I2)</f>
        <v>0</v>
      </c>
      <c r="H3">
        <f>0</f>
        <v>221</v>
      </c>
      <c r="I3">
        <f>G3+H3</f>
        <v>221</v>
      </c>
      <c r="J3">
        <f>IF(AND(D3&lt;&gt;"dram",D3&lt;&gt;"control"),H3,0)</f>
        <v>0</v>
      </c>
      <c r="K3">
        <f>IF(D3="dram",H3,0)</f>
        <v>0</v>
      </c>
      <c r="L3">
        <v>0</v>
      </c>
      <c r="M3">
        <v>0</v>
      </c>
    </row>
    <row r="4" spans="1:13">
      <c r="A4">
        <v>2</v>
      </c>
      <c r="B4" t="s">
        <v>16</v>
      </c>
      <c r="C4" t="s">
        <v>85</v>
      </c>
      <c r="D4" t="s">
        <v>17</v>
      </c>
      <c r="E4" t="s">
        <v>84</v>
      </c>
      <c r="F4">
        <v>0</v>
      </c>
      <c r="G4">
        <f>MAX(I3)</f>
        <v>221</v>
      </c>
      <c r="H4">
        <f>'Operations'!I2</f>
        <v>128</v>
      </c>
      <c r="I4">
        <f>G4+H4</f>
        <v>349</v>
      </c>
      <c r="J4">
        <f>IF(AND(D4&lt;&gt;"dram",D4&lt;&gt;"control"),H4,0)</f>
        <v>128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86</v>
      </c>
      <c r="C5" t="s">
        <v>87</v>
      </c>
      <c r="D5" t="s">
        <v>79</v>
      </c>
      <c r="E5" t="s">
        <v>84</v>
      </c>
      <c r="F5">
        <v>4096</v>
      </c>
      <c r="G5">
        <f>MAX(I4,I2)</f>
        <v>349</v>
      </c>
      <c r="H5">
        <f>CEILING((dram_access_latency+F5/dram_bandwidth)*frequency,1)</f>
        <v>161</v>
      </c>
      <c r="I5">
        <f>G5+H5</f>
        <v>510</v>
      </c>
      <c r="J5">
        <f>IF(AND(D5&lt;&gt;"dram",D5&lt;&gt;"control"),H5,0)</f>
        <v>0</v>
      </c>
      <c r="K5">
        <f>IF(D5="dram",H5,0)</f>
        <v>161</v>
      </c>
      <c r="L5">
        <v>0</v>
      </c>
      <c r="M5">
        <v>4096</v>
      </c>
    </row>
    <row r="6" spans="1:13">
      <c r="A6">
        <v>4</v>
      </c>
      <c r="B6" t="s">
        <v>88</v>
      </c>
      <c r="C6" t="s">
        <v>82</v>
      </c>
      <c r="D6" t="s">
        <v>83</v>
      </c>
      <c r="E6" t="s">
        <v>80</v>
      </c>
      <c r="F6">
        <v>0</v>
      </c>
      <c r="G6">
        <f>MAX(I4,I5)</f>
        <v>349</v>
      </c>
      <c r="H6">
        <f>0</f>
        <v>161</v>
      </c>
      <c r="I6">
        <f>G6+H6</f>
        <v>510</v>
      </c>
      <c r="J6">
        <f>IF(AND(D6&lt;&gt;"dram",D6&lt;&gt;"control"),H6,0)</f>
        <v>0</v>
      </c>
      <c r="K6">
        <f>IF(D6="dram",H6,0)</f>
        <v>0</v>
      </c>
      <c r="L6">
        <v>0</v>
      </c>
      <c r="M6">
        <v>0</v>
      </c>
    </row>
    <row r="7" spans="1:13">
      <c r="A7">
        <v>5</v>
      </c>
      <c r="B7" t="s">
        <v>89</v>
      </c>
      <c r="C7" t="s">
        <v>78</v>
      </c>
      <c r="D7" t="s">
        <v>79</v>
      </c>
      <c r="E7" t="s">
        <v>80</v>
      </c>
      <c r="F7">
        <v>4096</v>
      </c>
      <c r="G7">
        <f>MAX(I6,I5)</f>
        <v>510</v>
      </c>
      <c r="H7">
        <f>CEILING((dram_access_latency+F7/dram_bandwidth)*frequency,1)</f>
        <v>161</v>
      </c>
      <c r="I7">
        <f>G7+H7</f>
        <v>671</v>
      </c>
      <c r="J7">
        <f>IF(AND(D7&lt;&gt;"dram",D7&lt;&gt;"control"),H7,0)</f>
        <v>0</v>
      </c>
      <c r="K7">
        <f>IF(D7="dram",H7,0)</f>
        <v>161</v>
      </c>
      <c r="L7">
        <v>4096</v>
      </c>
      <c r="M7">
        <v>0</v>
      </c>
    </row>
    <row r="8" spans="1:13">
      <c r="A8">
        <v>6</v>
      </c>
      <c r="B8" t="s">
        <v>90</v>
      </c>
      <c r="C8" t="s">
        <v>78</v>
      </c>
      <c r="D8" t="s">
        <v>79</v>
      </c>
      <c r="E8" t="s">
        <v>80</v>
      </c>
      <c r="F8">
        <v>8192</v>
      </c>
      <c r="G8">
        <f>MAX(I6,I7)</f>
        <v>671</v>
      </c>
      <c r="H8">
        <f>CEILING((dram_access_latency+F8/dram_bandwidth)*frequency,1)</f>
        <v>221</v>
      </c>
      <c r="I8">
        <f>G8+H8</f>
        <v>892</v>
      </c>
      <c r="J8">
        <f>IF(AND(D8&lt;&gt;"dram",D8&lt;&gt;"control"),H8,0)</f>
        <v>0</v>
      </c>
      <c r="K8">
        <f>IF(D8="dram",H8,0)</f>
        <v>221</v>
      </c>
      <c r="L8">
        <v>8192</v>
      </c>
      <c r="M8">
        <v>0</v>
      </c>
    </row>
    <row r="9" spans="1:13">
      <c r="A9">
        <v>7</v>
      </c>
      <c r="B9" t="s">
        <v>91</v>
      </c>
      <c r="C9" t="s">
        <v>82</v>
      </c>
      <c r="D9" t="s">
        <v>83</v>
      </c>
      <c r="E9" t="s">
        <v>84</v>
      </c>
      <c r="F9">
        <v>0</v>
      </c>
      <c r="G9">
        <f>MAX(I6,I7)</f>
        <v>510</v>
      </c>
      <c r="H9">
        <f>0</f>
        <v>161</v>
      </c>
      <c r="I9">
        <f>G9+H9</f>
        <v>671</v>
      </c>
      <c r="J9">
        <f>IF(AND(D9&lt;&gt;"dram",D9&lt;&gt;"control"),H9,0)</f>
        <v>0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82</v>
      </c>
      <c r="D10" t="s">
        <v>83</v>
      </c>
      <c r="E10" t="s">
        <v>84</v>
      </c>
      <c r="F10">
        <v>0</v>
      </c>
      <c r="G10">
        <f>MAX(I9,I8)</f>
        <v>671</v>
      </c>
      <c r="H10">
        <f>0</f>
        <v>221</v>
      </c>
      <c r="I10">
        <f>G10+H10</f>
        <v>892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19</v>
      </c>
      <c r="C11" t="s">
        <v>85</v>
      </c>
      <c r="D11" t="s">
        <v>17</v>
      </c>
      <c r="E11" t="s">
        <v>84</v>
      </c>
      <c r="F11">
        <v>0</v>
      </c>
      <c r="G11">
        <f>MAX(I10,I4)</f>
        <v>892</v>
      </c>
      <c r="H11">
        <f>'Operations'!I3</f>
        <v>2048</v>
      </c>
      <c r="I11">
        <f>G11+H11</f>
        <v>2940</v>
      </c>
      <c r="J11">
        <f>IF(AND(D11&lt;&gt;"dram",D11&lt;&gt;"control"),H11,0)</f>
        <v>2048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93</v>
      </c>
      <c r="C12" t="s">
        <v>87</v>
      </c>
      <c r="D12" t="s">
        <v>79</v>
      </c>
      <c r="E12" t="s">
        <v>84</v>
      </c>
      <c r="F12">
        <v>64</v>
      </c>
      <c r="G12">
        <f>MAX(I11,I8)</f>
        <v>2940</v>
      </c>
      <c r="H12">
        <f>CEILING((dram_access_latency+F12/dram_bandwidth)*frequency,1)</f>
        <v>101</v>
      </c>
      <c r="I12">
        <f>G12+H12</f>
        <v>3041</v>
      </c>
      <c r="J12">
        <f>IF(AND(D12&lt;&gt;"dram",D12&lt;&gt;"control"),H12,0)</f>
        <v>0</v>
      </c>
      <c r="K12">
        <f>IF(D12="dram",H12,0)</f>
        <v>101</v>
      </c>
      <c r="L12">
        <v>0</v>
      </c>
      <c r="M12">
        <v>64</v>
      </c>
    </row>
    <row r="13" spans="1:13">
      <c r="A13">
        <v>11</v>
      </c>
      <c r="B13" t="s">
        <v>94</v>
      </c>
      <c r="C13" t="s">
        <v>87</v>
      </c>
      <c r="D13" t="s">
        <v>79</v>
      </c>
      <c r="E13" t="s">
        <v>84</v>
      </c>
      <c r="F13">
        <v>2048</v>
      </c>
      <c r="G13">
        <f>MAX(I11,I12)</f>
        <v>3041</v>
      </c>
      <c r="H13">
        <f>CEILING((dram_access_latency+F13/dram_bandwidth)*frequency,1)</f>
        <v>131</v>
      </c>
      <c r="I13">
        <f>G13+H13</f>
        <v>3172</v>
      </c>
      <c r="J13">
        <f>IF(AND(D13&lt;&gt;"dram",D13&lt;&gt;"control"),H13,0)</f>
        <v>0</v>
      </c>
      <c r="K13">
        <f>IF(D13="dram",H13,0)</f>
        <v>131</v>
      </c>
      <c r="L13">
        <v>0</v>
      </c>
      <c r="M13">
        <v>2048</v>
      </c>
    </row>
    <row r="14" spans="1:13">
      <c r="A14">
        <v>12</v>
      </c>
      <c r="B14" t="s">
        <v>95</v>
      </c>
      <c r="C14" t="s">
        <v>82</v>
      </c>
      <c r="D14" t="s">
        <v>83</v>
      </c>
      <c r="E14" t="s">
        <v>80</v>
      </c>
      <c r="F14">
        <v>0</v>
      </c>
      <c r="G14">
        <f>MAX(I11,I12)</f>
        <v>2940</v>
      </c>
      <c r="H14">
        <f>0</f>
        <v>101</v>
      </c>
      <c r="I14">
        <f>G14+H14</f>
        <v>3041</v>
      </c>
      <c r="J14">
        <f>IF(AND(D14&lt;&gt;"dram",D14&lt;&gt;"control"),H14,0)</f>
        <v>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96</v>
      </c>
      <c r="C15" t="s">
        <v>82</v>
      </c>
      <c r="D15" t="s">
        <v>83</v>
      </c>
      <c r="E15" t="s">
        <v>80</v>
      </c>
      <c r="F15">
        <v>0</v>
      </c>
      <c r="G15">
        <f>MAX(I14,I13)</f>
        <v>3041</v>
      </c>
      <c r="H15">
        <f>0</f>
        <v>131</v>
      </c>
      <c r="I15">
        <f>G15+H15</f>
        <v>3172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97</v>
      </c>
      <c r="C16" t="s">
        <v>78</v>
      </c>
      <c r="D16" t="s">
        <v>79</v>
      </c>
      <c r="E16" t="s">
        <v>84</v>
      </c>
      <c r="F16">
        <v>2048</v>
      </c>
      <c r="G16">
        <f>MAX(I15,I13)</f>
        <v>3172</v>
      </c>
      <c r="H16">
        <f>CEILING((dram_access_latency+F16/dram_bandwidth)*frequency,1)</f>
        <v>131</v>
      </c>
      <c r="I16">
        <f>G16+H16</f>
        <v>3303</v>
      </c>
      <c r="J16">
        <f>IF(AND(D16&lt;&gt;"dram",D16&lt;&gt;"control"),H16,0)</f>
        <v>0</v>
      </c>
      <c r="K16">
        <f>IF(D16="dram",H16,0)</f>
        <v>131</v>
      </c>
      <c r="L16">
        <v>2048</v>
      </c>
      <c r="M16">
        <v>0</v>
      </c>
    </row>
    <row r="17" spans="1:13">
      <c r="A17">
        <v>15</v>
      </c>
      <c r="B17" t="s">
        <v>98</v>
      </c>
      <c r="C17" t="s">
        <v>78</v>
      </c>
      <c r="D17" t="s">
        <v>79</v>
      </c>
      <c r="E17" t="s">
        <v>84</v>
      </c>
      <c r="F17">
        <v>2097152</v>
      </c>
      <c r="G17">
        <f>MAX(I15,I16)</f>
        <v>3303</v>
      </c>
      <c r="H17">
        <f>CEILING((dram_access_latency+F17/dram_bandwidth)*frequency,1)</f>
        <v>30941</v>
      </c>
      <c r="I17">
        <f>G17+H17</f>
        <v>34244</v>
      </c>
      <c r="J17">
        <f>IF(AND(D17&lt;&gt;"dram",D17&lt;&gt;"control"),H17,0)</f>
        <v>0</v>
      </c>
      <c r="K17">
        <f>IF(D17="dram",H17,0)</f>
        <v>30941</v>
      </c>
      <c r="L17">
        <v>2097152</v>
      </c>
      <c r="M17">
        <v>0</v>
      </c>
    </row>
    <row r="18" spans="1:13">
      <c r="A18">
        <v>16</v>
      </c>
      <c r="B18" t="s">
        <v>99</v>
      </c>
      <c r="C18" t="s">
        <v>78</v>
      </c>
      <c r="D18" t="s">
        <v>79</v>
      </c>
      <c r="E18" t="s">
        <v>84</v>
      </c>
      <c r="F18">
        <v>64</v>
      </c>
      <c r="G18">
        <f>MAX(I15,I17)</f>
        <v>34244</v>
      </c>
      <c r="H18">
        <f>CEILING((dram_access_latency+F18/dram_bandwidth)*frequency,1)</f>
        <v>101</v>
      </c>
      <c r="I18">
        <f>G18+H18</f>
        <v>34345</v>
      </c>
      <c r="J18">
        <f>IF(AND(D18&lt;&gt;"dram",D18&lt;&gt;"control"),H18,0)</f>
        <v>0</v>
      </c>
      <c r="K18">
        <f>IF(D18="dram",H18,0)</f>
        <v>101</v>
      </c>
      <c r="L18">
        <v>64</v>
      </c>
      <c r="M18">
        <v>0</v>
      </c>
    </row>
    <row r="19" spans="1:13">
      <c r="A19">
        <v>17</v>
      </c>
      <c r="B19" t="s">
        <v>100</v>
      </c>
      <c r="C19" t="s">
        <v>78</v>
      </c>
      <c r="D19" t="s">
        <v>79</v>
      </c>
      <c r="E19" t="s">
        <v>84</v>
      </c>
      <c r="F19">
        <v>65536</v>
      </c>
      <c r="G19">
        <f>MAX(I15,I18)</f>
        <v>34345</v>
      </c>
      <c r="H19">
        <f>CEILING((dram_access_latency+F19/dram_bandwidth)*frequency,1)</f>
        <v>1064</v>
      </c>
      <c r="I19">
        <f>G19+H19</f>
        <v>35409</v>
      </c>
      <c r="J19">
        <f>IF(AND(D19&lt;&gt;"dram",D19&lt;&gt;"control"),H19,0)</f>
        <v>0</v>
      </c>
      <c r="K19">
        <f>IF(D19="dram",H19,0)</f>
        <v>1064</v>
      </c>
      <c r="L19">
        <v>65536</v>
      </c>
      <c r="M19">
        <v>0</v>
      </c>
    </row>
    <row r="20" spans="1:13">
      <c r="A20">
        <v>18</v>
      </c>
      <c r="B20" t="s">
        <v>20</v>
      </c>
      <c r="C20" t="s">
        <v>85</v>
      </c>
      <c r="D20" t="s">
        <v>17</v>
      </c>
      <c r="E20" t="s">
        <v>84</v>
      </c>
      <c r="F20">
        <v>0</v>
      </c>
      <c r="G20">
        <f>MAX(I11,I16,I17,I18,I19)</f>
        <v>35409</v>
      </c>
      <c r="H20">
        <f>'Operations'!I4</f>
        <v>65536</v>
      </c>
      <c r="I20">
        <f>G20+H20</f>
        <v>100945</v>
      </c>
      <c r="J20">
        <f>IF(AND(D20&lt;&gt;"dram",D20&lt;&gt;"control"),H20,0)</f>
        <v>65536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78</v>
      </c>
      <c r="D21" t="s">
        <v>79</v>
      </c>
      <c r="E21" t="s">
        <v>101</v>
      </c>
      <c r="F21">
        <v>2097152</v>
      </c>
      <c r="G21">
        <f>MAX(I15,I19)</f>
        <v>35409</v>
      </c>
      <c r="H21">
        <f>CEILING((dram_access_latency+F21/dram_bandwidth)*frequency,1)</f>
        <v>30941</v>
      </c>
      <c r="I21">
        <f>G21+H21</f>
        <v>66350</v>
      </c>
      <c r="J21">
        <f>IF(AND(D21&lt;&gt;"dram",D21&lt;&gt;"control"),H21,0)</f>
        <v>0</v>
      </c>
      <c r="K21">
        <f>IF(D21="dram",H21,0)</f>
        <v>30941</v>
      </c>
      <c r="L21">
        <v>2097152</v>
      </c>
      <c r="M21">
        <v>0</v>
      </c>
    </row>
    <row r="22" spans="1:13">
      <c r="A22">
        <v>20</v>
      </c>
      <c r="B22" t="s">
        <v>100</v>
      </c>
      <c r="C22" t="s">
        <v>78</v>
      </c>
      <c r="D22" t="s">
        <v>79</v>
      </c>
      <c r="E22" t="s">
        <v>101</v>
      </c>
      <c r="F22">
        <v>65536</v>
      </c>
      <c r="G22">
        <f>MAX(I15,I21)</f>
        <v>66350</v>
      </c>
      <c r="H22">
        <f>CEILING((dram_access_latency+F22/dram_bandwidth)*frequency,1)</f>
        <v>1064</v>
      </c>
      <c r="I22">
        <f>G22+H22</f>
        <v>67414</v>
      </c>
      <c r="J22">
        <f>IF(AND(D22&lt;&gt;"dram",D22&lt;&gt;"control"),H22,0)</f>
        <v>0</v>
      </c>
      <c r="K22">
        <f>IF(D22="dram",H22,0)</f>
        <v>1064</v>
      </c>
      <c r="L22">
        <v>65536</v>
      </c>
      <c r="M22">
        <v>0</v>
      </c>
    </row>
    <row r="23" spans="1:13">
      <c r="A23">
        <v>21</v>
      </c>
      <c r="B23" t="s">
        <v>20</v>
      </c>
      <c r="C23" t="s">
        <v>85</v>
      </c>
      <c r="D23" t="s">
        <v>17</v>
      </c>
      <c r="E23" t="s">
        <v>101</v>
      </c>
      <c r="F23">
        <v>0</v>
      </c>
      <c r="G23">
        <f>MAX(I20,I16,I21,I18,I22)</f>
        <v>100945</v>
      </c>
      <c r="H23">
        <f>'Operations'!I4</f>
        <v>65536</v>
      </c>
      <c r="I23">
        <f>G23+H23</f>
        <v>166481</v>
      </c>
      <c r="J23">
        <f>IF(AND(D23&lt;&gt;"dram",D23&lt;&gt;"control"),H23,0)</f>
        <v>65536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102</v>
      </c>
      <c r="C24" t="s">
        <v>82</v>
      </c>
      <c r="D24" t="s">
        <v>83</v>
      </c>
      <c r="E24" t="s">
        <v>101</v>
      </c>
      <c r="F24">
        <v>0</v>
      </c>
      <c r="G24">
        <f>MAX(I15,I20)</f>
        <v>3172</v>
      </c>
      <c r="H24">
        <f>0</f>
        <v>97773</v>
      </c>
      <c r="I24">
        <f>G24+H24</f>
        <v>100945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103</v>
      </c>
      <c r="C25" t="s">
        <v>87</v>
      </c>
      <c r="D25" t="s">
        <v>79</v>
      </c>
      <c r="E25" t="s">
        <v>101</v>
      </c>
      <c r="F25">
        <v>2048</v>
      </c>
      <c r="G25">
        <f>MAX(I24,I22)</f>
        <v>100945</v>
      </c>
      <c r="H25">
        <f>CEILING((dram_access_latency+F25/dram_bandwidth)*frequency,1)</f>
        <v>131</v>
      </c>
      <c r="I25">
        <f>G25+H25</f>
        <v>101076</v>
      </c>
      <c r="J25">
        <f>IF(AND(D25&lt;&gt;"dram",D25&lt;&gt;"control"),H25,0)</f>
        <v>0</v>
      </c>
      <c r="K25">
        <f>IF(D25="dram",H25,0)</f>
        <v>131</v>
      </c>
      <c r="L25">
        <v>0</v>
      </c>
      <c r="M25">
        <v>2048</v>
      </c>
    </row>
    <row r="26" spans="1:13">
      <c r="A26">
        <v>24</v>
      </c>
      <c r="B26" t="s">
        <v>98</v>
      </c>
      <c r="C26" t="s">
        <v>78</v>
      </c>
      <c r="D26" t="s">
        <v>79</v>
      </c>
      <c r="E26" t="s">
        <v>104</v>
      </c>
      <c r="F26">
        <v>2097152</v>
      </c>
      <c r="G26">
        <f>MAX(I24,I25)</f>
        <v>101076</v>
      </c>
      <c r="H26">
        <f>CEILING((dram_access_latency+F26/dram_bandwidth)*frequency,1)</f>
        <v>30941</v>
      </c>
      <c r="I26">
        <f>G26+H26</f>
        <v>132017</v>
      </c>
      <c r="J26">
        <f>IF(AND(D26&lt;&gt;"dram",D26&lt;&gt;"control"),H26,0)</f>
        <v>0</v>
      </c>
      <c r="K26">
        <f>IF(D26="dram",H26,0)</f>
        <v>30941</v>
      </c>
      <c r="L26">
        <v>2097152</v>
      </c>
      <c r="M26">
        <v>0</v>
      </c>
    </row>
    <row r="27" spans="1:13">
      <c r="A27">
        <v>25</v>
      </c>
      <c r="B27" t="s">
        <v>100</v>
      </c>
      <c r="C27" t="s">
        <v>78</v>
      </c>
      <c r="D27" t="s">
        <v>79</v>
      </c>
      <c r="E27" t="s">
        <v>104</v>
      </c>
      <c r="F27">
        <v>65536</v>
      </c>
      <c r="G27">
        <f>MAX(I24,I26)</f>
        <v>132017</v>
      </c>
      <c r="H27">
        <f>CEILING((dram_access_latency+F27/dram_bandwidth)*frequency,1)</f>
        <v>1064</v>
      </c>
      <c r="I27">
        <f>G27+H27</f>
        <v>133081</v>
      </c>
      <c r="J27">
        <f>IF(AND(D27&lt;&gt;"dram",D27&lt;&gt;"control"),H27,0)</f>
        <v>0</v>
      </c>
      <c r="K27">
        <f>IF(D27="dram",H27,0)</f>
        <v>1064</v>
      </c>
      <c r="L27">
        <v>65536</v>
      </c>
      <c r="M27">
        <v>0</v>
      </c>
    </row>
    <row r="28" spans="1:13">
      <c r="A28">
        <v>26</v>
      </c>
      <c r="B28" t="s">
        <v>20</v>
      </c>
      <c r="C28" t="s">
        <v>85</v>
      </c>
      <c r="D28" t="s">
        <v>17</v>
      </c>
      <c r="E28" t="s">
        <v>104</v>
      </c>
      <c r="F28">
        <v>0</v>
      </c>
      <c r="G28">
        <f>MAX(I23,I16,I26,I18,I27,I25)</f>
        <v>166481</v>
      </c>
      <c r="H28">
        <f>'Operations'!I4</f>
        <v>65536</v>
      </c>
      <c r="I28">
        <f>G28+H28</f>
        <v>232017</v>
      </c>
      <c r="J28">
        <f>IF(AND(D28&lt;&gt;"dram",D28&lt;&gt;"control"),H28,0)</f>
        <v>65536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102</v>
      </c>
      <c r="C29" t="s">
        <v>82</v>
      </c>
      <c r="D29" t="s">
        <v>83</v>
      </c>
      <c r="E29" t="s">
        <v>104</v>
      </c>
      <c r="F29">
        <v>0</v>
      </c>
      <c r="G29">
        <f>MAX(I24,I23)</f>
        <v>100945</v>
      </c>
      <c r="H29">
        <f>0</f>
        <v>65536</v>
      </c>
      <c r="I29">
        <f>G29+H29</f>
        <v>166481</v>
      </c>
      <c r="J29">
        <f>IF(AND(D29&lt;&gt;"dram",D29&lt;&gt;"control"),H29,0)</f>
        <v>0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103</v>
      </c>
      <c r="C30" t="s">
        <v>87</v>
      </c>
      <c r="D30" t="s">
        <v>79</v>
      </c>
      <c r="E30" t="s">
        <v>104</v>
      </c>
      <c r="F30">
        <v>2048</v>
      </c>
      <c r="G30">
        <f>MAX(I29,I27)</f>
        <v>166481</v>
      </c>
      <c r="H30">
        <f>CEILING((dram_access_latency+F30/dram_bandwidth)*frequency,1)</f>
        <v>131</v>
      </c>
      <c r="I30">
        <f>G30+H30</f>
        <v>166612</v>
      </c>
      <c r="J30">
        <f>IF(AND(D30&lt;&gt;"dram",D30&lt;&gt;"control"),H30,0)</f>
        <v>0</v>
      </c>
      <c r="K30">
        <f>IF(D30="dram",H30,0)</f>
        <v>131</v>
      </c>
      <c r="L30">
        <v>0</v>
      </c>
      <c r="M30">
        <v>2048</v>
      </c>
    </row>
    <row r="31" spans="1:13">
      <c r="A31">
        <v>29</v>
      </c>
      <c r="B31" t="s">
        <v>98</v>
      </c>
      <c r="C31" t="s">
        <v>78</v>
      </c>
      <c r="D31" t="s">
        <v>79</v>
      </c>
      <c r="E31" t="s">
        <v>105</v>
      </c>
      <c r="F31">
        <v>2097152</v>
      </c>
      <c r="G31">
        <f>MAX(I29,I30)</f>
        <v>166612</v>
      </c>
      <c r="H31">
        <f>CEILING((dram_access_latency+F31/dram_bandwidth)*frequency,1)</f>
        <v>30941</v>
      </c>
      <c r="I31">
        <f>G31+H31</f>
        <v>197553</v>
      </c>
      <c r="J31">
        <f>IF(AND(D31&lt;&gt;"dram",D31&lt;&gt;"control"),H31,0)</f>
        <v>0</v>
      </c>
      <c r="K31">
        <f>IF(D31="dram",H31,0)</f>
        <v>30941</v>
      </c>
      <c r="L31">
        <v>2097152</v>
      </c>
      <c r="M31">
        <v>0</v>
      </c>
    </row>
    <row r="32" spans="1:13">
      <c r="A32">
        <v>30</v>
      </c>
      <c r="B32" t="s">
        <v>100</v>
      </c>
      <c r="C32" t="s">
        <v>78</v>
      </c>
      <c r="D32" t="s">
        <v>79</v>
      </c>
      <c r="E32" t="s">
        <v>105</v>
      </c>
      <c r="F32">
        <v>65536</v>
      </c>
      <c r="G32">
        <f>MAX(I29,I31)</f>
        <v>197553</v>
      </c>
      <c r="H32">
        <f>CEILING((dram_access_latency+F32/dram_bandwidth)*frequency,1)</f>
        <v>1064</v>
      </c>
      <c r="I32">
        <f>G32+H32</f>
        <v>198617</v>
      </c>
      <c r="J32">
        <f>IF(AND(D32&lt;&gt;"dram",D32&lt;&gt;"control"),H32,0)</f>
        <v>0</v>
      </c>
      <c r="K32">
        <f>IF(D32="dram",H32,0)</f>
        <v>1064</v>
      </c>
      <c r="L32">
        <v>65536</v>
      </c>
      <c r="M32">
        <v>0</v>
      </c>
    </row>
    <row r="33" spans="1:13">
      <c r="A33">
        <v>31</v>
      </c>
      <c r="B33" t="s">
        <v>20</v>
      </c>
      <c r="C33" t="s">
        <v>85</v>
      </c>
      <c r="D33" t="s">
        <v>17</v>
      </c>
      <c r="E33" t="s">
        <v>105</v>
      </c>
      <c r="F33">
        <v>0</v>
      </c>
      <c r="G33">
        <f>MAX(I28,I16,I31,I18,I32,I30)</f>
        <v>232017</v>
      </c>
      <c r="H33">
        <f>'Operations'!I4</f>
        <v>65536</v>
      </c>
      <c r="I33">
        <f>G33+H33</f>
        <v>297553</v>
      </c>
      <c r="J33">
        <f>IF(AND(D33&lt;&gt;"dram",D33&lt;&gt;"control"),H33,0)</f>
        <v>65536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102</v>
      </c>
      <c r="C34" t="s">
        <v>82</v>
      </c>
      <c r="D34" t="s">
        <v>83</v>
      </c>
      <c r="E34" t="s">
        <v>105</v>
      </c>
      <c r="F34">
        <v>0</v>
      </c>
      <c r="G34">
        <f>MAX(I29,I28)</f>
        <v>166481</v>
      </c>
      <c r="H34">
        <f>0</f>
        <v>65536</v>
      </c>
      <c r="I34">
        <f>G34+H34</f>
        <v>232017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103</v>
      </c>
      <c r="C35" t="s">
        <v>87</v>
      </c>
      <c r="D35" t="s">
        <v>79</v>
      </c>
      <c r="E35" t="s">
        <v>105</v>
      </c>
      <c r="F35">
        <v>2048</v>
      </c>
      <c r="G35">
        <f>MAX(I34,I32)</f>
        <v>232017</v>
      </c>
      <c r="H35">
        <f>CEILING((dram_access_latency+F35/dram_bandwidth)*frequency,1)</f>
        <v>131</v>
      </c>
      <c r="I35">
        <f>G35+H35</f>
        <v>232148</v>
      </c>
      <c r="J35">
        <f>IF(AND(D35&lt;&gt;"dram",D35&lt;&gt;"control"),H35,0)</f>
        <v>0</v>
      </c>
      <c r="K35">
        <f>IF(D35="dram",H35,0)</f>
        <v>131</v>
      </c>
      <c r="L35">
        <v>0</v>
      </c>
      <c r="M35">
        <v>2048</v>
      </c>
    </row>
    <row r="36" spans="1:13">
      <c r="A36">
        <v>34</v>
      </c>
      <c r="B36" t="s">
        <v>106</v>
      </c>
      <c r="C36" t="s">
        <v>82</v>
      </c>
      <c r="D36" t="s">
        <v>83</v>
      </c>
      <c r="E36" t="s">
        <v>80</v>
      </c>
      <c r="F36">
        <v>0</v>
      </c>
      <c r="G36">
        <f>MAX(I34,I33)</f>
        <v>232017</v>
      </c>
      <c r="H36">
        <f>0</f>
        <v>65536</v>
      </c>
      <c r="I36">
        <f>G36+H36</f>
        <v>297553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107</v>
      </c>
      <c r="C37" t="s">
        <v>87</v>
      </c>
      <c r="D37" t="s">
        <v>79</v>
      </c>
      <c r="E37" t="s">
        <v>80</v>
      </c>
      <c r="F37">
        <v>2048</v>
      </c>
      <c r="G37">
        <f>MAX(I36,I35)</f>
        <v>297553</v>
      </c>
      <c r="H37">
        <f>CEILING((dram_access_latency+F37/dram_bandwidth)*frequency,1)</f>
        <v>131</v>
      </c>
      <c r="I37">
        <f>G37+H37</f>
        <v>297684</v>
      </c>
      <c r="J37">
        <f>IF(AND(D37&lt;&gt;"dram",D37&lt;&gt;"control"),H37,0)</f>
        <v>0</v>
      </c>
      <c r="K37">
        <f>IF(D37="dram",H37,0)</f>
        <v>131</v>
      </c>
      <c r="L37">
        <v>0</v>
      </c>
      <c r="M37">
        <v>2048</v>
      </c>
    </row>
    <row r="38" spans="1:13">
      <c r="A38">
        <v>36</v>
      </c>
      <c r="B38" t="s">
        <v>108</v>
      </c>
      <c r="C38" t="s">
        <v>82</v>
      </c>
      <c r="D38" t="s">
        <v>83</v>
      </c>
      <c r="E38" t="s">
        <v>80</v>
      </c>
      <c r="F38">
        <v>0</v>
      </c>
      <c r="G38">
        <f>MAX(I36,I35)</f>
        <v>297553</v>
      </c>
      <c r="H38">
        <f>0</f>
        <v>0</v>
      </c>
      <c r="I38">
        <f>G38+H38</f>
        <v>297553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109</v>
      </c>
      <c r="C39" t="s">
        <v>82</v>
      </c>
      <c r="D39" t="s">
        <v>83</v>
      </c>
      <c r="E39" t="s">
        <v>80</v>
      </c>
      <c r="F39">
        <v>0</v>
      </c>
      <c r="G39">
        <f>MAX(I38,I37)</f>
        <v>297553</v>
      </c>
      <c r="H39">
        <f>0</f>
        <v>131</v>
      </c>
      <c r="I39">
        <f>G39+H39</f>
        <v>297684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110</v>
      </c>
      <c r="C40" t="s">
        <v>78</v>
      </c>
      <c r="D40" t="s">
        <v>79</v>
      </c>
      <c r="E40" t="s">
        <v>84</v>
      </c>
      <c r="F40">
        <v>2048</v>
      </c>
      <c r="G40">
        <f>MAX(I39,I37)</f>
        <v>297684</v>
      </c>
      <c r="H40">
        <f>CEILING((dram_access_latency+F40/dram_bandwidth)*frequency,1)</f>
        <v>131</v>
      </c>
      <c r="I40">
        <f>G40+H40</f>
        <v>297815</v>
      </c>
      <c r="J40">
        <f>IF(AND(D40&lt;&gt;"dram",D40&lt;&gt;"control"),H40,0)</f>
        <v>0</v>
      </c>
      <c r="K40">
        <f>IF(D40="dram",H40,0)</f>
        <v>131</v>
      </c>
      <c r="L40">
        <v>2048</v>
      </c>
      <c r="M40">
        <v>0</v>
      </c>
    </row>
    <row r="41" spans="1:13">
      <c r="A41">
        <v>39</v>
      </c>
      <c r="B41" t="s">
        <v>111</v>
      </c>
      <c r="C41" t="s">
        <v>78</v>
      </c>
      <c r="D41" t="s">
        <v>79</v>
      </c>
      <c r="E41" t="s">
        <v>84</v>
      </c>
      <c r="F41">
        <v>2097152</v>
      </c>
      <c r="G41">
        <f>MAX(I39,I40)</f>
        <v>297815</v>
      </c>
      <c r="H41">
        <f>CEILING((dram_access_latency+F41/dram_bandwidth)*frequency,1)</f>
        <v>30941</v>
      </c>
      <c r="I41">
        <f>G41+H41</f>
        <v>328756</v>
      </c>
      <c r="J41">
        <f>IF(AND(D41&lt;&gt;"dram",D41&lt;&gt;"control"),H41,0)</f>
        <v>0</v>
      </c>
      <c r="K41">
        <f>IF(D41="dram",H41,0)</f>
        <v>30941</v>
      </c>
      <c r="L41">
        <v>2097152</v>
      </c>
      <c r="M41">
        <v>0</v>
      </c>
    </row>
    <row r="42" spans="1:13">
      <c r="A42">
        <v>40</v>
      </c>
      <c r="B42" t="s">
        <v>112</v>
      </c>
      <c r="C42" t="s">
        <v>78</v>
      </c>
      <c r="D42" t="s">
        <v>79</v>
      </c>
      <c r="E42" t="s">
        <v>84</v>
      </c>
      <c r="F42">
        <v>64</v>
      </c>
      <c r="G42">
        <f>MAX(I39,I41)</f>
        <v>328756</v>
      </c>
      <c r="H42">
        <f>CEILING((dram_access_latency+F42/dram_bandwidth)*frequency,1)</f>
        <v>101</v>
      </c>
      <c r="I42">
        <f>G42+H42</f>
        <v>328857</v>
      </c>
      <c r="J42">
        <f>IF(AND(D42&lt;&gt;"dram",D42&lt;&gt;"control"),H42,0)</f>
        <v>0</v>
      </c>
      <c r="K42">
        <f>IF(D42="dram",H42,0)</f>
        <v>101</v>
      </c>
      <c r="L42">
        <v>64</v>
      </c>
      <c r="M42">
        <v>0</v>
      </c>
    </row>
    <row r="43" spans="1:13">
      <c r="A43">
        <v>41</v>
      </c>
      <c r="B43" t="s">
        <v>113</v>
      </c>
      <c r="C43" t="s">
        <v>78</v>
      </c>
      <c r="D43" t="s">
        <v>79</v>
      </c>
      <c r="E43" t="s">
        <v>84</v>
      </c>
      <c r="F43">
        <v>65536</v>
      </c>
      <c r="G43">
        <f>MAX(I39,I42)</f>
        <v>328857</v>
      </c>
      <c r="H43">
        <f>CEILING((dram_access_latency+F43/dram_bandwidth)*frequency,1)</f>
        <v>1064</v>
      </c>
      <c r="I43">
        <f>G43+H43</f>
        <v>329921</v>
      </c>
      <c r="J43">
        <f>IF(AND(D43&lt;&gt;"dram",D43&lt;&gt;"control"),H43,0)</f>
        <v>0</v>
      </c>
      <c r="K43">
        <f>IF(D43="dram",H43,0)</f>
        <v>1064</v>
      </c>
      <c r="L43">
        <v>65536</v>
      </c>
      <c r="M43">
        <v>0</v>
      </c>
    </row>
    <row r="44" spans="1:13">
      <c r="A44">
        <v>42</v>
      </c>
      <c r="B44" t="s">
        <v>24</v>
      </c>
      <c r="C44" t="s">
        <v>85</v>
      </c>
      <c r="D44" t="s">
        <v>17</v>
      </c>
      <c r="E44" t="s">
        <v>84</v>
      </c>
      <c r="F44">
        <v>0</v>
      </c>
      <c r="G44">
        <f>MAX(I33,I40,I41,I42,I43)</f>
        <v>329921</v>
      </c>
      <c r="H44">
        <f>'Operations'!I5</f>
        <v>65536</v>
      </c>
      <c r="I44">
        <f>G44+H44</f>
        <v>395457</v>
      </c>
      <c r="J44">
        <f>IF(AND(D44&lt;&gt;"dram",D44&lt;&gt;"control"),H44,0)</f>
        <v>65536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111</v>
      </c>
      <c r="C45" t="s">
        <v>78</v>
      </c>
      <c r="D45" t="s">
        <v>79</v>
      </c>
      <c r="E45" t="s">
        <v>101</v>
      </c>
      <c r="F45">
        <v>2097152</v>
      </c>
      <c r="G45">
        <f>MAX(I39,I43)</f>
        <v>329921</v>
      </c>
      <c r="H45">
        <f>CEILING((dram_access_latency+F45/dram_bandwidth)*frequency,1)</f>
        <v>30941</v>
      </c>
      <c r="I45">
        <f>G45+H45</f>
        <v>360862</v>
      </c>
      <c r="J45">
        <f>IF(AND(D45&lt;&gt;"dram",D45&lt;&gt;"control"),H45,0)</f>
        <v>0</v>
      </c>
      <c r="K45">
        <f>IF(D45="dram",H45,0)</f>
        <v>30941</v>
      </c>
      <c r="L45">
        <v>2097152</v>
      </c>
      <c r="M45">
        <v>0</v>
      </c>
    </row>
    <row r="46" spans="1:13">
      <c r="A46">
        <v>44</v>
      </c>
      <c r="B46" t="s">
        <v>113</v>
      </c>
      <c r="C46" t="s">
        <v>78</v>
      </c>
      <c r="D46" t="s">
        <v>79</v>
      </c>
      <c r="E46" t="s">
        <v>101</v>
      </c>
      <c r="F46">
        <v>65536</v>
      </c>
      <c r="G46">
        <f>MAX(I39,I45)</f>
        <v>360862</v>
      </c>
      <c r="H46">
        <f>CEILING((dram_access_latency+F46/dram_bandwidth)*frequency,1)</f>
        <v>1064</v>
      </c>
      <c r="I46">
        <f>G46+H46</f>
        <v>361926</v>
      </c>
      <c r="J46">
        <f>IF(AND(D46&lt;&gt;"dram",D46&lt;&gt;"control"),H46,0)</f>
        <v>0</v>
      </c>
      <c r="K46">
        <f>IF(D46="dram",H46,0)</f>
        <v>1064</v>
      </c>
      <c r="L46">
        <v>65536</v>
      </c>
      <c r="M46">
        <v>0</v>
      </c>
    </row>
    <row r="47" spans="1:13">
      <c r="A47">
        <v>45</v>
      </c>
      <c r="B47" t="s">
        <v>24</v>
      </c>
      <c r="C47" t="s">
        <v>85</v>
      </c>
      <c r="D47" t="s">
        <v>17</v>
      </c>
      <c r="E47" t="s">
        <v>101</v>
      </c>
      <c r="F47">
        <v>0</v>
      </c>
      <c r="G47">
        <f>MAX(I44,I40,I45,I42,I46)</f>
        <v>395457</v>
      </c>
      <c r="H47">
        <f>'Operations'!I5</f>
        <v>65536</v>
      </c>
      <c r="I47">
        <f>G47+H47</f>
        <v>460993</v>
      </c>
      <c r="J47">
        <f>IF(AND(D47&lt;&gt;"dram",D47&lt;&gt;"control"),H47,0)</f>
        <v>65536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114</v>
      </c>
      <c r="C48" t="s">
        <v>82</v>
      </c>
      <c r="D48" t="s">
        <v>83</v>
      </c>
      <c r="E48" t="s">
        <v>101</v>
      </c>
      <c r="F48">
        <v>0</v>
      </c>
      <c r="G48">
        <f>MAX(I39,I44)</f>
        <v>297684</v>
      </c>
      <c r="H48">
        <f>0</f>
        <v>97773</v>
      </c>
      <c r="I48">
        <f>G48+H48</f>
        <v>395457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115</v>
      </c>
      <c r="C49" t="s">
        <v>87</v>
      </c>
      <c r="D49" t="s">
        <v>79</v>
      </c>
      <c r="E49" t="s">
        <v>101</v>
      </c>
      <c r="F49">
        <v>2048</v>
      </c>
      <c r="G49">
        <f>MAX(I48,I46)</f>
        <v>395457</v>
      </c>
      <c r="H49">
        <f>CEILING((dram_access_latency+F49/dram_bandwidth)*frequency,1)</f>
        <v>131</v>
      </c>
      <c r="I49">
        <f>G49+H49</f>
        <v>395588</v>
      </c>
      <c r="J49">
        <f>IF(AND(D49&lt;&gt;"dram",D49&lt;&gt;"control"),H49,0)</f>
        <v>0</v>
      </c>
      <c r="K49">
        <f>IF(D49="dram",H49,0)</f>
        <v>131</v>
      </c>
      <c r="L49">
        <v>0</v>
      </c>
      <c r="M49">
        <v>2048</v>
      </c>
    </row>
    <row r="50" spans="1:13">
      <c r="A50">
        <v>48</v>
      </c>
      <c r="B50" t="s">
        <v>111</v>
      </c>
      <c r="C50" t="s">
        <v>78</v>
      </c>
      <c r="D50" t="s">
        <v>79</v>
      </c>
      <c r="E50" t="s">
        <v>104</v>
      </c>
      <c r="F50">
        <v>2097152</v>
      </c>
      <c r="G50">
        <f>MAX(I48,I49)</f>
        <v>395588</v>
      </c>
      <c r="H50">
        <f>CEILING((dram_access_latency+F50/dram_bandwidth)*frequency,1)</f>
        <v>30941</v>
      </c>
      <c r="I50">
        <f>G50+H50</f>
        <v>426529</v>
      </c>
      <c r="J50">
        <f>IF(AND(D50&lt;&gt;"dram",D50&lt;&gt;"control"),H50,0)</f>
        <v>0</v>
      </c>
      <c r="K50">
        <f>IF(D50="dram",H50,0)</f>
        <v>30941</v>
      </c>
      <c r="L50">
        <v>2097152</v>
      </c>
      <c r="M50">
        <v>0</v>
      </c>
    </row>
    <row r="51" spans="1:13">
      <c r="A51">
        <v>49</v>
      </c>
      <c r="B51" t="s">
        <v>113</v>
      </c>
      <c r="C51" t="s">
        <v>78</v>
      </c>
      <c r="D51" t="s">
        <v>79</v>
      </c>
      <c r="E51" t="s">
        <v>104</v>
      </c>
      <c r="F51">
        <v>65536</v>
      </c>
      <c r="G51">
        <f>MAX(I48,I50)</f>
        <v>426529</v>
      </c>
      <c r="H51">
        <f>CEILING((dram_access_latency+F51/dram_bandwidth)*frequency,1)</f>
        <v>1064</v>
      </c>
      <c r="I51">
        <f>G51+H51</f>
        <v>427593</v>
      </c>
      <c r="J51">
        <f>IF(AND(D51&lt;&gt;"dram",D51&lt;&gt;"control"),H51,0)</f>
        <v>0</v>
      </c>
      <c r="K51">
        <f>IF(D51="dram",H51,0)</f>
        <v>1064</v>
      </c>
      <c r="L51">
        <v>65536</v>
      </c>
      <c r="M51">
        <v>0</v>
      </c>
    </row>
    <row r="52" spans="1:13">
      <c r="A52">
        <v>50</v>
      </c>
      <c r="B52" t="s">
        <v>24</v>
      </c>
      <c r="C52" t="s">
        <v>85</v>
      </c>
      <c r="D52" t="s">
        <v>17</v>
      </c>
      <c r="E52" t="s">
        <v>104</v>
      </c>
      <c r="F52">
        <v>0</v>
      </c>
      <c r="G52">
        <f>MAX(I47,I40,I50,I42,I51,I49)</f>
        <v>460993</v>
      </c>
      <c r="H52">
        <f>'Operations'!I5</f>
        <v>65536</v>
      </c>
      <c r="I52">
        <f>G52+H52</f>
        <v>526529</v>
      </c>
      <c r="J52">
        <f>IF(AND(D52&lt;&gt;"dram",D52&lt;&gt;"control"),H52,0)</f>
        <v>65536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114</v>
      </c>
      <c r="C53" t="s">
        <v>82</v>
      </c>
      <c r="D53" t="s">
        <v>83</v>
      </c>
      <c r="E53" t="s">
        <v>104</v>
      </c>
      <c r="F53">
        <v>0</v>
      </c>
      <c r="G53">
        <f>MAX(I48,I47)</f>
        <v>395457</v>
      </c>
      <c r="H53">
        <f>0</f>
        <v>65536</v>
      </c>
      <c r="I53">
        <f>G53+H53</f>
        <v>460993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115</v>
      </c>
      <c r="C54" t="s">
        <v>87</v>
      </c>
      <c r="D54" t="s">
        <v>79</v>
      </c>
      <c r="E54" t="s">
        <v>104</v>
      </c>
      <c r="F54">
        <v>2048</v>
      </c>
      <c r="G54">
        <f>MAX(I53,I51)</f>
        <v>460993</v>
      </c>
      <c r="H54">
        <f>CEILING((dram_access_latency+F54/dram_bandwidth)*frequency,1)</f>
        <v>131</v>
      </c>
      <c r="I54">
        <f>G54+H54</f>
        <v>461124</v>
      </c>
      <c r="J54">
        <f>IF(AND(D54&lt;&gt;"dram",D54&lt;&gt;"control"),H54,0)</f>
        <v>0</v>
      </c>
      <c r="K54">
        <f>IF(D54="dram",H54,0)</f>
        <v>131</v>
      </c>
      <c r="L54">
        <v>0</v>
      </c>
      <c r="M54">
        <v>2048</v>
      </c>
    </row>
    <row r="55" spans="1:13">
      <c r="A55">
        <v>53</v>
      </c>
      <c r="B55" t="s">
        <v>111</v>
      </c>
      <c r="C55" t="s">
        <v>78</v>
      </c>
      <c r="D55" t="s">
        <v>79</v>
      </c>
      <c r="E55" t="s">
        <v>105</v>
      </c>
      <c r="F55">
        <v>2097152</v>
      </c>
      <c r="G55">
        <f>MAX(I53,I54)</f>
        <v>461124</v>
      </c>
      <c r="H55">
        <f>CEILING((dram_access_latency+F55/dram_bandwidth)*frequency,1)</f>
        <v>30941</v>
      </c>
      <c r="I55">
        <f>G55+H55</f>
        <v>492065</v>
      </c>
      <c r="J55">
        <f>IF(AND(D55&lt;&gt;"dram",D55&lt;&gt;"control"),H55,0)</f>
        <v>0</v>
      </c>
      <c r="K55">
        <f>IF(D55="dram",H55,0)</f>
        <v>30941</v>
      </c>
      <c r="L55">
        <v>2097152</v>
      </c>
      <c r="M55">
        <v>0</v>
      </c>
    </row>
    <row r="56" spans="1:13">
      <c r="A56">
        <v>54</v>
      </c>
      <c r="B56" t="s">
        <v>113</v>
      </c>
      <c r="C56" t="s">
        <v>78</v>
      </c>
      <c r="D56" t="s">
        <v>79</v>
      </c>
      <c r="E56" t="s">
        <v>105</v>
      </c>
      <c r="F56">
        <v>65536</v>
      </c>
      <c r="G56">
        <f>MAX(I53,I55)</f>
        <v>492065</v>
      </c>
      <c r="H56">
        <f>CEILING((dram_access_latency+F56/dram_bandwidth)*frequency,1)</f>
        <v>1064</v>
      </c>
      <c r="I56">
        <f>G56+H56</f>
        <v>493129</v>
      </c>
      <c r="J56">
        <f>IF(AND(D56&lt;&gt;"dram",D56&lt;&gt;"control"),H56,0)</f>
        <v>0</v>
      </c>
      <c r="K56">
        <f>IF(D56="dram",H56,0)</f>
        <v>1064</v>
      </c>
      <c r="L56">
        <v>65536</v>
      </c>
      <c r="M56">
        <v>0</v>
      </c>
    </row>
    <row r="57" spans="1:13">
      <c r="A57">
        <v>55</v>
      </c>
      <c r="B57" t="s">
        <v>24</v>
      </c>
      <c r="C57" t="s">
        <v>85</v>
      </c>
      <c r="D57" t="s">
        <v>17</v>
      </c>
      <c r="E57" t="s">
        <v>105</v>
      </c>
      <c r="F57">
        <v>0</v>
      </c>
      <c r="G57">
        <f>MAX(I52,I40,I55,I42,I56,I54)</f>
        <v>526529</v>
      </c>
      <c r="H57">
        <f>'Operations'!I5</f>
        <v>65536</v>
      </c>
      <c r="I57">
        <f>G57+H57</f>
        <v>592065</v>
      </c>
      <c r="J57">
        <f>IF(AND(D57&lt;&gt;"dram",D57&lt;&gt;"control"),H57,0)</f>
        <v>65536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114</v>
      </c>
      <c r="C58" t="s">
        <v>82</v>
      </c>
      <c r="D58" t="s">
        <v>83</v>
      </c>
      <c r="E58" t="s">
        <v>105</v>
      </c>
      <c r="F58">
        <v>0</v>
      </c>
      <c r="G58">
        <f>MAX(I53,I52)</f>
        <v>460993</v>
      </c>
      <c r="H58">
        <f>0</f>
        <v>65536</v>
      </c>
      <c r="I58">
        <f>G58+H58</f>
        <v>526529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115</v>
      </c>
      <c r="C59" t="s">
        <v>87</v>
      </c>
      <c r="D59" t="s">
        <v>79</v>
      </c>
      <c r="E59" t="s">
        <v>105</v>
      </c>
      <c r="F59">
        <v>2048</v>
      </c>
      <c r="G59">
        <f>MAX(I58,I56)</f>
        <v>526529</v>
      </c>
      <c r="H59">
        <f>CEILING((dram_access_latency+F59/dram_bandwidth)*frequency,1)</f>
        <v>131</v>
      </c>
      <c r="I59">
        <f>G59+H59</f>
        <v>526660</v>
      </c>
      <c r="J59">
        <f>IF(AND(D59&lt;&gt;"dram",D59&lt;&gt;"control"),H59,0)</f>
        <v>0</v>
      </c>
      <c r="K59">
        <f>IF(D59="dram",H59,0)</f>
        <v>131</v>
      </c>
      <c r="L59">
        <v>0</v>
      </c>
      <c r="M59">
        <v>2048</v>
      </c>
    </row>
    <row r="60" spans="1:13">
      <c r="A60">
        <v>58</v>
      </c>
      <c r="B60" t="s">
        <v>116</v>
      </c>
      <c r="C60" t="s">
        <v>82</v>
      </c>
      <c r="D60" t="s">
        <v>83</v>
      </c>
      <c r="E60" t="s">
        <v>80</v>
      </c>
      <c r="F60">
        <v>0</v>
      </c>
      <c r="G60">
        <f>MAX(I58,I57)</f>
        <v>526529</v>
      </c>
      <c r="H60">
        <f>0</f>
        <v>65536</v>
      </c>
      <c r="I60">
        <f>G60+H60</f>
        <v>592065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117</v>
      </c>
      <c r="C61" t="s">
        <v>87</v>
      </c>
      <c r="D61" t="s">
        <v>79</v>
      </c>
      <c r="E61" t="s">
        <v>80</v>
      </c>
      <c r="F61">
        <v>2048</v>
      </c>
      <c r="G61">
        <f>MAX(I60,I59)</f>
        <v>592065</v>
      </c>
      <c r="H61">
        <f>CEILING((dram_access_latency+F61/dram_bandwidth)*frequency,1)</f>
        <v>131</v>
      </c>
      <c r="I61">
        <f>G61+H61</f>
        <v>592196</v>
      </c>
      <c r="J61">
        <f>IF(AND(D61&lt;&gt;"dram",D61&lt;&gt;"control"),H61,0)</f>
        <v>0</v>
      </c>
      <c r="K61">
        <f>IF(D61="dram",H61,0)</f>
        <v>131</v>
      </c>
      <c r="L61">
        <v>0</v>
      </c>
      <c r="M61">
        <v>2048</v>
      </c>
    </row>
    <row r="62" spans="1:13">
      <c r="A62">
        <v>60</v>
      </c>
      <c r="B62" t="s">
        <v>118</v>
      </c>
      <c r="C62" t="s">
        <v>82</v>
      </c>
      <c r="D62" t="s">
        <v>83</v>
      </c>
      <c r="E62" t="s">
        <v>80</v>
      </c>
      <c r="F62">
        <v>0</v>
      </c>
      <c r="G62">
        <f>MAX(I60,I59)</f>
        <v>592065</v>
      </c>
      <c r="H62">
        <f>0</f>
        <v>0</v>
      </c>
      <c r="I62">
        <f>G62+H62</f>
        <v>592065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119</v>
      </c>
      <c r="C63" t="s">
        <v>82</v>
      </c>
      <c r="D63" t="s">
        <v>83</v>
      </c>
      <c r="E63" t="s">
        <v>80</v>
      </c>
      <c r="F63">
        <v>0</v>
      </c>
      <c r="G63">
        <f>MAX(I62,I61)</f>
        <v>592065</v>
      </c>
      <c r="H63">
        <f>0</f>
        <v>131</v>
      </c>
      <c r="I63">
        <f>G63+H63</f>
        <v>592196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120</v>
      </c>
      <c r="C64" t="s">
        <v>78</v>
      </c>
      <c r="D64" t="s">
        <v>79</v>
      </c>
      <c r="E64" t="s">
        <v>84</v>
      </c>
      <c r="F64">
        <v>2048</v>
      </c>
      <c r="G64">
        <f>MAX(I63,I61)</f>
        <v>592196</v>
      </c>
      <c r="H64">
        <f>CEILING((dram_access_latency+F64/dram_bandwidth)*frequency,1)</f>
        <v>131</v>
      </c>
      <c r="I64">
        <f>G64+H64</f>
        <v>592327</v>
      </c>
      <c r="J64">
        <f>IF(AND(D64&lt;&gt;"dram",D64&lt;&gt;"control"),H64,0)</f>
        <v>0</v>
      </c>
      <c r="K64">
        <f>IF(D64="dram",H64,0)</f>
        <v>131</v>
      </c>
      <c r="L64">
        <v>2048</v>
      </c>
      <c r="M64">
        <v>0</v>
      </c>
    </row>
    <row r="65" spans="1:13">
      <c r="A65">
        <v>63</v>
      </c>
      <c r="B65" t="s">
        <v>121</v>
      </c>
      <c r="C65" t="s">
        <v>78</v>
      </c>
      <c r="D65" t="s">
        <v>79</v>
      </c>
      <c r="E65" t="s">
        <v>84</v>
      </c>
      <c r="F65">
        <v>2097152</v>
      </c>
      <c r="G65">
        <f>MAX(I63,I64)</f>
        <v>592327</v>
      </c>
      <c r="H65">
        <f>CEILING((dram_access_latency+F65/dram_bandwidth)*frequency,1)</f>
        <v>30941</v>
      </c>
      <c r="I65">
        <f>G65+H65</f>
        <v>623268</v>
      </c>
      <c r="J65">
        <f>IF(AND(D65&lt;&gt;"dram",D65&lt;&gt;"control"),H65,0)</f>
        <v>0</v>
      </c>
      <c r="K65">
        <f>IF(D65="dram",H65,0)</f>
        <v>30941</v>
      </c>
      <c r="L65">
        <v>2097152</v>
      </c>
      <c r="M65">
        <v>0</v>
      </c>
    </row>
    <row r="66" spans="1:13">
      <c r="A66">
        <v>64</v>
      </c>
      <c r="B66" t="s">
        <v>122</v>
      </c>
      <c r="C66" t="s">
        <v>78</v>
      </c>
      <c r="D66" t="s">
        <v>79</v>
      </c>
      <c r="E66" t="s">
        <v>84</v>
      </c>
      <c r="F66">
        <v>64</v>
      </c>
      <c r="G66">
        <f>MAX(I63,I65)</f>
        <v>623268</v>
      </c>
      <c r="H66">
        <f>CEILING((dram_access_latency+F66/dram_bandwidth)*frequency,1)</f>
        <v>101</v>
      </c>
      <c r="I66">
        <f>G66+H66</f>
        <v>623369</v>
      </c>
      <c r="J66">
        <f>IF(AND(D66&lt;&gt;"dram",D66&lt;&gt;"control"),H66,0)</f>
        <v>0</v>
      </c>
      <c r="K66">
        <f>IF(D66="dram",H66,0)</f>
        <v>101</v>
      </c>
      <c r="L66">
        <v>64</v>
      </c>
      <c r="M66">
        <v>0</v>
      </c>
    </row>
    <row r="67" spans="1:13">
      <c r="A67">
        <v>65</v>
      </c>
      <c r="B67" t="s">
        <v>123</v>
      </c>
      <c r="C67" t="s">
        <v>78</v>
      </c>
      <c r="D67" t="s">
        <v>79</v>
      </c>
      <c r="E67" t="s">
        <v>84</v>
      </c>
      <c r="F67">
        <v>65536</v>
      </c>
      <c r="G67">
        <f>MAX(I63,I66)</f>
        <v>623369</v>
      </c>
      <c r="H67">
        <f>CEILING((dram_access_latency+F67/dram_bandwidth)*frequency,1)</f>
        <v>1064</v>
      </c>
      <c r="I67">
        <f>G67+H67</f>
        <v>624433</v>
      </c>
      <c r="J67">
        <f>IF(AND(D67&lt;&gt;"dram",D67&lt;&gt;"control"),H67,0)</f>
        <v>0</v>
      </c>
      <c r="K67">
        <f>IF(D67="dram",H67,0)</f>
        <v>1064</v>
      </c>
      <c r="L67">
        <v>65536</v>
      </c>
      <c r="M67">
        <v>0</v>
      </c>
    </row>
    <row r="68" spans="1:13">
      <c r="A68">
        <v>66</v>
      </c>
      <c r="B68" t="s">
        <v>25</v>
      </c>
      <c r="C68" t="s">
        <v>85</v>
      </c>
      <c r="D68" t="s">
        <v>17</v>
      </c>
      <c r="E68" t="s">
        <v>84</v>
      </c>
      <c r="F68">
        <v>0</v>
      </c>
      <c r="G68">
        <f>MAX(I57,I64,I65,I66,I67)</f>
        <v>624433</v>
      </c>
      <c r="H68">
        <f>'Operations'!I6</f>
        <v>65536</v>
      </c>
      <c r="I68">
        <f>G68+H68</f>
        <v>689969</v>
      </c>
      <c r="J68">
        <f>IF(AND(D68&lt;&gt;"dram",D68&lt;&gt;"control"),H68,0)</f>
        <v>65536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121</v>
      </c>
      <c r="C69" t="s">
        <v>78</v>
      </c>
      <c r="D69" t="s">
        <v>79</v>
      </c>
      <c r="E69" t="s">
        <v>101</v>
      </c>
      <c r="F69">
        <v>2097152</v>
      </c>
      <c r="G69">
        <f>MAX(I63,I67)</f>
        <v>624433</v>
      </c>
      <c r="H69">
        <f>CEILING((dram_access_latency+F69/dram_bandwidth)*frequency,1)</f>
        <v>30941</v>
      </c>
      <c r="I69">
        <f>G69+H69</f>
        <v>655374</v>
      </c>
      <c r="J69">
        <f>IF(AND(D69&lt;&gt;"dram",D69&lt;&gt;"control"),H69,0)</f>
        <v>0</v>
      </c>
      <c r="K69">
        <f>IF(D69="dram",H69,0)</f>
        <v>30941</v>
      </c>
      <c r="L69">
        <v>2097152</v>
      </c>
      <c r="M69">
        <v>0</v>
      </c>
    </row>
    <row r="70" spans="1:13">
      <c r="A70">
        <v>68</v>
      </c>
      <c r="B70" t="s">
        <v>123</v>
      </c>
      <c r="C70" t="s">
        <v>78</v>
      </c>
      <c r="D70" t="s">
        <v>79</v>
      </c>
      <c r="E70" t="s">
        <v>101</v>
      </c>
      <c r="F70">
        <v>65536</v>
      </c>
      <c r="G70">
        <f>MAX(I63,I69)</f>
        <v>655374</v>
      </c>
      <c r="H70">
        <f>CEILING((dram_access_latency+F70/dram_bandwidth)*frequency,1)</f>
        <v>1064</v>
      </c>
      <c r="I70">
        <f>G70+H70</f>
        <v>656438</v>
      </c>
      <c r="J70">
        <f>IF(AND(D70&lt;&gt;"dram",D70&lt;&gt;"control"),H70,0)</f>
        <v>0</v>
      </c>
      <c r="K70">
        <f>IF(D70="dram",H70,0)</f>
        <v>1064</v>
      </c>
      <c r="L70">
        <v>65536</v>
      </c>
      <c r="M70">
        <v>0</v>
      </c>
    </row>
    <row r="71" spans="1:13">
      <c r="A71">
        <v>69</v>
      </c>
      <c r="B71" t="s">
        <v>25</v>
      </c>
      <c r="C71" t="s">
        <v>85</v>
      </c>
      <c r="D71" t="s">
        <v>17</v>
      </c>
      <c r="E71" t="s">
        <v>101</v>
      </c>
      <c r="F71">
        <v>0</v>
      </c>
      <c r="G71">
        <f>MAX(I68,I64,I69,I66,I70)</f>
        <v>689969</v>
      </c>
      <c r="H71">
        <f>'Operations'!I6</f>
        <v>65536</v>
      </c>
      <c r="I71">
        <f>G71+H71</f>
        <v>755505</v>
      </c>
      <c r="J71">
        <f>IF(AND(D71&lt;&gt;"dram",D71&lt;&gt;"control"),H71,0)</f>
        <v>65536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124</v>
      </c>
      <c r="C72" t="s">
        <v>82</v>
      </c>
      <c r="D72" t="s">
        <v>83</v>
      </c>
      <c r="E72" t="s">
        <v>101</v>
      </c>
      <c r="F72">
        <v>0</v>
      </c>
      <c r="G72">
        <f>MAX(I63,I68)</f>
        <v>592196</v>
      </c>
      <c r="H72">
        <f>0</f>
        <v>97773</v>
      </c>
      <c r="I72">
        <f>G72+H72</f>
        <v>689969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125</v>
      </c>
      <c r="C73" t="s">
        <v>87</v>
      </c>
      <c r="D73" t="s">
        <v>79</v>
      </c>
      <c r="E73" t="s">
        <v>101</v>
      </c>
      <c r="F73">
        <v>2048</v>
      </c>
      <c r="G73">
        <f>MAX(I72,I70)</f>
        <v>689969</v>
      </c>
      <c r="H73">
        <f>CEILING((dram_access_latency+F73/dram_bandwidth)*frequency,1)</f>
        <v>131</v>
      </c>
      <c r="I73">
        <f>G73+H73</f>
        <v>690100</v>
      </c>
      <c r="J73">
        <f>IF(AND(D73&lt;&gt;"dram",D73&lt;&gt;"control"),H73,0)</f>
        <v>0</v>
      </c>
      <c r="K73">
        <f>IF(D73="dram",H73,0)</f>
        <v>131</v>
      </c>
      <c r="L73">
        <v>0</v>
      </c>
      <c r="M73">
        <v>2048</v>
      </c>
    </row>
    <row r="74" spans="1:13">
      <c r="A74">
        <v>72</v>
      </c>
      <c r="B74" t="s">
        <v>121</v>
      </c>
      <c r="C74" t="s">
        <v>78</v>
      </c>
      <c r="D74" t="s">
        <v>79</v>
      </c>
      <c r="E74" t="s">
        <v>104</v>
      </c>
      <c r="F74">
        <v>2097152</v>
      </c>
      <c r="G74">
        <f>MAX(I72,I73)</f>
        <v>690100</v>
      </c>
      <c r="H74">
        <f>CEILING((dram_access_latency+F74/dram_bandwidth)*frequency,1)</f>
        <v>30941</v>
      </c>
      <c r="I74">
        <f>G74+H74</f>
        <v>721041</v>
      </c>
      <c r="J74">
        <f>IF(AND(D74&lt;&gt;"dram",D74&lt;&gt;"control"),H74,0)</f>
        <v>0</v>
      </c>
      <c r="K74">
        <f>IF(D74="dram",H74,0)</f>
        <v>30941</v>
      </c>
      <c r="L74">
        <v>2097152</v>
      </c>
      <c r="M74">
        <v>0</v>
      </c>
    </row>
    <row r="75" spans="1:13">
      <c r="A75">
        <v>73</v>
      </c>
      <c r="B75" t="s">
        <v>123</v>
      </c>
      <c r="C75" t="s">
        <v>78</v>
      </c>
      <c r="D75" t="s">
        <v>79</v>
      </c>
      <c r="E75" t="s">
        <v>104</v>
      </c>
      <c r="F75">
        <v>65536</v>
      </c>
      <c r="G75">
        <f>MAX(I72,I74)</f>
        <v>721041</v>
      </c>
      <c r="H75">
        <f>CEILING((dram_access_latency+F75/dram_bandwidth)*frequency,1)</f>
        <v>1064</v>
      </c>
      <c r="I75">
        <f>G75+H75</f>
        <v>722105</v>
      </c>
      <c r="J75">
        <f>IF(AND(D75&lt;&gt;"dram",D75&lt;&gt;"control"),H75,0)</f>
        <v>0</v>
      </c>
      <c r="K75">
        <f>IF(D75="dram",H75,0)</f>
        <v>1064</v>
      </c>
      <c r="L75">
        <v>65536</v>
      </c>
      <c r="M75">
        <v>0</v>
      </c>
    </row>
    <row r="76" spans="1:13">
      <c r="A76">
        <v>74</v>
      </c>
      <c r="B76" t="s">
        <v>25</v>
      </c>
      <c r="C76" t="s">
        <v>85</v>
      </c>
      <c r="D76" t="s">
        <v>17</v>
      </c>
      <c r="E76" t="s">
        <v>104</v>
      </c>
      <c r="F76">
        <v>0</v>
      </c>
      <c r="G76">
        <f>MAX(I71,I64,I74,I66,I75,I73)</f>
        <v>755505</v>
      </c>
      <c r="H76">
        <f>'Operations'!I6</f>
        <v>65536</v>
      </c>
      <c r="I76">
        <f>G76+H76</f>
        <v>821041</v>
      </c>
      <c r="J76">
        <f>IF(AND(D76&lt;&gt;"dram",D76&lt;&gt;"control"),H76,0)</f>
        <v>65536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124</v>
      </c>
      <c r="C77" t="s">
        <v>82</v>
      </c>
      <c r="D77" t="s">
        <v>83</v>
      </c>
      <c r="E77" t="s">
        <v>104</v>
      </c>
      <c r="F77">
        <v>0</v>
      </c>
      <c r="G77">
        <f>MAX(I72,I71)</f>
        <v>689969</v>
      </c>
      <c r="H77">
        <f>0</f>
        <v>65536</v>
      </c>
      <c r="I77">
        <f>G77+H77</f>
        <v>755505</v>
      </c>
      <c r="J77">
        <f>IF(AND(D77&lt;&gt;"dram",D77&lt;&gt;"control"),H77,0)</f>
        <v>0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125</v>
      </c>
      <c r="C78" t="s">
        <v>87</v>
      </c>
      <c r="D78" t="s">
        <v>79</v>
      </c>
      <c r="E78" t="s">
        <v>104</v>
      </c>
      <c r="F78">
        <v>2048</v>
      </c>
      <c r="G78">
        <f>MAX(I77,I75)</f>
        <v>755505</v>
      </c>
      <c r="H78">
        <f>CEILING((dram_access_latency+F78/dram_bandwidth)*frequency,1)</f>
        <v>131</v>
      </c>
      <c r="I78">
        <f>G78+H78</f>
        <v>755636</v>
      </c>
      <c r="J78">
        <f>IF(AND(D78&lt;&gt;"dram",D78&lt;&gt;"control"),H78,0)</f>
        <v>0</v>
      </c>
      <c r="K78">
        <f>IF(D78="dram",H78,0)</f>
        <v>131</v>
      </c>
      <c r="L78">
        <v>0</v>
      </c>
      <c r="M78">
        <v>2048</v>
      </c>
    </row>
    <row r="79" spans="1:13">
      <c r="A79">
        <v>77</v>
      </c>
      <c r="B79" t="s">
        <v>121</v>
      </c>
      <c r="C79" t="s">
        <v>78</v>
      </c>
      <c r="D79" t="s">
        <v>79</v>
      </c>
      <c r="E79" t="s">
        <v>105</v>
      </c>
      <c r="F79">
        <v>2097152</v>
      </c>
      <c r="G79">
        <f>MAX(I77,I78)</f>
        <v>755636</v>
      </c>
      <c r="H79">
        <f>CEILING((dram_access_latency+F79/dram_bandwidth)*frequency,1)</f>
        <v>30941</v>
      </c>
      <c r="I79">
        <f>G79+H79</f>
        <v>786577</v>
      </c>
      <c r="J79">
        <f>IF(AND(D79&lt;&gt;"dram",D79&lt;&gt;"control"),H79,0)</f>
        <v>0</v>
      </c>
      <c r="K79">
        <f>IF(D79="dram",H79,0)</f>
        <v>30941</v>
      </c>
      <c r="L79">
        <v>2097152</v>
      </c>
      <c r="M79">
        <v>0</v>
      </c>
    </row>
    <row r="80" spans="1:13">
      <c r="A80">
        <v>78</v>
      </c>
      <c r="B80" t="s">
        <v>123</v>
      </c>
      <c r="C80" t="s">
        <v>78</v>
      </c>
      <c r="D80" t="s">
        <v>79</v>
      </c>
      <c r="E80" t="s">
        <v>105</v>
      </c>
      <c r="F80">
        <v>65536</v>
      </c>
      <c r="G80">
        <f>MAX(I77,I79)</f>
        <v>786577</v>
      </c>
      <c r="H80">
        <f>CEILING((dram_access_latency+F80/dram_bandwidth)*frequency,1)</f>
        <v>1064</v>
      </c>
      <c r="I80">
        <f>G80+H80</f>
        <v>787641</v>
      </c>
      <c r="J80">
        <f>IF(AND(D80&lt;&gt;"dram",D80&lt;&gt;"control"),H80,0)</f>
        <v>0</v>
      </c>
      <c r="K80">
        <f>IF(D80="dram",H80,0)</f>
        <v>1064</v>
      </c>
      <c r="L80">
        <v>65536</v>
      </c>
      <c r="M80">
        <v>0</v>
      </c>
    </row>
    <row r="81" spans="1:13">
      <c r="A81">
        <v>79</v>
      </c>
      <c r="B81" t="s">
        <v>25</v>
      </c>
      <c r="C81" t="s">
        <v>85</v>
      </c>
      <c r="D81" t="s">
        <v>17</v>
      </c>
      <c r="E81" t="s">
        <v>105</v>
      </c>
      <c r="F81">
        <v>0</v>
      </c>
      <c r="G81">
        <f>MAX(I76,I64,I79,I66,I80,I78)</f>
        <v>821041</v>
      </c>
      <c r="H81">
        <f>'Operations'!I6</f>
        <v>65536</v>
      </c>
      <c r="I81">
        <f>G81+H81</f>
        <v>886577</v>
      </c>
      <c r="J81">
        <f>IF(AND(D81&lt;&gt;"dram",D81&lt;&gt;"control"),H81,0)</f>
        <v>65536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124</v>
      </c>
      <c r="C82" t="s">
        <v>82</v>
      </c>
      <c r="D82" t="s">
        <v>83</v>
      </c>
      <c r="E82" t="s">
        <v>105</v>
      </c>
      <c r="F82">
        <v>0</v>
      </c>
      <c r="G82">
        <f>MAX(I77,I76)</f>
        <v>755505</v>
      </c>
      <c r="H82">
        <f>0</f>
        <v>65536</v>
      </c>
      <c r="I82">
        <f>G82+H82</f>
        <v>821041</v>
      </c>
      <c r="J82">
        <f>IF(AND(D82&lt;&gt;"dram",D82&lt;&gt;"control"),H82,0)</f>
        <v>0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125</v>
      </c>
      <c r="C83" t="s">
        <v>87</v>
      </c>
      <c r="D83" t="s">
        <v>79</v>
      </c>
      <c r="E83" t="s">
        <v>105</v>
      </c>
      <c r="F83">
        <v>2048</v>
      </c>
      <c r="G83">
        <f>MAX(I82,I80)</f>
        <v>821041</v>
      </c>
      <c r="H83">
        <f>CEILING((dram_access_latency+F83/dram_bandwidth)*frequency,1)</f>
        <v>131</v>
      </c>
      <c r="I83">
        <f>G83+H83</f>
        <v>821172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126</v>
      </c>
      <c r="C84" t="s">
        <v>82</v>
      </c>
      <c r="D84" t="s">
        <v>83</v>
      </c>
      <c r="E84" t="s">
        <v>80</v>
      </c>
      <c r="F84">
        <v>0</v>
      </c>
      <c r="G84">
        <f>MAX(I82,I81)</f>
        <v>821041</v>
      </c>
      <c r="H84">
        <f>0</f>
        <v>65536</v>
      </c>
      <c r="I84">
        <f>G84+H84</f>
        <v>886577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127</v>
      </c>
      <c r="C85" t="s">
        <v>87</v>
      </c>
      <c r="D85" t="s">
        <v>79</v>
      </c>
      <c r="E85" t="s">
        <v>80</v>
      </c>
      <c r="F85">
        <v>2048</v>
      </c>
      <c r="G85">
        <f>MAX(I84,I83)</f>
        <v>886577</v>
      </c>
      <c r="H85">
        <f>CEILING((dram_access_latency+F85/dram_bandwidth)*frequency,1)</f>
        <v>131</v>
      </c>
      <c r="I85">
        <f>G85+H85</f>
        <v>886708</v>
      </c>
      <c r="J85">
        <f>IF(AND(D85&lt;&gt;"dram",D85&lt;&gt;"control"),H85,0)</f>
        <v>0</v>
      </c>
      <c r="K85">
        <f>IF(D85="dram",H85,0)</f>
        <v>131</v>
      </c>
      <c r="L85">
        <v>0</v>
      </c>
      <c r="M85">
        <v>2048</v>
      </c>
    </row>
    <row r="86" spans="1:13">
      <c r="A86">
        <v>84</v>
      </c>
      <c r="B86" t="s">
        <v>128</v>
      </c>
      <c r="C86" t="s">
        <v>82</v>
      </c>
      <c r="D86" t="s">
        <v>83</v>
      </c>
      <c r="E86" t="s">
        <v>80</v>
      </c>
      <c r="F86">
        <v>0</v>
      </c>
      <c r="G86">
        <f>MAX(I84,I83)</f>
        <v>886577</v>
      </c>
      <c r="H86">
        <f>0</f>
        <v>0</v>
      </c>
      <c r="I86">
        <f>G86+H86</f>
        <v>886577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129</v>
      </c>
      <c r="C87" t="s">
        <v>82</v>
      </c>
      <c r="D87" t="s">
        <v>83</v>
      </c>
      <c r="E87" t="s">
        <v>80</v>
      </c>
      <c r="F87">
        <v>0</v>
      </c>
      <c r="G87">
        <f>MAX(I86,I85)</f>
        <v>886577</v>
      </c>
      <c r="H87">
        <f>0</f>
        <v>131</v>
      </c>
      <c r="I87">
        <f>G87+H87</f>
        <v>886708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130</v>
      </c>
      <c r="C88" t="s">
        <v>78</v>
      </c>
      <c r="D88" t="s">
        <v>79</v>
      </c>
      <c r="E88" t="s">
        <v>80</v>
      </c>
      <c r="F88">
        <v>4096</v>
      </c>
      <c r="G88">
        <f>MAX(I87,I85)</f>
        <v>886708</v>
      </c>
      <c r="H88">
        <f>CEILING((dram_access_latency+F88/dram_bandwidth)*frequency,1)</f>
        <v>161</v>
      </c>
      <c r="I88">
        <f>G88+H88</f>
        <v>886869</v>
      </c>
      <c r="J88">
        <f>IF(AND(D88&lt;&gt;"dram",D88&lt;&gt;"control"),H88,0)</f>
        <v>0</v>
      </c>
      <c r="K88">
        <f>IF(D88="dram",H88,0)</f>
        <v>161</v>
      </c>
      <c r="L88">
        <v>4096</v>
      </c>
      <c r="M88">
        <v>0</v>
      </c>
    </row>
    <row r="89" spans="1:13">
      <c r="A89">
        <v>87</v>
      </c>
      <c r="B89" t="s">
        <v>130</v>
      </c>
      <c r="C89" t="s">
        <v>87</v>
      </c>
      <c r="D89" t="s">
        <v>79</v>
      </c>
      <c r="E89" t="s">
        <v>80</v>
      </c>
      <c r="F89">
        <v>4096</v>
      </c>
      <c r="G89">
        <f>MAX(I88,I88)</f>
        <v>886869</v>
      </c>
      <c r="H89">
        <f>CEILING((dram_access_latency+F89/dram_bandwidth)*frequency,1)</f>
        <v>161</v>
      </c>
      <c r="I89">
        <f>G89+H89</f>
        <v>887030</v>
      </c>
      <c r="J89">
        <f>IF(AND(D89&lt;&gt;"dram",D89&lt;&gt;"control"),H89,0)</f>
        <v>0</v>
      </c>
      <c r="K89">
        <f>IF(D89="dram",H89,0)</f>
        <v>161</v>
      </c>
      <c r="L89">
        <v>0</v>
      </c>
      <c r="M89">
        <v>4096</v>
      </c>
    </row>
    <row r="90" spans="1:13">
      <c r="A90">
        <v>88</v>
      </c>
      <c r="B90" t="s">
        <v>131</v>
      </c>
      <c r="C90" t="s">
        <v>78</v>
      </c>
      <c r="D90" t="s">
        <v>79</v>
      </c>
      <c r="E90" t="s">
        <v>80</v>
      </c>
      <c r="F90">
        <v>4096</v>
      </c>
      <c r="G90">
        <f>MAX(I89,I89)</f>
        <v>887030</v>
      </c>
      <c r="H90">
        <f>CEILING((dram_access_latency+F90/dram_bandwidth)*frequency,1)</f>
        <v>161</v>
      </c>
      <c r="I90">
        <f>G90+H90</f>
        <v>887191</v>
      </c>
      <c r="J90">
        <f>IF(AND(D90&lt;&gt;"dram",D90&lt;&gt;"control"),H90,0)</f>
        <v>0</v>
      </c>
      <c r="K90">
        <f>IF(D90="dram",H90,0)</f>
        <v>161</v>
      </c>
      <c r="L90">
        <v>4096</v>
      </c>
      <c r="M90">
        <v>0</v>
      </c>
    </row>
    <row r="91" spans="1:13">
      <c r="A91">
        <v>89</v>
      </c>
      <c r="B91" t="s">
        <v>131</v>
      </c>
      <c r="C91" t="s">
        <v>87</v>
      </c>
      <c r="D91" t="s">
        <v>79</v>
      </c>
      <c r="E91" t="s">
        <v>80</v>
      </c>
      <c r="F91">
        <v>4096</v>
      </c>
      <c r="G91">
        <f>MAX(I90,I90)</f>
        <v>887191</v>
      </c>
      <c r="H91">
        <f>CEILING((dram_access_latency+F91/dram_bandwidth)*frequency,1)</f>
        <v>161</v>
      </c>
      <c r="I91">
        <f>G91+H91</f>
        <v>887352</v>
      </c>
      <c r="J91">
        <f>IF(AND(D91&lt;&gt;"dram",D91&lt;&gt;"control"),H91,0)</f>
        <v>0</v>
      </c>
      <c r="K91">
        <f>IF(D91="dram",H91,0)</f>
        <v>161</v>
      </c>
      <c r="L91">
        <v>0</v>
      </c>
      <c r="M91">
        <v>4096</v>
      </c>
    </row>
    <row r="92" spans="1:13">
      <c r="A92">
        <v>90</v>
      </c>
      <c r="B92" t="s">
        <v>132</v>
      </c>
      <c r="C92" t="s">
        <v>78</v>
      </c>
      <c r="D92" t="s">
        <v>79</v>
      </c>
      <c r="E92" t="s">
        <v>80</v>
      </c>
      <c r="F92">
        <v>4096</v>
      </c>
      <c r="G92">
        <f>MAX(I91,I91)</f>
        <v>887352</v>
      </c>
      <c r="H92">
        <f>CEILING((dram_access_latency+F92/dram_bandwidth)*frequency,1)</f>
        <v>161</v>
      </c>
      <c r="I92">
        <f>G92+H92</f>
        <v>887513</v>
      </c>
      <c r="J92">
        <f>IF(AND(D92&lt;&gt;"dram",D92&lt;&gt;"control"),H92,0)</f>
        <v>0</v>
      </c>
      <c r="K92">
        <f>IF(D92="dram",H92,0)</f>
        <v>161</v>
      </c>
      <c r="L92">
        <v>4096</v>
      </c>
      <c r="M92">
        <v>0</v>
      </c>
    </row>
    <row r="93" spans="1:13">
      <c r="A93">
        <v>91</v>
      </c>
      <c r="B93" t="s">
        <v>133</v>
      </c>
      <c r="C93" t="s">
        <v>82</v>
      </c>
      <c r="D93" t="s">
        <v>83</v>
      </c>
      <c r="E93" t="s">
        <v>84</v>
      </c>
      <c r="F93">
        <v>0</v>
      </c>
      <c r="G93">
        <f>MAX(I91,I92)</f>
        <v>887352</v>
      </c>
      <c r="H93">
        <f>0</f>
        <v>161</v>
      </c>
      <c r="I93">
        <f>G93+H93</f>
        <v>887513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26</v>
      </c>
      <c r="C94" t="s">
        <v>85</v>
      </c>
      <c r="D94" t="s">
        <v>17</v>
      </c>
      <c r="E94" t="s">
        <v>84</v>
      </c>
      <c r="F94">
        <v>0</v>
      </c>
      <c r="G94">
        <f>MAX(I93,I81)</f>
        <v>887513</v>
      </c>
      <c r="H94">
        <f>'Operations'!I7</f>
        <v>64</v>
      </c>
      <c r="I94">
        <f>G94+H94</f>
        <v>887577</v>
      </c>
      <c r="J94">
        <f>IF(AND(D94&lt;&gt;"dram",D94&lt;&gt;"control"),H94,0)</f>
        <v>64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134</v>
      </c>
      <c r="C95" t="s">
        <v>87</v>
      </c>
      <c r="D95" t="s">
        <v>79</v>
      </c>
      <c r="E95" t="s">
        <v>84</v>
      </c>
      <c r="F95">
        <v>4096</v>
      </c>
      <c r="G95">
        <f>MAX(I94,I92)</f>
        <v>887577</v>
      </c>
      <c r="H95">
        <f>CEILING((dram_access_latency+F95/dram_bandwidth)*frequency,1)</f>
        <v>161</v>
      </c>
      <c r="I95">
        <f>G95+H95</f>
        <v>887738</v>
      </c>
      <c r="J95">
        <f>IF(AND(D95&lt;&gt;"dram",D95&lt;&gt;"control"),H95,0)</f>
        <v>0</v>
      </c>
      <c r="K95">
        <f>IF(D95="dram",H95,0)</f>
        <v>161</v>
      </c>
      <c r="L95">
        <v>0</v>
      </c>
      <c r="M95">
        <v>4096</v>
      </c>
    </row>
    <row r="96" spans="1:13">
      <c r="A96">
        <v>94</v>
      </c>
      <c r="B96" t="s">
        <v>135</v>
      </c>
      <c r="C96" t="s">
        <v>82</v>
      </c>
      <c r="D96" t="s">
        <v>83</v>
      </c>
      <c r="E96" t="s">
        <v>80</v>
      </c>
      <c r="F96">
        <v>0</v>
      </c>
      <c r="G96">
        <f>MAX(I94,I95)</f>
        <v>887577</v>
      </c>
      <c r="H96">
        <f>0</f>
        <v>161</v>
      </c>
      <c r="I96">
        <f>G96+H96</f>
        <v>887738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136</v>
      </c>
      <c r="C97" t="s">
        <v>78</v>
      </c>
      <c r="D97" t="s">
        <v>79</v>
      </c>
      <c r="E97" t="s">
        <v>80</v>
      </c>
      <c r="F97">
        <v>4096</v>
      </c>
      <c r="G97">
        <f>MAX(I96,I95)</f>
        <v>887738</v>
      </c>
      <c r="H97">
        <f>CEILING((dram_access_latency+F97/dram_bandwidth)*frequency,1)</f>
        <v>161</v>
      </c>
      <c r="I97">
        <f>G97+H97</f>
        <v>887899</v>
      </c>
      <c r="J97">
        <f>IF(AND(D97&lt;&gt;"dram",D97&lt;&gt;"control"),H97,0)</f>
        <v>0</v>
      </c>
      <c r="K97">
        <f>IF(D97="dram",H97,0)</f>
        <v>161</v>
      </c>
      <c r="L97">
        <v>4096</v>
      </c>
      <c r="M97">
        <v>0</v>
      </c>
    </row>
    <row r="98" spans="1:13">
      <c r="A98">
        <v>96</v>
      </c>
      <c r="B98" t="s">
        <v>136</v>
      </c>
      <c r="C98" t="s">
        <v>78</v>
      </c>
      <c r="D98" t="s">
        <v>79</v>
      </c>
      <c r="E98" t="s">
        <v>80</v>
      </c>
      <c r="F98">
        <v>4096</v>
      </c>
      <c r="G98">
        <f>MAX(I97,I97)</f>
        <v>887899</v>
      </c>
      <c r="H98">
        <f>CEILING((dram_access_latency+F98/dram_bandwidth)*frequency,1)</f>
        <v>161</v>
      </c>
      <c r="I98">
        <f>G98+H98</f>
        <v>888060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136</v>
      </c>
      <c r="C99" t="s">
        <v>87</v>
      </c>
      <c r="D99" t="s">
        <v>79</v>
      </c>
      <c r="E99" t="s">
        <v>80</v>
      </c>
      <c r="F99">
        <v>8192</v>
      </c>
      <c r="G99">
        <f>MAX(I98,I98)</f>
        <v>888060</v>
      </c>
      <c r="H99">
        <f>CEILING((dram_access_latency+F99/dram_bandwidth)*frequency,1)</f>
        <v>221</v>
      </c>
      <c r="I99">
        <f>G99+H99</f>
        <v>888281</v>
      </c>
      <c r="J99">
        <f>IF(AND(D99&lt;&gt;"dram",D99&lt;&gt;"control"),H99,0)</f>
        <v>0</v>
      </c>
      <c r="K99">
        <f>IF(D99="dram",H99,0)</f>
        <v>221</v>
      </c>
      <c r="L99">
        <v>0</v>
      </c>
      <c r="M99">
        <v>8192</v>
      </c>
    </row>
    <row r="100" spans="1:13">
      <c r="A100">
        <v>98</v>
      </c>
      <c r="B100" t="s">
        <v>137</v>
      </c>
      <c r="C100" t="s">
        <v>78</v>
      </c>
      <c r="D100" t="s">
        <v>79</v>
      </c>
      <c r="E100" t="s">
        <v>80</v>
      </c>
      <c r="F100">
        <v>8192</v>
      </c>
      <c r="G100">
        <f>MAX(I99,I99)</f>
        <v>888281</v>
      </c>
      <c r="H100">
        <f>CEILING((dram_access_latency+F100/dram_bandwidth)*frequency,1)</f>
        <v>221</v>
      </c>
      <c r="I100">
        <f>G100+H100</f>
        <v>888502</v>
      </c>
      <c r="J100">
        <f>IF(AND(D100&lt;&gt;"dram",D100&lt;&gt;"control"),H100,0)</f>
        <v>0</v>
      </c>
      <c r="K100">
        <f>IF(D100="dram",H100,0)</f>
        <v>221</v>
      </c>
      <c r="L100">
        <v>8192</v>
      </c>
      <c r="M100">
        <v>0</v>
      </c>
    </row>
    <row r="101" spans="1:13">
      <c r="A101">
        <v>99</v>
      </c>
      <c r="B101" t="s">
        <v>138</v>
      </c>
      <c r="C101" t="s">
        <v>78</v>
      </c>
      <c r="D101" t="s">
        <v>79</v>
      </c>
      <c r="E101" t="s">
        <v>80</v>
      </c>
      <c r="F101">
        <v>256</v>
      </c>
      <c r="G101">
        <f>MAX(I99,I100)</f>
        <v>888502</v>
      </c>
      <c r="H101">
        <f>CEILING((dram_access_latency+F101/dram_bandwidth)*frequency,1)</f>
        <v>104</v>
      </c>
      <c r="I101">
        <f>G101+H101</f>
        <v>888606</v>
      </c>
      <c r="J101">
        <f>IF(AND(D101&lt;&gt;"dram",D101&lt;&gt;"control"),H101,0)</f>
        <v>0</v>
      </c>
      <c r="K101">
        <f>IF(D101="dram",H101,0)</f>
        <v>104</v>
      </c>
      <c r="L101">
        <v>256</v>
      </c>
      <c r="M101">
        <v>0</v>
      </c>
    </row>
    <row r="102" spans="1:13">
      <c r="A102">
        <v>100</v>
      </c>
      <c r="B102" t="s">
        <v>139</v>
      </c>
      <c r="C102" t="s">
        <v>82</v>
      </c>
      <c r="D102" t="s">
        <v>83</v>
      </c>
      <c r="E102" t="s">
        <v>84</v>
      </c>
      <c r="F102">
        <v>0</v>
      </c>
      <c r="G102">
        <f>MAX(I99,I100)</f>
        <v>888281</v>
      </c>
      <c r="H102">
        <f>0</f>
        <v>221</v>
      </c>
      <c r="I102">
        <f>G102+H102</f>
        <v>888502</v>
      </c>
      <c r="J102">
        <f>IF(AND(D102&lt;&gt;"dram",D102&lt;&gt;"control"),H102,0)</f>
        <v>0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140</v>
      </c>
      <c r="C103" t="s">
        <v>82</v>
      </c>
      <c r="D103" t="s">
        <v>83</v>
      </c>
      <c r="E103" t="s">
        <v>84</v>
      </c>
      <c r="F103">
        <v>0</v>
      </c>
      <c r="G103">
        <f>MAX(I102,I101)</f>
        <v>888502</v>
      </c>
      <c r="H103">
        <f>0</f>
        <v>104</v>
      </c>
      <c r="I103">
        <f>G103+H103</f>
        <v>888606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28</v>
      </c>
      <c r="C104" t="s">
        <v>85</v>
      </c>
      <c r="D104" t="s">
        <v>17</v>
      </c>
      <c r="E104" t="s">
        <v>84</v>
      </c>
      <c r="F104">
        <v>0</v>
      </c>
      <c r="G104">
        <f>MAX(I103,I94)</f>
        <v>888606</v>
      </c>
      <c r="H104">
        <f>'Operations'!I8</f>
        <v>128</v>
      </c>
      <c r="I104">
        <f>G104+H104</f>
        <v>888734</v>
      </c>
      <c r="J104">
        <f>IF(AND(D104&lt;&gt;"dram",D104&lt;&gt;"control"),H104,0)</f>
        <v>128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141</v>
      </c>
      <c r="C105" t="s">
        <v>87</v>
      </c>
      <c r="D105" t="s">
        <v>79</v>
      </c>
      <c r="E105" t="s">
        <v>84</v>
      </c>
      <c r="F105">
        <v>8192</v>
      </c>
      <c r="G105">
        <f>MAX(I104,I101)</f>
        <v>888734</v>
      </c>
      <c r="H105">
        <f>CEILING((dram_access_latency+F105/dram_bandwidth)*frequency,1)</f>
        <v>221</v>
      </c>
      <c r="I105">
        <f>G105+H105</f>
        <v>888955</v>
      </c>
      <c r="J105">
        <f>IF(AND(D105&lt;&gt;"dram",D105&lt;&gt;"control"),H105,0)</f>
        <v>0</v>
      </c>
      <c r="K105">
        <f>IF(D105="dram",H105,0)</f>
        <v>221</v>
      </c>
      <c r="L105">
        <v>0</v>
      </c>
      <c r="M105">
        <v>8192</v>
      </c>
    </row>
    <row r="106" spans="1:13">
      <c r="A106">
        <v>104</v>
      </c>
      <c r="B106" t="s">
        <v>142</v>
      </c>
      <c r="C106" t="s">
        <v>82</v>
      </c>
      <c r="D106" t="s">
        <v>83</v>
      </c>
      <c r="E106" t="s">
        <v>80</v>
      </c>
      <c r="F106">
        <v>0</v>
      </c>
      <c r="G106">
        <f>MAX(I104,I105)</f>
        <v>888734</v>
      </c>
      <c r="H106">
        <f>0</f>
        <v>221</v>
      </c>
      <c r="I106">
        <f>G106+H106</f>
        <v>888955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143</v>
      </c>
      <c r="C107" t="s">
        <v>78</v>
      </c>
      <c r="D107" t="s">
        <v>79</v>
      </c>
      <c r="E107" t="s">
        <v>80</v>
      </c>
      <c r="F107">
        <v>8192</v>
      </c>
      <c r="G107">
        <f>MAX(I106,I105)</f>
        <v>888955</v>
      </c>
      <c r="H107">
        <f>CEILING((dram_access_latency+F107/dram_bandwidth)*frequency,1)</f>
        <v>221</v>
      </c>
      <c r="I107">
        <f>G107+H107</f>
        <v>889176</v>
      </c>
      <c r="J107">
        <f>IF(AND(D107&lt;&gt;"dram",D107&lt;&gt;"control"),H107,0)</f>
        <v>0</v>
      </c>
      <c r="K107">
        <f>IF(D107="dram",H107,0)</f>
        <v>221</v>
      </c>
      <c r="L107">
        <v>8192</v>
      </c>
      <c r="M107">
        <v>0</v>
      </c>
    </row>
    <row r="108" spans="1:13">
      <c r="A108">
        <v>106</v>
      </c>
      <c r="B108" t="s">
        <v>144</v>
      </c>
      <c r="C108" t="s">
        <v>78</v>
      </c>
      <c r="D108" t="s">
        <v>79</v>
      </c>
      <c r="E108" t="s">
        <v>80</v>
      </c>
      <c r="F108">
        <v>256</v>
      </c>
      <c r="G108">
        <f>MAX(I106,I107)</f>
        <v>889176</v>
      </c>
      <c r="H108">
        <f>CEILING((dram_access_latency+F108/dram_bandwidth)*frequency,1)</f>
        <v>104</v>
      </c>
      <c r="I108">
        <f>G108+H108</f>
        <v>889280</v>
      </c>
      <c r="J108">
        <f>IF(AND(D108&lt;&gt;"dram",D108&lt;&gt;"control"),H108,0)</f>
        <v>0</v>
      </c>
      <c r="K108">
        <f>IF(D108="dram",H108,0)</f>
        <v>104</v>
      </c>
      <c r="L108">
        <v>256</v>
      </c>
      <c r="M108">
        <v>0</v>
      </c>
    </row>
    <row r="109" spans="1:13">
      <c r="A109">
        <v>107</v>
      </c>
      <c r="B109" t="s">
        <v>145</v>
      </c>
      <c r="C109" t="s">
        <v>78</v>
      </c>
      <c r="D109" t="s">
        <v>79</v>
      </c>
      <c r="E109" t="s">
        <v>80</v>
      </c>
      <c r="F109">
        <v>8192</v>
      </c>
      <c r="G109">
        <f>MAX(I106,I108)</f>
        <v>889280</v>
      </c>
      <c r="H109">
        <f>CEILING((dram_access_latency+F109/dram_bandwidth)*frequency,1)</f>
        <v>221</v>
      </c>
      <c r="I109">
        <f>G109+H109</f>
        <v>889501</v>
      </c>
      <c r="J109">
        <f>IF(AND(D109&lt;&gt;"dram",D109&lt;&gt;"control"),H109,0)</f>
        <v>0</v>
      </c>
      <c r="K109">
        <f>IF(D109="dram",H109,0)</f>
        <v>221</v>
      </c>
      <c r="L109">
        <v>8192</v>
      </c>
      <c r="M109">
        <v>0</v>
      </c>
    </row>
    <row r="110" spans="1:13">
      <c r="A110">
        <v>108</v>
      </c>
      <c r="B110" t="s">
        <v>146</v>
      </c>
      <c r="C110" t="s">
        <v>82</v>
      </c>
      <c r="D110" t="s">
        <v>83</v>
      </c>
      <c r="E110" t="s">
        <v>84</v>
      </c>
      <c r="F110">
        <v>0</v>
      </c>
      <c r="G110">
        <f>MAX(I106,I107)</f>
        <v>888955</v>
      </c>
      <c r="H110">
        <f>0</f>
        <v>221</v>
      </c>
      <c r="I110">
        <f>G110+H110</f>
        <v>889176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147</v>
      </c>
      <c r="C111" t="s">
        <v>82</v>
      </c>
      <c r="D111" t="s">
        <v>83</v>
      </c>
      <c r="E111" t="s">
        <v>84</v>
      </c>
      <c r="F111">
        <v>0</v>
      </c>
      <c r="G111">
        <f>MAX(I110,I108)</f>
        <v>889176</v>
      </c>
      <c r="H111">
        <f>0</f>
        <v>104</v>
      </c>
      <c r="I111">
        <f>G111+H111</f>
        <v>889280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148</v>
      </c>
      <c r="C112" t="s">
        <v>82</v>
      </c>
      <c r="D112" t="s">
        <v>83</v>
      </c>
      <c r="E112" t="s">
        <v>84</v>
      </c>
      <c r="F112">
        <v>0</v>
      </c>
      <c r="G112">
        <f>MAX(I111,I109)</f>
        <v>889280</v>
      </c>
      <c r="H112">
        <f>0</f>
        <v>221</v>
      </c>
      <c r="I112">
        <f>G112+H112</f>
        <v>889501</v>
      </c>
      <c r="J112">
        <f>IF(AND(D112&lt;&gt;"dram",D112&lt;&gt;"control"),H112,0)</f>
        <v>0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30</v>
      </c>
      <c r="C113" t="s">
        <v>85</v>
      </c>
      <c r="D113" t="s">
        <v>17</v>
      </c>
      <c r="E113" t="s">
        <v>84</v>
      </c>
      <c r="F113">
        <v>0</v>
      </c>
      <c r="G113">
        <f>MAX(I112,I104)</f>
        <v>889501</v>
      </c>
      <c r="H113">
        <f>'Operations'!I9</f>
        <v>128</v>
      </c>
      <c r="I113">
        <f>G113+H113</f>
        <v>889629</v>
      </c>
      <c r="J113">
        <f>IF(AND(D113&lt;&gt;"dram",D113&lt;&gt;"control"),H113,0)</f>
        <v>128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149</v>
      </c>
      <c r="C114" t="s">
        <v>87</v>
      </c>
      <c r="D114" t="s">
        <v>79</v>
      </c>
      <c r="E114" t="s">
        <v>84</v>
      </c>
      <c r="F114">
        <v>64</v>
      </c>
      <c r="G114">
        <f>MAX(I113,I109)</f>
        <v>889629</v>
      </c>
      <c r="H114">
        <f>CEILING((dram_access_latency+F114/dram_bandwidth)*frequency,1)</f>
        <v>101</v>
      </c>
      <c r="I114">
        <f>G114+H114</f>
        <v>889730</v>
      </c>
      <c r="J114">
        <f>IF(AND(D114&lt;&gt;"dram",D114&lt;&gt;"control"),H114,0)</f>
        <v>0</v>
      </c>
      <c r="K114">
        <f>IF(D114="dram",H114,0)</f>
        <v>101</v>
      </c>
      <c r="L114">
        <v>0</v>
      </c>
      <c r="M114">
        <v>64</v>
      </c>
    </row>
    <row r="115" spans="1:13">
      <c r="A115">
        <v>113</v>
      </c>
      <c r="B115" t="s">
        <v>150</v>
      </c>
      <c r="C115" t="s">
        <v>87</v>
      </c>
      <c r="D115" t="s">
        <v>79</v>
      </c>
      <c r="E115" t="s">
        <v>84</v>
      </c>
      <c r="F115">
        <v>3072</v>
      </c>
      <c r="G115">
        <f>MAX(I113,I114)</f>
        <v>889730</v>
      </c>
      <c r="H115">
        <f>CEILING((dram_access_latency+F115/dram_bandwidth)*frequency,1)</f>
        <v>146</v>
      </c>
      <c r="I115">
        <f>G115+H115</f>
        <v>889876</v>
      </c>
      <c r="J115">
        <f>IF(AND(D115&lt;&gt;"dram",D115&lt;&gt;"control"),H115,0)</f>
        <v>0</v>
      </c>
      <c r="K115">
        <f>IF(D115="dram",H115,0)</f>
        <v>146</v>
      </c>
      <c r="L115">
        <v>0</v>
      </c>
      <c r="M115">
        <v>3072</v>
      </c>
    </row>
    <row r="116" spans="1:13">
      <c r="A116">
        <v>114</v>
      </c>
      <c r="B116" t="s">
        <v>151</v>
      </c>
      <c r="C116" t="s">
        <v>82</v>
      </c>
      <c r="D116" t="s">
        <v>83</v>
      </c>
      <c r="E116" t="s">
        <v>80</v>
      </c>
      <c r="F116">
        <v>0</v>
      </c>
      <c r="G116">
        <f>MAX(I113,I114)</f>
        <v>889629</v>
      </c>
      <c r="H116">
        <f>0</f>
        <v>101</v>
      </c>
      <c r="I116">
        <f>G116+H116</f>
        <v>889730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152</v>
      </c>
      <c r="C117" t="s">
        <v>82</v>
      </c>
      <c r="D117" t="s">
        <v>83</v>
      </c>
      <c r="E117" t="s">
        <v>80</v>
      </c>
      <c r="F117">
        <v>0</v>
      </c>
      <c r="G117">
        <f>MAX(I116,I115)</f>
        <v>889730</v>
      </c>
      <c r="H117">
        <f>0</f>
        <v>146</v>
      </c>
      <c r="I117">
        <f>G117+H117</f>
        <v>889876</v>
      </c>
      <c r="J117">
        <f>IF(AND(D117&lt;&gt;"dram",D117&lt;&gt;"control"),H117,0)</f>
        <v>0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153</v>
      </c>
      <c r="C118" t="s">
        <v>78</v>
      </c>
      <c r="D118" t="s">
        <v>79</v>
      </c>
      <c r="E118" t="s">
        <v>80</v>
      </c>
      <c r="F118">
        <v>4096</v>
      </c>
      <c r="G118">
        <f>MAX(I117,I115)</f>
        <v>889876</v>
      </c>
      <c r="H118">
        <f>CEILING((dram_access_latency+F118/dram_bandwidth)*frequency,1)</f>
        <v>161</v>
      </c>
      <c r="I118">
        <f>G118+H118</f>
        <v>890037</v>
      </c>
      <c r="J118">
        <f>IF(AND(D118&lt;&gt;"dram",D118&lt;&gt;"control"),H118,0)</f>
        <v>0</v>
      </c>
      <c r="K118">
        <f>IF(D118="dram",H118,0)</f>
        <v>161</v>
      </c>
      <c r="L118">
        <v>4096</v>
      </c>
      <c r="M118">
        <v>0</v>
      </c>
    </row>
    <row r="119" spans="1:13">
      <c r="A119">
        <v>117</v>
      </c>
      <c r="B119" t="s">
        <v>153</v>
      </c>
      <c r="C119" t="s">
        <v>87</v>
      </c>
      <c r="D119" t="s">
        <v>79</v>
      </c>
      <c r="E119" t="s">
        <v>80</v>
      </c>
      <c r="F119">
        <v>4096</v>
      </c>
      <c r="G119">
        <f>MAX(I118,I118)</f>
        <v>890037</v>
      </c>
      <c r="H119">
        <f>CEILING((dram_access_latency+F119/dram_bandwidth)*frequency,1)</f>
        <v>161</v>
      </c>
      <c r="I119">
        <f>G119+H119</f>
        <v>890198</v>
      </c>
      <c r="J119">
        <f>IF(AND(D119&lt;&gt;"dram",D119&lt;&gt;"control"),H119,0)</f>
        <v>0</v>
      </c>
      <c r="K119">
        <f>IF(D119="dram",H119,0)</f>
        <v>161</v>
      </c>
      <c r="L119">
        <v>0</v>
      </c>
      <c r="M119">
        <v>4096</v>
      </c>
    </row>
    <row r="120" spans="1:13">
      <c r="A120">
        <v>118</v>
      </c>
      <c r="B120" t="s">
        <v>154</v>
      </c>
      <c r="C120" t="s">
        <v>78</v>
      </c>
      <c r="D120" t="s">
        <v>79</v>
      </c>
      <c r="E120" t="s">
        <v>80</v>
      </c>
      <c r="F120">
        <v>4096</v>
      </c>
      <c r="G120">
        <f>MAX(I119,I119)</f>
        <v>890198</v>
      </c>
      <c r="H120">
        <f>CEILING((dram_access_latency+F120/dram_bandwidth)*frequency,1)</f>
        <v>161</v>
      </c>
      <c r="I120">
        <f>G120+H120</f>
        <v>890359</v>
      </c>
      <c r="J120">
        <f>IF(AND(D120&lt;&gt;"dram",D120&lt;&gt;"control"),H120,0)</f>
        <v>0</v>
      </c>
      <c r="K120">
        <f>IF(D120="dram",H120,0)</f>
        <v>161</v>
      </c>
      <c r="L120">
        <v>4096</v>
      </c>
      <c r="M120">
        <v>0</v>
      </c>
    </row>
    <row r="121" spans="1:13">
      <c r="A121">
        <v>119</v>
      </c>
      <c r="B121" t="s">
        <v>154</v>
      </c>
      <c r="C121" t="s">
        <v>87</v>
      </c>
      <c r="D121" t="s">
        <v>79</v>
      </c>
      <c r="E121" t="s">
        <v>80</v>
      </c>
      <c r="F121">
        <v>4096</v>
      </c>
      <c r="G121">
        <f>MAX(I120,I120)</f>
        <v>890359</v>
      </c>
      <c r="H121">
        <f>CEILING((dram_access_latency+F121/dram_bandwidth)*frequency,1)</f>
        <v>161</v>
      </c>
      <c r="I121">
        <f>G121+H121</f>
        <v>890520</v>
      </c>
      <c r="J121">
        <f>IF(AND(D121&lt;&gt;"dram",D121&lt;&gt;"control"),H121,0)</f>
        <v>0</v>
      </c>
      <c r="K121">
        <f>IF(D121="dram",H121,0)</f>
        <v>161</v>
      </c>
      <c r="L121">
        <v>0</v>
      </c>
      <c r="M121">
        <v>4096</v>
      </c>
    </row>
    <row r="122" spans="1:13">
      <c r="A122">
        <v>120</v>
      </c>
      <c r="B122" t="s">
        <v>155</v>
      </c>
      <c r="C122" t="s">
        <v>78</v>
      </c>
      <c r="D122" t="s">
        <v>79</v>
      </c>
      <c r="E122" t="s">
        <v>80</v>
      </c>
      <c r="F122">
        <v>4096</v>
      </c>
      <c r="G122">
        <f>MAX(I121,I121)</f>
        <v>890520</v>
      </c>
      <c r="H122">
        <f>CEILING((dram_access_latency+F122/dram_bandwidth)*frequency,1)</f>
        <v>161</v>
      </c>
      <c r="I122">
        <f>G122+H122</f>
        <v>890681</v>
      </c>
      <c r="J122">
        <f>IF(AND(D122&lt;&gt;"dram",D122&lt;&gt;"control"),H122,0)</f>
        <v>0</v>
      </c>
      <c r="K122">
        <f>IF(D122="dram",H122,0)</f>
        <v>161</v>
      </c>
      <c r="L122">
        <v>4096</v>
      </c>
      <c r="M122">
        <v>0</v>
      </c>
    </row>
    <row r="123" spans="1:13">
      <c r="A123">
        <v>121</v>
      </c>
      <c r="B123" t="s">
        <v>156</v>
      </c>
      <c r="C123" t="s">
        <v>82</v>
      </c>
      <c r="D123" t="s">
        <v>83</v>
      </c>
      <c r="E123" t="s">
        <v>84</v>
      </c>
      <c r="F123">
        <v>0</v>
      </c>
      <c r="G123">
        <f>MAX(I121,I122)</f>
        <v>890520</v>
      </c>
      <c r="H123">
        <f>0</f>
        <v>161</v>
      </c>
      <c r="I123">
        <f>G123+H123</f>
        <v>890681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31</v>
      </c>
      <c r="C124" t="s">
        <v>85</v>
      </c>
      <c r="D124" t="s">
        <v>17</v>
      </c>
      <c r="E124" t="s">
        <v>84</v>
      </c>
      <c r="F124">
        <v>0</v>
      </c>
      <c r="G124">
        <f>MAX(I123,I113)</f>
        <v>890681</v>
      </c>
      <c r="H124">
        <f>'Operations'!I10</f>
        <v>64</v>
      </c>
      <c r="I124">
        <f>G124+H124</f>
        <v>890745</v>
      </c>
      <c r="J124">
        <f>IF(AND(D124&lt;&gt;"dram",D124&lt;&gt;"control"),H124,0)</f>
        <v>64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157</v>
      </c>
      <c r="C125" t="s">
        <v>87</v>
      </c>
      <c r="D125" t="s">
        <v>79</v>
      </c>
      <c r="E125" t="s">
        <v>84</v>
      </c>
      <c r="F125">
        <v>4096</v>
      </c>
      <c r="G125">
        <f>MAX(I124,I122)</f>
        <v>890745</v>
      </c>
      <c r="H125">
        <f>CEILING((dram_access_latency+F125/dram_bandwidth)*frequency,1)</f>
        <v>161</v>
      </c>
      <c r="I125">
        <f>G125+H125</f>
        <v>890906</v>
      </c>
      <c r="J125">
        <f>IF(AND(D125&lt;&gt;"dram",D125&lt;&gt;"control"),H125,0)</f>
        <v>0</v>
      </c>
      <c r="K125">
        <f>IF(D125="dram",H125,0)</f>
        <v>161</v>
      </c>
      <c r="L125">
        <v>0</v>
      </c>
      <c r="M125">
        <v>4096</v>
      </c>
    </row>
    <row r="126" spans="1:13">
      <c r="A126">
        <v>124</v>
      </c>
      <c r="B126" t="s">
        <v>158</v>
      </c>
      <c r="C126" t="s">
        <v>82</v>
      </c>
      <c r="D126" t="s">
        <v>83</v>
      </c>
      <c r="E126" t="s">
        <v>80</v>
      </c>
      <c r="F126">
        <v>0</v>
      </c>
      <c r="G126">
        <f>MAX(I124,I125)</f>
        <v>890745</v>
      </c>
      <c r="H126">
        <f>0</f>
        <v>161</v>
      </c>
      <c r="I126">
        <f>G126+H126</f>
        <v>890906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159</v>
      </c>
      <c r="C127" t="s">
        <v>78</v>
      </c>
      <c r="D127" t="s">
        <v>79</v>
      </c>
      <c r="E127" t="s">
        <v>80</v>
      </c>
      <c r="F127">
        <v>4096</v>
      </c>
      <c r="G127">
        <f>MAX(I126,I125)</f>
        <v>890906</v>
      </c>
      <c r="H127">
        <f>CEILING((dram_access_latency+F127/dram_bandwidth)*frequency,1)</f>
        <v>161</v>
      </c>
      <c r="I127">
        <f>G127+H127</f>
        <v>891067</v>
      </c>
      <c r="J127">
        <f>IF(AND(D127&lt;&gt;"dram",D127&lt;&gt;"control"),H127,0)</f>
        <v>0</v>
      </c>
      <c r="K127">
        <f>IF(D127="dram",H127,0)</f>
        <v>161</v>
      </c>
      <c r="L127">
        <v>4096</v>
      </c>
      <c r="M127">
        <v>0</v>
      </c>
    </row>
    <row r="128" spans="1:13">
      <c r="A128">
        <v>126</v>
      </c>
      <c r="B128" t="s">
        <v>159</v>
      </c>
      <c r="C128" t="s">
        <v>78</v>
      </c>
      <c r="D128" t="s">
        <v>79</v>
      </c>
      <c r="E128" t="s">
        <v>80</v>
      </c>
      <c r="F128">
        <v>4096</v>
      </c>
      <c r="G128">
        <f>MAX(I127,I127)</f>
        <v>891067</v>
      </c>
      <c r="H128">
        <f>CEILING((dram_access_latency+F128/dram_bandwidth)*frequency,1)</f>
        <v>161</v>
      </c>
      <c r="I128">
        <f>G128+H128</f>
        <v>891228</v>
      </c>
      <c r="J128">
        <f>IF(AND(D128&lt;&gt;"dram",D128&lt;&gt;"control"),H128,0)</f>
        <v>0</v>
      </c>
      <c r="K128">
        <f>IF(D128="dram",H128,0)</f>
        <v>161</v>
      </c>
      <c r="L128">
        <v>4096</v>
      </c>
      <c r="M128">
        <v>0</v>
      </c>
    </row>
    <row r="129" spans="1:13">
      <c r="A129">
        <v>127</v>
      </c>
      <c r="B129" t="s">
        <v>159</v>
      </c>
      <c r="C129" t="s">
        <v>87</v>
      </c>
      <c r="D129" t="s">
        <v>79</v>
      </c>
      <c r="E129" t="s">
        <v>80</v>
      </c>
      <c r="F129">
        <v>8192</v>
      </c>
      <c r="G129">
        <f>MAX(I128,I128)</f>
        <v>891228</v>
      </c>
      <c r="H129">
        <f>CEILING((dram_access_latency+F129/dram_bandwidth)*frequency,1)</f>
        <v>221</v>
      </c>
      <c r="I129">
        <f>G129+H129</f>
        <v>891449</v>
      </c>
      <c r="J129">
        <f>IF(AND(D129&lt;&gt;"dram",D129&lt;&gt;"control"),H129,0)</f>
        <v>0</v>
      </c>
      <c r="K129">
        <f>IF(D129="dram",H129,0)</f>
        <v>221</v>
      </c>
      <c r="L129">
        <v>0</v>
      </c>
      <c r="M129">
        <v>8192</v>
      </c>
    </row>
    <row r="130" spans="1:13">
      <c r="A130">
        <v>128</v>
      </c>
      <c r="B130" t="s">
        <v>160</v>
      </c>
      <c r="C130" t="s">
        <v>78</v>
      </c>
      <c r="D130" t="s">
        <v>79</v>
      </c>
      <c r="E130" t="s">
        <v>80</v>
      </c>
      <c r="F130">
        <v>8192</v>
      </c>
      <c r="G130">
        <f>MAX(I129,I129)</f>
        <v>891449</v>
      </c>
      <c r="H130">
        <f>CEILING((dram_access_latency+F130/dram_bandwidth)*frequency,1)</f>
        <v>221</v>
      </c>
      <c r="I130">
        <f>G130+H130</f>
        <v>891670</v>
      </c>
      <c r="J130">
        <f>IF(AND(D130&lt;&gt;"dram",D130&lt;&gt;"control"),H130,0)</f>
        <v>0</v>
      </c>
      <c r="K130">
        <f>IF(D130="dram",H130,0)</f>
        <v>221</v>
      </c>
      <c r="L130">
        <v>8192</v>
      </c>
      <c r="M130">
        <v>0</v>
      </c>
    </row>
    <row r="131" spans="1:13">
      <c r="A131">
        <v>129</v>
      </c>
      <c r="B131" t="s">
        <v>161</v>
      </c>
      <c r="C131" t="s">
        <v>78</v>
      </c>
      <c r="D131" t="s">
        <v>79</v>
      </c>
      <c r="E131" t="s">
        <v>80</v>
      </c>
      <c r="F131">
        <v>256</v>
      </c>
      <c r="G131">
        <f>MAX(I129,I130)</f>
        <v>891670</v>
      </c>
      <c r="H131">
        <f>CEILING((dram_access_latency+F131/dram_bandwidth)*frequency,1)</f>
        <v>104</v>
      </c>
      <c r="I131">
        <f>G131+H131</f>
        <v>891774</v>
      </c>
      <c r="J131">
        <f>IF(AND(D131&lt;&gt;"dram",D131&lt;&gt;"control"),H131,0)</f>
        <v>0</v>
      </c>
      <c r="K131">
        <f>IF(D131="dram",H131,0)</f>
        <v>104</v>
      </c>
      <c r="L131">
        <v>256</v>
      </c>
      <c r="M131">
        <v>0</v>
      </c>
    </row>
    <row r="132" spans="1:13">
      <c r="A132">
        <v>130</v>
      </c>
      <c r="B132" t="s">
        <v>162</v>
      </c>
      <c r="C132" t="s">
        <v>82</v>
      </c>
      <c r="D132" t="s">
        <v>83</v>
      </c>
      <c r="E132" t="s">
        <v>84</v>
      </c>
      <c r="F132">
        <v>0</v>
      </c>
      <c r="G132">
        <f>MAX(I129,I130)</f>
        <v>891449</v>
      </c>
      <c r="H132">
        <f>0</f>
        <v>221</v>
      </c>
      <c r="I132">
        <f>G132+H132</f>
        <v>891670</v>
      </c>
      <c r="J132">
        <f>IF(AND(D132&lt;&gt;"dram",D132&lt;&gt;"control"),H132,0)</f>
        <v>0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163</v>
      </c>
      <c r="C133" t="s">
        <v>82</v>
      </c>
      <c r="D133" t="s">
        <v>83</v>
      </c>
      <c r="E133" t="s">
        <v>84</v>
      </c>
      <c r="F133">
        <v>0</v>
      </c>
      <c r="G133">
        <f>MAX(I132,I131)</f>
        <v>891670</v>
      </c>
      <c r="H133">
        <f>0</f>
        <v>104</v>
      </c>
      <c r="I133">
        <f>G133+H133</f>
        <v>891774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32</v>
      </c>
      <c r="C134" t="s">
        <v>85</v>
      </c>
      <c r="D134" t="s">
        <v>17</v>
      </c>
      <c r="E134" t="s">
        <v>84</v>
      </c>
      <c r="F134">
        <v>0</v>
      </c>
      <c r="G134">
        <f>MAX(I133,I124)</f>
        <v>891774</v>
      </c>
      <c r="H134">
        <f>'Operations'!I11</f>
        <v>128</v>
      </c>
      <c r="I134">
        <f>G134+H134</f>
        <v>891902</v>
      </c>
      <c r="J134">
        <f>IF(AND(D134&lt;&gt;"dram",D134&lt;&gt;"control"),H134,0)</f>
        <v>128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164</v>
      </c>
      <c r="C135" t="s">
        <v>87</v>
      </c>
      <c r="D135" t="s">
        <v>79</v>
      </c>
      <c r="E135" t="s">
        <v>84</v>
      </c>
      <c r="F135">
        <v>8192</v>
      </c>
      <c r="G135">
        <f>MAX(I134,I131)</f>
        <v>891902</v>
      </c>
      <c r="H135">
        <f>CEILING((dram_access_latency+F135/dram_bandwidth)*frequency,1)</f>
        <v>221</v>
      </c>
      <c r="I135">
        <f>G135+H135</f>
        <v>892123</v>
      </c>
      <c r="J135">
        <f>IF(AND(D135&lt;&gt;"dram",D135&lt;&gt;"control"),H135,0)</f>
        <v>0</v>
      </c>
      <c r="K135">
        <f>IF(D135="dram",H135,0)</f>
        <v>221</v>
      </c>
      <c r="L135">
        <v>0</v>
      </c>
      <c r="M135">
        <v>8192</v>
      </c>
    </row>
    <row r="136" spans="1:13">
      <c r="A136">
        <v>134</v>
      </c>
      <c r="B136" t="s">
        <v>165</v>
      </c>
      <c r="C136" t="s">
        <v>82</v>
      </c>
      <c r="D136" t="s">
        <v>83</v>
      </c>
      <c r="E136" t="s">
        <v>80</v>
      </c>
      <c r="F136">
        <v>0</v>
      </c>
      <c r="G136">
        <f>MAX(I134,I135)</f>
        <v>891902</v>
      </c>
      <c r="H136">
        <f>0</f>
        <v>221</v>
      </c>
      <c r="I136">
        <f>G136+H136</f>
        <v>892123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166</v>
      </c>
      <c r="C137" t="s">
        <v>78</v>
      </c>
      <c r="D137" t="s">
        <v>79</v>
      </c>
      <c r="E137" t="s">
        <v>80</v>
      </c>
      <c r="F137">
        <v>8192</v>
      </c>
      <c r="G137">
        <f>MAX(I136,I135)</f>
        <v>892123</v>
      </c>
      <c r="H137">
        <f>CEILING((dram_access_latency+F137/dram_bandwidth)*frequency,1)</f>
        <v>221</v>
      </c>
      <c r="I137">
        <f>G137+H137</f>
        <v>892344</v>
      </c>
      <c r="J137">
        <f>IF(AND(D137&lt;&gt;"dram",D137&lt;&gt;"control"),H137,0)</f>
        <v>0</v>
      </c>
      <c r="K137">
        <f>IF(D137="dram",H137,0)</f>
        <v>221</v>
      </c>
      <c r="L137">
        <v>8192</v>
      </c>
      <c r="M137">
        <v>0</v>
      </c>
    </row>
    <row r="138" spans="1:13">
      <c r="A138">
        <v>136</v>
      </c>
      <c r="B138" t="s">
        <v>167</v>
      </c>
      <c r="C138" t="s">
        <v>78</v>
      </c>
      <c r="D138" t="s">
        <v>79</v>
      </c>
      <c r="E138" t="s">
        <v>80</v>
      </c>
      <c r="F138">
        <v>256</v>
      </c>
      <c r="G138">
        <f>MAX(I136,I137)</f>
        <v>892344</v>
      </c>
      <c r="H138">
        <f>CEILING((dram_access_latency+F138/dram_bandwidth)*frequency,1)</f>
        <v>104</v>
      </c>
      <c r="I138">
        <f>G138+H138</f>
        <v>892448</v>
      </c>
      <c r="J138">
        <f>IF(AND(D138&lt;&gt;"dram",D138&lt;&gt;"control"),H138,0)</f>
        <v>0</v>
      </c>
      <c r="K138">
        <f>IF(D138="dram",H138,0)</f>
        <v>104</v>
      </c>
      <c r="L138">
        <v>256</v>
      </c>
      <c r="M138">
        <v>0</v>
      </c>
    </row>
    <row r="139" spans="1:13">
      <c r="A139">
        <v>137</v>
      </c>
      <c r="B139" t="s">
        <v>168</v>
      </c>
      <c r="C139" t="s">
        <v>78</v>
      </c>
      <c r="D139" t="s">
        <v>79</v>
      </c>
      <c r="E139" t="s">
        <v>80</v>
      </c>
      <c r="F139">
        <v>8192</v>
      </c>
      <c r="G139">
        <f>MAX(I136,I138)</f>
        <v>892448</v>
      </c>
      <c r="H139">
        <f>CEILING((dram_access_latency+F139/dram_bandwidth)*frequency,1)</f>
        <v>221</v>
      </c>
      <c r="I139">
        <f>G139+H139</f>
        <v>892669</v>
      </c>
      <c r="J139">
        <f>IF(AND(D139&lt;&gt;"dram",D139&lt;&gt;"control"),H139,0)</f>
        <v>0</v>
      </c>
      <c r="K139">
        <f>IF(D139="dram",H139,0)</f>
        <v>221</v>
      </c>
      <c r="L139">
        <v>8192</v>
      </c>
      <c r="M139">
        <v>0</v>
      </c>
    </row>
    <row r="140" spans="1:13">
      <c r="A140">
        <v>138</v>
      </c>
      <c r="B140" t="s">
        <v>169</v>
      </c>
      <c r="C140" t="s">
        <v>82</v>
      </c>
      <c r="D140" t="s">
        <v>83</v>
      </c>
      <c r="E140" t="s">
        <v>84</v>
      </c>
      <c r="F140">
        <v>0</v>
      </c>
      <c r="G140">
        <f>MAX(I136,I137)</f>
        <v>892123</v>
      </c>
      <c r="H140">
        <f>0</f>
        <v>221</v>
      </c>
      <c r="I140">
        <f>G140+H140</f>
        <v>892344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170</v>
      </c>
      <c r="C141" t="s">
        <v>82</v>
      </c>
      <c r="D141" t="s">
        <v>83</v>
      </c>
      <c r="E141" t="s">
        <v>84</v>
      </c>
      <c r="F141">
        <v>0</v>
      </c>
      <c r="G141">
        <f>MAX(I140,I138)</f>
        <v>892344</v>
      </c>
      <c r="H141">
        <f>0</f>
        <v>104</v>
      </c>
      <c r="I141">
        <f>G141+H141</f>
        <v>892448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171</v>
      </c>
      <c r="C142" t="s">
        <v>82</v>
      </c>
      <c r="D142" t="s">
        <v>83</v>
      </c>
      <c r="E142" t="s">
        <v>84</v>
      </c>
      <c r="F142">
        <v>0</v>
      </c>
      <c r="G142">
        <f>MAX(I141,I139)</f>
        <v>892448</v>
      </c>
      <c r="H142">
        <f>0</f>
        <v>221</v>
      </c>
      <c r="I142">
        <f>G142+H142</f>
        <v>892669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33</v>
      </c>
      <c r="C143" t="s">
        <v>85</v>
      </c>
      <c r="D143" t="s">
        <v>17</v>
      </c>
      <c r="E143" t="s">
        <v>84</v>
      </c>
      <c r="F143">
        <v>0</v>
      </c>
      <c r="G143">
        <f>MAX(I142,I134)</f>
        <v>892669</v>
      </c>
      <c r="H143">
        <f>'Operations'!I12</f>
        <v>128</v>
      </c>
      <c r="I143">
        <f>G143+H143</f>
        <v>892797</v>
      </c>
      <c r="J143">
        <f>IF(AND(D143&lt;&gt;"dram",D143&lt;&gt;"control"),H143,0)</f>
        <v>128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172</v>
      </c>
      <c r="C144" t="s">
        <v>87</v>
      </c>
      <c r="D144" t="s">
        <v>79</v>
      </c>
      <c r="E144" t="s">
        <v>84</v>
      </c>
      <c r="F144">
        <v>8192</v>
      </c>
      <c r="G144">
        <f>MAX(I143,I139)</f>
        <v>892797</v>
      </c>
      <c r="H144">
        <f>CEILING((dram_access_latency+F144/dram_bandwidth)*frequency,1)</f>
        <v>221</v>
      </c>
      <c r="I144">
        <f>G144+H144</f>
        <v>893018</v>
      </c>
      <c r="J144">
        <f>IF(AND(D144&lt;&gt;"dram",D144&lt;&gt;"control"),H144,0)</f>
        <v>0</v>
      </c>
      <c r="K144">
        <f>IF(D144="dram",H144,0)</f>
        <v>221</v>
      </c>
      <c r="L144">
        <v>0</v>
      </c>
      <c r="M144">
        <v>8192</v>
      </c>
    </row>
    <row r="145" spans="1:13">
      <c r="A145">
        <v>143</v>
      </c>
      <c r="B145" t="s">
        <v>173</v>
      </c>
      <c r="C145" t="s">
        <v>82</v>
      </c>
      <c r="D145" t="s">
        <v>83</v>
      </c>
      <c r="E145" t="s">
        <v>80</v>
      </c>
      <c r="F145">
        <v>0</v>
      </c>
      <c r="G145">
        <f>MAX(I143,I144)</f>
        <v>892797</v>
      </c>
      <c r="H145">
        <f>0</f>
        <v>221</v>
      </c>
      <c r="I145">
        <f>G145+H145</f>
        <v>893018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174</v>
      </c>
      <c r="C146" t="s">
        <v>78</v>
      </c>
      <c r="D146" t="s">
        <v>79</v>
      </c>
      <c r="E146" t="s">
        <v>80</v>
      </c>
      <c r="F146">
        <v>8</v>
      </c>
      <c r="G146">
        <f>MAX(I145,I144)</f>
        <v>893018</v>
      </c>
      <c r="H146">
        <f>CEILING((dram_access_latency+F146/dram_bandwidth)*frequency,1)</f>
        <v>101</v>
      </c>
      <c r="I146">
        <f>G146+H146</f>
        <v>893119</v>
      </c>
      <c r="J146">
        <f>IF(AND(D146&lt;&gt;"dram",D146&lt;&gt;"control"),H146,0)</f>
        <v>0</v>
      </c>
      <c r="K146">
        <f>IF(D146="dram",H146,0)</f>
        <v>101</v>
      </c>
      <c r="L146">
        <v>8</v>
      </c>
      <c r="M146">
        <v>0</v>
      </c>
    </row>
    <row r="147" spans="1:13">
      <c r="A147">
        <v>145</v>
      </c>
      <c r="B147" t="s">
        <v>174</v>
      </c>
      <c r="C147" t="s">
        <v>78</v>
      </c>
      <c r="D147" t="s">
        <v>79</v>
      </c>
      <c r="E147" t="s">
        <v>80</v>
      </c>
      <c r="F147">
        <v>8192</v>
      </c>
      <c r="G147">
        <f>MAX(I146,I146)</f>
        <v>893119</v>
      </c>
      <c r="H147">
        <f>CEILING((dram_access_latency+F147/dram_bandwidth)*frequency,1)</f>
        <v>221</v>
      </c>
      <c r="I147">
        <f>G147+H147</f>
        <v>893340</v>
      </c>
      <c r="J147">
        <f>IF(AND(D147&lt;&gt;"dram",D147&lt;&gt;"control"),H147,0)</f>
        <v>0</v>
      </c>
      <c r="K147">
        <f>IF(D147="dram",H147,0)</f>
        <v>221</v>
      </c>
      <c r="L147">
        <v>8192</v>
      </c>
      <c r="M147">
        <v>0</v>
      </c>
    </row>
    <row r="148" spans="1:13">
      <c r="A148">
        <v>146</v>
      </c>
      <c r="B148" t="s">
        <v>174</v>
      </c>
      <c r="C148" t="s">
        <v>87</v>
      </c>
      <c r="D148" t="s">
        <v>79</v>
      </c>
      <c r="E148" t="s">
        <v>80</v>
      </c>
      <c r="F148">
        <v>8192</v>
      </c>
      <c r="G148">
        <f>MAX(I147,I147)</f>
        <v>893340</v>
      </c>
      <c r="H148">
        <f>CEILING((dram_access_latency+F148/dram_bandwidth)*frequency,1)</f>
        <v>221</v>
      </c>
      <c r="I148">
        <f>G148+H148</f>
        <v>893561</v>
      </c>
      <c r="J148">
        <f>IF(AND(D148&lt;&gt;"dram",D148&lt;&gt;"control"),H148,0)</f>
        <v>0</v>
      </c>
      <c r="K148">
        <f>IF(D148="dram",H148,0)</f>
        <v>221</v>
      </c>
      <c r="L148">
        <v>0</v>
      </c>
      <c r="M148">
        <v>8192</v>
      </c>
    </row>
    <row r="149" spans="1:13">
      <c r="A149">
        <v>147</v>
      </c>
      <c r="B149" t="s">
        <v>175</v>
      </c>
      <c r="C149" t="s">
        <v>78</v>
      </c>
      <c r="D149" t="s">
        <v>79</v>
      </c>
      <c r="E149" t="s">
        <v>80</v>
      </c>
      <c r="F149">
        <v>5242880</v>
      </c>
      <c r="G149">
        <f>MAX(I148,I148)</f>
        <v>893561</v>
      </c>
      <c r="H149">
        <f>CEILING((dram_access_latency+F149/dram_bandwidth)*frequency,1)</f>
        <v>77202</v>
      </c>
      <c r="I149">
        <f>G149+H149</f>
        <v>970763</v>
      </c>
      <c r="J149">
        <f>IF(AND(D149&lt;&gt;"dram",D149&lt;&gt;"control"),H149,0)</f>
        <v>0</v>
      </c>
      <c r="K149">
        <f>IF(D149="dram",H149,0)</f>
        <v>77202</v>
      </c>
      <c r="L149">
        <v>5242880</v>
      </c>
      <c r="M149">
        <v>0</v>
      </c>
    </row>
    <row r="150" spans="1:13">
      <c r="A150">
        <v>148</v>
      </c>
      <c r="B150" t="s">
        <v>175</v>
      </c>
      <c r="C150" t="s">
        <v>87</v>
      </c>
      <c r="D150" t="s">
        <v>79</v>
      </c>
      <c r="E150" t="s">
        <v>80</v>
      </c>
      <c r="F150">
        <v>5242880</v>
      </c>
      <c r="G150">
        <f>MAX(I149,I149)</f>
        <v>970763</v>
      </c>
      <c r="H150">
        <f>CEILING((dram_access_latency+F150/dram_bandwidth)*frequency,1)</f>
        <v>77202</v>
      </c>
      <c r="I150">
        <f>G150+H150</f>
        <v>1047965</v>
      </c>
      <c r="J150">
        <f>IF(AND(D150&lt;&gt;"dram",D150&lt;&gt;"control"),H150,0)</f>
        <v>0</v>
      </c>
      <c r="K150">
        <f>IF(D150="dram",H150,0)</f>
        <v>77202</v>
      </c>
      <c r="L150">
        <v>0</v>
      </c>
      <c r="M150">
        <v>5242880</v>
      </c>
    </row>
    <row r="151" spans="1:13">
      <c r="A151">
        <v>149</v>
      </c>
      <c r="B151" t="s">
        <v>176</v>
      </c>
      <c r="C151" t="s">
        <v>78</v>
      </c>
      <c r="D151" t="s">
        <v>79</v>
      </c>
      <c r="E151" t="s">
        <v>80</v>
      </c>
      <c r="F151">
        <v>327680</v>
      </c>
      <c r="G151">
        <f>MAX(I150,I150)</f>
        <v>1047965</v>
      </c>
      <c r="H151">
        <f>CEILING((dram_access_latency+F151/dram_bandwidth)*frequency,1)</f>
        <v>4919</v>
      </c>
      <c r="I151">
        <f>G151+H151</f>
        <v>1052884</v>
      </c>
      <c r="J151">
        <f>IF(AND(D151&lt;&gt;"dram",D151&lt;&gt;"control"),H151,0)</f>
        <v>0</v>
      </c>
      <c r="K151">
        <f>IF(D151="dram",H151,0)</f>
        <v>4919</v>
      </c>
      <c r="L151">
        <v>327680</v>
      </c>
      <c r="M151">
        <v>0</v>
      </c>
    </row>
    <row r="152" spans="1:13">
      <c r="A152">
        <v>150</v>
      </c>
      <c r="B152" t="s">
        <v>177</v>
      </c>
      <c r="C152" t="s">
        <v>78</v>
      </c>
      <c r="D152" t="s">
        <v>79</v>
      </c>
      <c r="E152" t="s">
        <v>84</v>
      </c>
      <c r="F152">
        <v>327680</v>
      </c>
      <c r="G152">
        <f>MAX(I150,I151)</f>
        <v>1052884</v>
      </c>
      <c r="H152">
        <f>CEILING((dram_access_latency+F152/dram_bandwidth)*frequency,1)</f>
        <v>4919</v>
      </c>
      <c r="I152">
        <f>G152+H152</f>
        <v>1057803</v>
      </c>
      <c r="J152">
        <f>IF(AND(D152&lt;&gt;"dram",D152&lt;&gt;"control"),H152,0)</f>
        <v>0</v>
      </c>
      <c r="K152">
        <f>IF(D152="dram",H152,0)</f>
        <v>4919</v>
      </c>
      <c r="L152">
        <v>327680</v>
      </c>
      <c r="M152">
        <v>0</v>
      </c>
    </row>
    <row r="153" spans="1:13">
      <c r="A153">
        <v>151</v>
      </c>
      <c r="B153" t="s">
        <v>178</v>
      </c>
      <c r="C153" t="s">
        <v>82</v>
      </c>
      <c r="D153" t="s">
        <v>83</v>
      </c>
      <c r="E153" t="s">
        <v>84</v>
      </c>
      <c r="F153">
        <v>0</v>
      </c>
      <c r="G153">
        <f>MAX(I150,I151)</f>
        <v>1047965</v>
      </c>
      <c r="H153">
        <f>0</f>
        <v>4919</v>
      </c>
      <c r="I153">
        <f>G153+H153</f>
        <v>1052884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34</v>
      </c>
      <c r="C154" t="s">
        <v>85</v>
      </c>
      <c r="D154" t="s">
        <v>17</v>
      </c>
      <c r="E154" t="s">
        <v>84</v>
      </c>
      <c r="F154">
        <v>0</v>
      </c>
      <c r="G154">
        <f>MAX(I153,I143)</f>
        <v>1052884</v>
      </c>
      <c r="H154">
        <f>'Operations'!I13</f>
        <v>5120</v>
      </c>
      <c r="I154">
        <f>G154+H154</f>
        <v>1058004</v>
      </c>
      <c r="J154">
        <f>IF(AND(D154&lt;&gt;"dram",D154&lt;&gt;"control"),H154,0)</f>
        <v>5120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179</v>
      </c>
      <c r="C155" t="s">
        <v>87</v>
      </c>
      <c r="D155" t="s">
        <v>79</v>
      </c>
      <c r="E155" t="s">
        <v>84</v>
      </c>
      <c r="F155">
        <v>2560</v>
      </c>
      <c r="G155">
        <f>MAX(I154,I152)</f>
        <v>1058004</v>
      </c>
      <c r="H155">
        <f>CEILING((dram_access_latency+F155/dram_bandwidth)*frequency,1)</f>
        <v>138</v>
      </c>
      <c r="I155">
        <f>G155+H155</f>
        <v>1058142</v>
      </c>
      <c r="J155">
        <f>IF(AND(D155&lt;&gt;"dram",D155&lt;&gt;"control"),H155,0)</f>
        <v>0</v>
      </c>
      <c r="K155">
        <f>IF(D155="dram",H155,0)</f>
        <v>138</v>
      </c>
      <c r="L155">
        <v>0</v>
      </c>
      <c r="M155">
        <v>2560</v>
      </c>
    </row>
    <row r="156" spans="1:13">
      <c r="A156">
        <v>154</v>
      </c>
      <c r="B156" t="s">
        <v>180</v>
      </c>
      <c r="C156" t="s">
        <v>87</v>
      </c>
      <c r="D156" t="s">
        <v>79</v>
      </c>
      <c r="E156" t="s">
        <v>84</v>
      </c>
      <c r="F156">
        <v>122880</v>
      </c>
      <c r="G156">
        <f>MAX(I154,I155)</f>
        <v>1058142</v>
      </c>
      <c r="H156">
        <f>CEILING((dram_access_latency+F156/dram_bandwidth)*frequency,1)</f>
        <v>1908</v>
      </c>
      <c r="I156">
        <f>G156+H156</f>
        <v>1060050</v>
      </c>
      <c r="J156">
        <f>IF(AND(D156&lt;&gt;"dram",D156&lt;&gt;"control"),H156,0)</f>
        <v>0</v>
      </c>
      <c r="K156">
        <f>IF(D156="dram",H156,0)</f>
        <v>1908</v>
      </c>
      <c r="L156">
        <v>0</v>
      </c>
      <c r="M156">
        <v>122880</v>
      </c>
    </row>
    <row r="157" spans="1:13">
      <c r="A157">
        <v>155</v>
      </c>
      <c r="B157" t="s">
        <v>177</v>
      </c>
      <c r="C157" t="s">
        <v>78</v>
      </c>
      <c r="D157" t="s">
        <v>79</v>
      </c>
      <c r="E157" t="s">
        <v>101</v>
      </c>
      <c r="F157">
        <v>327680</v>
      </c>
      <c r="G157">
        <f>MAX(I154,I156)</f>
        <v>1060050</v>
      </c>
      <c r="H157">
        <f>CEILING((dram_access_latency+F157/dram_bandwidth)*frequency,1)</f>
        <v>4919</v>
      </c>
      <c r="I157">
        <f>G157+H157</f>
        <v>1064969</v>
      </c>
      <c r="J157">
        <f>IF(AND(D157&lt;&gt;"dram",D157&lt;&gt;"control"),H157,0)</f>
        <v>0</v>
      </c>
      <c r="K157">
        <f>IF(D157="dram",H157,0)</f>
        <v>4919</v>
      </c>
      <c r="L157">
        <v>327680</v>
      </c>
      <c r="M157">
        <v>0</v>
      </c>
    </row>
    <row r="158" spans="1:13">
      <c r="A158">
        <v>156</v>
      </c>
      <c r="B158" t="s">
        <v>178</v>
      </c>
      <c r="C158" t="s">
        <v>82</v>
      </c>
      <c r="D158" t="s">
        <v>83</v>
      </c>
      <c r="E158" t="s">
        <v>101</v>
      </c>
      <c r="F158">
        <v>0</v>
      </c>
      <c r="G158">
        <f>MAX(I154,I152)</f>
        <v>1058004</v>
      </c>
      <c r="H158">
        <f>0</f>
        <v>0</v>
      </c>
      <c r="I158">
        <f>G158+H158</f>
        <v>1058004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34</v>
      </c>
      <c r="C159" t="s">
        <v>85</v>
      </c>
      <c r="D159" t="s">
        <v>17</v>
      </c>
      <c r="E159" t="s">
        <v>101</v>
      </c>
      <c r="F159">
        <v>0</v>
      </c>
      <c r="G159">
        <f>MAX(I158,I154)</f>
        <v>1058004</v>
      </c>
      <c r="H159">
        <f>'Operations'!I13</f>
        <v>5120</v>
      </c>
      <c r="I159">
        <f>G159+H159</f>
        <v>1063124</v>
      </c>
      <c r="J159">
        <f>IF(AND(D159&lt;&gt;"dram",D159&lt;&gt;"control"),H159,0)</f>
        <v>5120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179</v>
      </c>
      <c r="C160" t="s">
        <v>87</v>
      </c>
      <c r="D160" t="s">
        <v>79</v>
      </c>
      <c r="E160" t="s">
        <v>101</v>
      </c>
      <c r="F160">
        <v>2560</v>
      </c>
      <c r="G160">
        <f>MAX(I159,I157)</f>
        <v>1064969</v>
      </c>
      <c r="H160">
        <f>CEILING((dram_access_latency+F160/dram_bandwidth)*frequency,1)</f>
        <v>138</v>
      </c>
      <c r="I160">
        <f>G160+H160</f>
        <v>1065107</v>
      </c>
      <c r="J160">
        <f>IF(AND(D160&lt;&gt;"dram",D160&lt;&gt;"control"),H160,0)</f>
        <v>0</v>
      </c>
      <c r="K160">
        <f>IF(D160="dram",H160,0)</f>
        <v>138</v>
      </c>
      <c r="L160">
        <v>0</v>
      </c>
      <c r="M160">
        <v>2560</v>
      </c>
    </row>
    <row r="161" spans="1:13">
      <c r="A161">
        <v>159</v>
      </c>
      <c r="B161" t="s">
        <v>180</v>
      </c>
      <c r="C161" t="s">
        <v>87</v>
      </c>
      <c r="D161" t="s">
        <v>79</v>
      </c>
      <c r="E161" t="s">
        <v>101</v>
      </c>
      <c r="F161">
        <v>122880</v>
      </c>
      <c r="G161">
        <f>MAX(I159,I160)</f>
        <v>1065107</v>
      </c>
      <c r="H161">
        <f>CEILING((dram_access_latency+F161/dram_bandwidth)*frequency,1)</f>
        <v>1908</v>
      </c>
      <c r="I161">
        <f>G161+H161</f>
        <v>1067015</v>
      </c>
      <c r="J161">
        <f>IF(AND(D161&lt;&gt;"dram",D161&lt;&gt;"control"),H161,0)</f>
        <v>0</v>
      </c>
      <c r="K161">
        <f>IF(D161="dram",H161,0)</f>
        <v>1908</v>
      </c>
      <c r="L161">
        <v>0</v>
      </c>
      <c r="M161">
        <v>122880</v>
      </c>
    </row>
    <row r="162" spans="1:13">
      <c r="A162">
        <v>160</v>
      </c>
      <c r="B162" t="s">
        <v>177</v>
      </c>
      <c r="C162" t="s">
        <v>78</v>
      </c>
      <c r="D162" t="s">
        <v>79</v>
      </c>
      <c r="E162" t="s">
        <v>104</v>
      </c>
      <c r="F162">
        <v>327680</v>
      </c>
      <c r="G162">
        <f>MAX(I159,I161)</f>
        <v>1067015</v>
      </c>
      <c r="H162">
        <f>CEILING((dram_access_latency+F162/dram_bandwidth)*frequency,1)</f>
        <v>4919</v>
      </c>
      <c r="I162">
        <f>G162+H162</f>
        <v>1071934</v>
      </c>
      <c r="J162">
        <f>IF(AND(D162&lt;&gt;"dram",D162&lt;&gt;"control"),H162,0)</f>
        <v>0</v>
      </c>
      <c r="K162">
        <f>IF(D162="dram",H162,0)</f>
        <v>4919</v>
      </c>
      <c r="L162">
        <v>327680</v>
      </c>
      <c r="M162">
        <v>0</v>
      </c>
    </row>
    <row r="163" spans="1:13">
      <c r="A163">
        <v>161</v>
      </c>
      <c r="B163" t="s">
        <v>178</v>
      </c>
      <c r="C163" t="s">
        <v>82</v>
      </c>
      <c r="D163" t="s">
        <v>83</v>
      </c>
      <c r="E163" t="s">
        <v>104</v>
      </c>
      <c r="F163">
        <v>0</v>
      </c>
      <c r="G163">
        <f>MAX(I159,I157)</f>
        <v>1063124</v>
      </c>
      <c r="H163">
        <f>0</f>
        <v>1845</v>
      </c>
      <c r="I163">
        <f>G163+H163</f>
        <v>1064969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181</v>
      </c>
      <c r="C164" t="s">
        <v>82</v>
      </c>
      <c r="D164" t="s">
        <v>83</v>
      </c>
      <c r="E164" t="s">
        <v>104</v>
      </c>
      <c r="F164">
        <v>0</v>
      </c>
      <c r="G164">
        <f>MAX(I163,I155)</f>
        <v>1064969</v>
      </c>
      <c r="H164">
        <f>0</f>
        <v>0</v>
      </c>
      <c r="I164">
        <f>G164+H164</f>
        <v>1064969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182</v>
      </c>
      <c r="C165" t="s">
        <v>82</v>
      </c>
      <c r="D165" t="s">
        <v>83</v>
      </c>
      <c r="E165" t="s">
        <v>104</v>
      </c>
      <c r="F165">
        <v>0</v>
      </c>
      <c r="G165">
        <f>MAX(I164,I156)</f>
        <v>1064969</v>
      </c>
      <c r="H165">
        <f>0</f>
        <v>0</v>
      </c>
      <c r="I165">
        <f>G165+H165</f>
        <v>1064969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34</v>
      </c>
      <c r="C166" t="s">
        <v>85</v>
      </c>
      <c r="D166" t="s">
        <v>17</v>
      </c>
      <c r="E166" t="s">
        <v>104</v>
      </c>
      <c r="F166">
        <v>0</v>
      </c>
      <c r="G166">
        <f>MAX(I165,I159)</f>
        <v>1064969</v>
      </c>
      <c r="H166">
        <f>'Operations'!I13</f>
        <v>5120</v>
      </c>
      <c r="I166">
        <f>G166+H166</f>
        <v>1070089</v>
      </c>
      <c r="J166">
        <f>IF(AND(D166&lt;&gt;"dram",D166&lt;&gt;"control"),H166,0)</f>
        <v>5120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179</v>
      </c>
      <c r="C167" t="s">
        <v>87</v>
      </c>
      <c r="D167" t="s">
        <v>79</v>
      </c>
      <c r="E167" t="s">
        <v>104</v>
      </c>
      <c r="F167">
        <v>2560</v>
      </c>
      <c r="G167">
        <f>MAX(I166,I162)</f>
        <v>1071934</v>
      </c>
      <c r="H167">
        <f>CEILING((dram_access_latency+F167/dram_bandwidth)*frequency,1)</f>
        <v>138</v>
      </c>
      <c r="I167">
        <f>G167+H167</f>
        <v>1072072</v>
      </c>
      <c r="J167">
        <f>IF(AND(D167&lt;&gt;"dram",D167&lt;&gt;"control"),H167,0)</f>
        <v>0</v>
      </c>
      <c r="K167">
        <f>IF(D167="dram",H167,0)</f>
        <v>138</v>
      </c>
      <c r="L167">
        <v>0</v>
      </c>
      <c r="M167">
        <v>2560</v>
      </c>
    </row>
    <row r="168" spans="1:13">
      <c r="A168">
        <v>166</v>
      </c>
      <c r="B168" t="s">
        <v>180</v>
      </c>
      <c r="C168" t="s">
        <v>87</v>
      </c>
      <c r="D168" t="s">
        <v>79</v>
      </c>
      <c r="E168" t="s">
        <v>104</v>
      </c>
      <c r="F168">
        <v>122880</v>
      </c>
      <c r="G168">
        <f>MAX(I166,I167)</f>
        <v>1072072</v>
      </c>
      <c r="H168">
        <f>CEILING((dram_access_latency+F168/dram_bandwidth)*frequency,1)</f>
        <v>1908</v>
      </c>
      <c r="I168">
        <f>G168+H168</f>
        <v>1073980</v>
      </c>
      <c r="J168">
        <f>IF(AND(D168&lt;&gt;"dram",D168&lt;&gt;"control"),H168,0)</f>
        <v>0</v>
      </c>
      <c r="K168">
        <f>IF(D168="dram",H168,0)</f>
        <v>1908</v>
      </c>
      <c r="L168">
        <v>0</v>
      </c>
      <c r="M168">
        <v>122880</v>
      </c>
    </row>
    <row r="169" spans="1:13">
      <c r="A169">
        <v>167</v>
      </c>
      <c r="B169" t="s">
        <v>177</v>
      </c>
      <c r="C169" t="s">
        <v>78</v>
      </c>
      <c r="D169" t="s">
        <v>79</v>
      </c>
      <c r="E169" t="s">
        <v>105</v>
      </c>
      <c r="F169">
        <v>327680</v>
      </c>
      <c r="G169">
        <f>MAX(I166,I168)</f>
        <v>1073980</v>
      </c>
      <c r="H169">
        <f>CEILING((dram_access_latency+F169/dram_bandwidth)*frequency,1)</f>
        <v>4919</v>
      </c>
      <c r="I169">
        <f>G169+H169</f>
        <v>1078899</v>
      </c>
      <c r="J169">
        <f>IF(AND(D169&lt;&gt;"dram",D169&lt;&gt;"control"),H169,0)</f>
        <v>0</v>
      </c>
      <c r="K169">
        <f>IF(D169="dram",H169,0)</f>
        <v>4919</v>
      </c>
      <c r="L169">
        <v>327680</v>
      </c>
      <c r="M169">
        <v>0</v>
      </c>
    </row>
    <row r="170" spans="1:13">
      <c r="A170">
        <v>168</v>
      </c>
      <c r="B170" t="s">
        <v>178</v>
      </c>
      <c r="C170" t="s">
        <v>82</v>
      </c>
      <c r="D170" t="s">
        <v>83</v>
      </c>
      <c r="E170" t="s">
        <v>105</v>
      </c>
      <c r="F170">
        <v>0</v>
      </c>
      <c r="G170">
        <f>MAX(I166,I162)</f>
        <v>1070089</v>
      </c>
      <c r="H170">
        <f>0</f>
        <v>1845</v>
      </c>
      <c r="I170">
        <f>G170+H170</f>
        <v>1071934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181</v>
      </c>
      <c r="C171" t="s">
        <v>82</v>
      </c>
      <c r="D171" t="s">
        <v>83</v>
      </c>
      <c r="E171" t="s">
        <v>105</v>
      </c>
      <c r="F171">
        <v>0</v>
      </c>
      <c r="G171">
        <f>MAX(I170,I160)</f>
        <v>1071934</v>
      </c>
      <c r="H171">
        <f>0</f>
        <v>0</v>
      </c>
      <c r="I171">
        <f>G171+H171</f>
        <v>1071934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182</v>
      </c>
      <c r="C172" t="s">
        <v>82</v>
      </c>
      <c r="D172" t="s">
        <v>83</v>
      </c>
      <c r="E172" t="s">
        <v>105</v>
      </c>
      <c r="F172">
        <v>0</v>
      </c>
      <c r="G172">
        <f>MAX(I171,I161)</f>
        <v>1071934</v>
      </c>
      <c r="H172">
        <f>0</f>
        <v>0</v>
      </c>
      <c r="I172">
        <f>G172+H172</f>
        <v>1071934</v>
      </c>
      <c r="J172">
        <f>IF(AND(D172&lt;&gt;"dram",D172&lt;&gt;"control"),H172,0)</f>
        <v>0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34</v>
      </c>
      <c r="C173" t="s">
        <v>85</v>
      </c>
      <c r="D173" t="s">
        <v>17</v>
      </c>
      <c r="E173" t="s">
        <v>105</v>
      </c>
      <c r="F173">
        <v>0</v>
      </c>
      <c r="G173">
        <f>MAX(I172,I166)</f>
        <v>1071934</v>
      </c>
      <c r="H173">
        <f>'Operations'!I13</f>
        <v>5120</v>
      </c>
      <c r="I173">
        <f>G173+H173</f>
        <v>1077054</v>
      </c>
      <c r="J173">
        <f>IF(AND(D173&lt;&gt;"dram",D173&lt;&gt;"control"),H173,0)</f>
        <v>5120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179</v>
      </c>
      <c r="C174" t="s">
        <v>87</v>
      </c>
      <c r="D174" t="s">
        <v>79</v>
      </c>
      <c r="E174" t="s">
        <v>105</v>
      </c>
      <c r="F174">
        <v>2560</v>
      </c>
      <c r="G174">
        <f>MAX(I173,I169)</f>
        <v>1078899</v>
      </c>
      <c r="H174">
        <f>CEILING((dram_access_latency+F174/dram_bandwidth)*frequency,1)</f>
        <v>138</v>
      </c>
      <c r="I174">
        <f>G174+H174</f>
        <v>1079037</v>
      </c>
      <c r="J174">
        <f>IF(AND(D174&lt;&gt;"dram",D174&lt;&gt;"control"),H174,0)</f>
        <v>0</v>
      </c>
      <c r="K174">
        <f>IF(D174="dram",H174,0)</f>
        <v>138</v>
      </c>
      <c r="L174">
        <v>0</v>
      </c>
      <c r="M174">
        <v>2560</v>
      </c>
    </row>
    <row r="175" spans="1:13">
      <c r="A175">
        <v>173</v>
      </c>
      <c r="B175" t="s">
        <v>180</v>
      </c>
      <c r="C175" t="s">
        <v>87</v>
      </c>
      <c r="D175" t="s">
        <v>79</v>
      </c>
      <c r="E175" t="s">
        <v>105</v>
      </c>
      <c r="F175">
        <v>122880</v>
      </c>
      <c r="G175">
        <f>MAX(I173,I174)</f>
        <v>1079037</v>
      </c>
      <c r="H175">
        <f>CEILING((dram_access_latency+F175/dram_bandwidth)*frequency,1)</f>
        <v>1908</v>
      </c>
      <c r="I175">
        <f>G175+H175</f>
        <v>1080945</v>
      </c>
      <c r="J175">
        <f>IF(AND(D175&lt;&gt;"dram",D175&lt;&gt;"control"),H175,0)</f>
        <v>0</v>
      </c>
      <c r="K175">
        <f>IF(D175="dram",H175,0)</f>
        <v>1908</v>
      </c>
      <c r="L175">
        <v>0</v>
      </c>
      <c r="M175">
        <v>122880</v>
      </c>
    </row>
    <row r="176" spans="1:13">
      <c r="A176">
        <v>174</v>
      </c>
      <c r="B176" t="s">
        <v>177</v>
      </c>
      <c r="C176" t="s">
        <v>78</v>
      </c>
      <c r="D176" t="s">
        <v>79</v>
      </c>
      <c r="E176" t="s">
        <v>183</v>
      </c>
      <c r="F176">
        <v>327680</v>
      </c>
      <c r="G176">
        <f>MAX(I173,I175)</f>
        <v>1080945</v>
      </c>
      <c r="H176">
        <f>CEILING((dram_access_latency+F176/dram_bandwidth)*frequency,1)</f>
        <v>4919</v>
      </c>
      <c r="I176">
        <f>G176+H176</f>
        <v>1085864</v>
      </c>
      <c r="J176">
        <f>IF(AND(D176&lt;&gt;"dram",D176&lt;&gt;"control"),H176,0)</f>
        <v>0</v>
      </c>
      <c r="K176">
        <f>IF(D176="dram",H176,0)</f>
        <v>4919</v>
      </c>
      <c r="L176">
        <v>327680</v>
      </c>
      <c r="M176">
        <v>0</v>
      </c>
    </row>
    <row r="177" spans="1:13">
      <c r="A177">
        <v>175</v>
      </c>
      <c r="B177" t="s">
        <v>178</v>
      </c>
      <c r="C177" t="s">
        <v>82</v>
      </c>
      <c r="D177" t="s">
        <v>83</v>
      </c>
      <c r="E177" t="s">
        <v>183</v>
      </c>
      <c r="F177">
        <v>0</v>
      </c>
      <c r="G177">
        <f>MAX(I173,I169)</f>
        <v>1077054</v>
      </c>
      <c r="H177">
        <f>0</f>
        <v>1845</v>
      </c>
      <c r="I177">
        <f>G177+H177</f>
        <v>1078899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181</v>
      </c>
      <c r="C178" t="s">
        <v>82</v>
      </c>
      <c r="D178" t="s">
        <v>83</v>
      </c>
      <c r="E178" t="s">
        <v>183</v>
      </c>
      <c r="F178">
        <v>0</v>
      </c>
      <c r="G178">
        <f>MAX(I177,I167)</f>
        <v>1078899</v>
      </c>
      <c r="H178">
        <f>0</f>
        <v>0</v>
      </c>
      <c r="I178">
        <f>G178+H178</f>
        <v>1078899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182</v>
      </c>
      <c r="C179" t="s">
        <v>82</v>
      </c>
      <c r="D179" t="s">
        <v>83</v>
      </c>
      <c r="E179" t="s">
        <v>183</v>
      </c>
      <c r="F179">
        <v>0</v>
      </c>
      <c r="G179">
        <f>MAX(I178,I168)</f>
        <v>1078899</v>
      </c>
      <c r="H179">
        <f>0</f>
        <v>0</v>
      </c>
      <c r="I179">
        <f>G179+H179</f>
        <v>1078899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34</v>
      </c>
      <c r="C180" t="s">
        <v>85</v>
      </c>
      <c r="D180" t="s">
        <v>17</v>
      </c>
      <c r="E180" t="s">
        <v>183</v>
      </c>
      <c r="F180">
        <v>0</v>
      </c>
      <c r="G180">
        <f>MAX(I179,I173)</f>
        <v>1078899</v>
      </c>
      <c r="H180">
        <f>'Operations'!I13</f>
        <v>5120</v>
      </c>
      <c r="I180">
        <f>G180+H180</f>
        <v>1084019</v>
      </c>
      <c r="J180">
        <f>IF(AND(D180&lt;&gt;"dram",D180&lt;&gt;"control"),H180,0)</f>
        <v>5120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179</v>
      </c>
      <c r="C181" t="s">
        <v>87</v>
      </c>
      <c r="D181" t="s">
        <v>79</v>
      </c>
      <c r="E181" t="s">
        <v>183</v>
      </c>
      <c r="F181">
        <v>2560</v>
      </c>
      <c r="G181">
        <f>MAX(I180,I176)</f>
        <v>1085864</v>
      </c>
      <c r="H181">
        <f>CEILING((dram_access_latency+F181/dram_bandwidth)*frequency,1)</f>
        <v>138</v>
      </c>
      <c r="I181">
        <f>G181+H181</f>
        <v>1086002</v>
      </c>
      <c r="J181">
        <f>IF(AND(D181&lt;&gt;"dram",D181&lt;&gt;"control"),H181,0)</f>
        <v>0</v>
      </c>
      <c r="K181">
        <f>IF(D181="dram",H181,0)</f>
        <v>138</v>
      </c>
      <c r="L181">
        <v>0</v>
      </c>
      <c r="M181">
        <v>2560</v>
      </c>
    </row>
    <row r="182" spans="1:13">
      <c r="A182">
        <v>180</v>
      </c>
      <c r="B182" t="s">
        <v>180</v>
      </c>
      <c r="C182" t="s">
        <v>87</v>
      </c>
      <c r="D182" t="s">
        <v>79</v>
      </c>
      <c r="E182" t="s">
        <v>183</v>
      </c>
      <c r="F182">
        <v>122880</v>
      </c>
      <c r="G182">
        <f>MAX(I180,I181)</f>
        <v>1086002</v>
      </c>
      <c r="H182">
        <f>CEILING((dram_access_latency+F182/dram_bandwidth)*frequency,1)</f>
        <v>1908</v>
      </c>
      <c r="I182">
        <f>G182+H182</f>
        <v>1087910</v>
      </c>
      <c r="J182">
        <f>IF(AND(D182&lt;&gt;"dram",D182&lt;&gt;"control"),H182,0)</f>
        <v>0</v>
      </c>
      <c r="K182">
        <f>IF(D182="dram",H182,0)</f>
        <v>1908</v>
      </c>
      <c r="L182">
        <v>0</v>
      </c>
      <c r="M182">
        <v>122880</v>
      </c>
    </row>
    <row r="183" spans="1:13">
      <c r="A183">
        <v>181</v>
      </c>
      <c r="B183" t="s">
        <v>177</v>
      </c>
      <c r="C183" t="s">
        <v>78</v>
      </c>
      <c r="D183" t="s">
        <v>79</v>
      </c>
      <c r="E183" t="s">
        <v>184</v>
      </c>
      <c r="F183">
        <v>327680</v>
      </c>
      <c r="G183">
        <f>MAX(I180,I182)</f>
        <v>1087910</v>
      </c>
      <c r="H183">
        <f>CEILING((dram_access_latency+F183/dram_bandwidth)*frequency,1)</f>
        <v>4919</v>
      </c>
      <c r="I183">
        <f>G183+H183</f>
        <v>1092829</v>
      </c>
      <c r="J183">
        <f>IF(AND(D183&lt;&gt;"dram",D183&lt;&gt;"control"),H183,0)</f>
        <v>0</v>
      </c>
      <c r="K183">
        <f>IF(D183="dram",H183,0)</f>
        <v>4919</v>
      </c>
      <c r="L183">
        <v>327680</v>
      </c>
      <c r="M183">
        <v>0</v>
      </c>
    </row>
    <row r="184" spans="1:13">
      <c r="A184">
        <v>182</v>
      </c>
      <c r="B184" t="s">
        <v>178</v>
      </c>
      <c r="C184" t="s">
        <v>82</v>
      </c>
      <c r="D184" t="s">
        <v>83</v>
      </c>
      <c r="E184" t="s">
        <v>184</v>
      </c>
      <c r="F184">
        <v>0</v>
      </c>
      <c r="G184">
        <f>MAX(I180,I176)</f>
        <v>1084019</v>
      </c>
      <c r="H184">
        <f>0</f>
        <v>1845</v>
      </c>
      <c r="I184">
        <f>G184+H184</f>
        <v>1085864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181</v>
      </c>
      <c r="C185" t="s">
        <v>82</v>
      </c>
      <c r="D185" t="s">
        <v>83</v>
      </c>
      <c r="E185" t="s">
        <v>184</v>
      </c>
      <c r="F185">
        <v>0</v>
      </c>
      <c r="G185">
        <f>MAX(I184,I174)</f>
        <v>1085864</v>
      </c>
      <c r="H185">
        <f>0</f>
        <v>0</v>
      </c>
      <c r="I185">
        <f>G185+H185</f>
        <v>1085864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182</v>
      </c>
      <c r="C186" t="s">
        <v>82</v>
      </c>
      <c r="D186" t="s">
        <v>83</v>
      </c>
      <c r="E186" t="s">
        <v>184</v>
      </c>
      <c r="F186">
        <v>0</v>
      </c>
      <c r="G186">
        <f>MAX(I185,I175)</f>
        <v>1085864</v>
      </c>
      <c r="H186">
        <f>0</f>
        <v>0</v>
      </c>
      <c r="I186">
        <f>G186+H186</f>
        <v>1085864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34</v>
      </c>
      <c r="C187" t="s">
        <v>85</v>
      </c>
      <c r="D187" t="s">
        <v>17</v>
      </c>
      <c r="E187" t="s">
        <v>184</v>
      </c>
      <c r="F187">
        <v>0</v>
      </c>
      <c r="G187">
        <f>MAX(I186,I180)</f>
        <v>1085864</v>
      </c>
      <c r="H187">
        <f>'Operations'!I13</f>
        <v>5120</v>
      </c>
      <c r="I187">
        <f>G187+H187</f>
        <v>1090984</v>
      </c>
      <c r="J187">
        <f>IF(AND(D187&lt;&gt;"dram",D187&lt;&gt;"control"),H187,0)</f>
        <v>5120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179</v>
      </c>
      <c r="C188" t="s">
        <v>87</v>
      </c>
      <c r="D188" t="s">
        <v>79</v>
      </c>
      <c r="E188" t="s">
        <v>184</v>
      </c>
      <c r="F188">
        <v>2560</v>
      </c>
      <c r="G188">
        <f>MAX(I187,I183)</f>
        <v>1092829</v>
      </c>
      <c r="H188">
        <f>CEILING((dram_access_latency+F188/dram_bandwidth)*frequency,1)</f>
        <v>138</v>
      </c>
      <c r="I188">
        <f>G188+H188</f>
        <v>1092967</v>
      </c>
      <c r="J188">
        <f>IF(AND(D188&lt;&gt;"dram",D188&lt;&gt;"control"),H188,0)</f>
        <v>0</v>
      </c>
      <c r="K188">
        <f>IF(D188="dram",H188,0)</f>
        <v>138</v>
      </c>
      <c r="L188">
        <v>0</v>
      </c>
      <c r="M188">
        <v>2560</v>
      </c>
    </row>
    <row r="189" spans="1:13">
      <c r="A189">
        <v>187</v>
      </c>
      <c r="B189" t="s">
        <v>180</v>
      </c>
      <c r="C189" t="s">
        <v>87</v>
      </c>
      <c r="D189" t="s">
        <v>79</v>
      </c>
      <c r="E189" t="s">
        <v>184</v>
      </c>
      <c r="F189">
        <v>122880</v>
      </c>
      <c r="G189">
        <f>MAX(I187,I188)</f>
        <v>1092967</v>
      </c>
      <c r="H189">
        <f>CEILING((dram_access_latency+F189/dram_bandwidth)*frequency,1)</f>
        <v>1908</v>
      </c>
      <c r="I189">
        <f>G189+H189</f>
        <v>1094875</v>
      </c>
      <c r="J189">
        <f>IF(AND(D189&lt;&gt;"dram",D189&lt;&gt;"control"),H189,0)</f>
        <v>0</v>
      </c>
      <c r="K189">
        <f>IF(D189="dram",H189,0)</f>
        <v>1908</v>
      </c>
      <c r="L189">
        <v>0</v>
      </c>
      <c r="M189">
        <v>122880</v>
      </c>
    </row>
    <row r="190" spans="1:13">
      <c r="A190">
        <v>188</v>
      </c>
      <c r="B190" t="s">
        <v>177</v>
      </c>
      <c r="C190" t="s">
        <v>78</v>
      </c>
      <c r="D190" t="s">
        <v>79</v>
      </c>
      <c r="E190" t="s">
        <v>185</v>
      </c>
      <c r="F190">
        <v>327680</v>
      </c>
      <c r="G190">
        <f>MAX(I187,I189)</f>
        <v>1094875</v>
      </c>
      <c r="H190">
        <f>CEILING((dram_access_latency+F190/dram_bandwidth)*frequency,1)</f>
        <v>4919</v>
      </c>
      <c r="I190">
        <f>G190+H190</f>
        <v>1099794</v>
      </c>
      <c r="J190">
        <f>IF(AND(D190&lt;&gt;"dram",D190&lt;&gt;"control"),H190,0)</f>
        <v>0</v>
      </c>
      <c r="K190">
        <f>IF(D190="dram",H190,0)</f>
        <v>4919</v>
      </c>
      <c r="L190">
        <v>327680</v>
      </c>
      <c r="M190">
        <v>0</v>
      </c>
    </row>
    <row r="191" spans="1:13">
      <c r="A191">
        <v>189</v>
      </c>
      <c r="B191" t="s">
        <v>178</v>
      </c>
      <c r="C191" t="s">
        <v>82</v>
      </c>
      <c r="D191" t="s">
        <v>83</v>
      </c>
      <c r="E191" t="s">
        <v>185</v>
      </c>
      <c r="F191">
        <v>0</v>
      </c>
      <c r="G191">
        <f>MAX(I187,I183)</f>
        <v>1090984</v>
      </c>
      <c r="H191">
        <f>0</f>
        <v>1845</v>
      </c>
      <c r="I191">
        <f>G191+H191</f>
        <v>1092829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181</v>
      </c>
      <c r="C192" t="s">
        <v>82</v>
      </c>
      <c r="D192" t="s">
        <v>83</v>
      </c>
      <c r="E192" t="s">
        <v>185</v>
      </c>
      <c r="F192">
        <v>0</v>
      </c>
      <c r="G192">
        <f>MAX(I191,I181)</f>
        <v>1092829</v>
      </c>
      <c r="H192">
        <f>0</f>
        <v>0</v>
      </c>
      <c r="I192">
        <f>G192+H192</f>
        <v>1092829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182</v>
      </c>
      <c r="C193" t="s">
        <v>82</v>
      </c>
      <c r="D193" t="s">
        <v>83</v>
      </c>
      <c r="E193" t="s">
        <v>185</v>
      </c>
      <c r="F193">
        <v>0</v>
      </c>
      <c r="G193">
        <f>MAX(I192,I182)</f>
        <v>1092829</v>
      </c>
      <c r="H193">
        <f>0</f>
        <v>0</v>
      </c>
      <c r="I193">
        <f>G193+H193</f>
        <v>1092829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34</v>
      </c>
      <c r="C194" t="s">
        <v>85</v>
      </c>
      <c r="D194" t="s">
        <v>17</v>
      </c>
      <c r="E194" t="s">
        <v>185</v>
      </c>
      <c r="F194">
        <v>0</v>
      </c>
      <c r="G194">
        <f>MAX(I193,I187)</f>
        <v>1092829</v>
      </c>
      <c r="H194">
        <f>'Operations'!I13</f>
        <v>5120</v>
      </c>
      <c r="I194">
        <f>G194+H194</f>
        <v>1097949</v>
      </c>
      <c r="J194">
        <f>IF(AND(D194&lt;&gt;"dram",D194&lt;&gt;"control"),H194,0)</f>
        <v>5120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179</v>
      </c>
      <c r="C195" t="s">
        <v>87</v>
      </c>
      <c r="D195" t="s">
        <v>79</v>
      </c>
      <c r="E195" t="s">
        <v>185</v>
      </c>
      <c r="F195">
        <v>2560</v>
      </c>
      <c r="G195">
        <f>MAX(I194,I190)</f>
        <v>1099794</v>
      </c>
      <c r="H195">
        <f>CEILING((dram_access_latency+F195/dram_bandwidth)*frequency,1)</f>
        <v>138</v>
      </c>
      <c r="I195">
        <f>G195+H195</f>
        <v>1099932</v>
      </c>
      <c r="J195">
        <f>IF(AND(D195&lt;&gt;"dram",D195&lt;&gt;"control"),H195,0)</f>
        <v>0</v>
      </c>
      <c r="K195">
        <f>IF(D195="dram",H195,0)</f>
        <v>138</v>
      </c>
      <c r="L195">
        <v>0</v>
      </c>
      <c r="M195">
        <v>2560</v>
      </c>
    </row>
    <row r="196" spans="1:13">
      <c r="A196">
        <v>194</v>
      </c>
      <c r="B196" t="s">
        <v>180</v>
      </c>
      <c r="C196" t="s">
        <v>87</v>
      </c>
      <c r="D196" t="s">
        <v>79</v>
      </c>
      <c r="E196" t="s">
        <v>185</v>
      </c>
      <c r="F196">
        <v>122880</v>
      </c>
      <c r="G196">
        <f>MAX(I194,I195)</f>
        <v>1099932</v>
      </c>
      <c r="H196">
        <f>CEILING((dram_access_latency+F196/dram_bandwidth)*frequency,1)</f>
        <v>1908</v>
      </c>
      <c r="I196">
        <f>G196+H196</f>
        <v>1101840</v>
      </c>
      <c r="J196">
        <f>IF(AND(D196&lt;&gt;"dram",D196&lt;&gt;"control"),H196,0)</f>
        <v>0</v>
      </c>
      <c r="K196">
        <f>IF(D196="dram",H196,0)</f>
        <v>1908</v>
      </c>
      <c r="L196">
        <v>0</v>
      </c>
      <c r="M196">
        <v>122880</v>
      </c>
    </row>
    <row r="197" spans="1:13">
      <c r="A197">
        <v>195</v>
      </c>
      <c r="B197" t="s">
        <v>177</v>
      </c>
      <c r="C197" t="s">
        <v>78</v>
      </c>
      <c r="D197" t="s">
        <v>79</v>
      </c>
      <c r="E197" t="s">
        <v>186</v>
      </c>
      <c r="F197">
        <v>327680</v>
      </c>
      <c r="G197">
        <f>MAX(I194,I196)</f>
        <v>1101840</v>
      </c>
      <c r="H197">
        <f>CEILING((dram_access_latency+F197/dram_bandwidth)*frequency,1)</f>
        <v>4919</v>
      </c>
      <c r="I197">
        <f>G197+H197</f>
        <v>1106759</v>
      </c>
      <c r="J197">
        <f>IF(AND(D197&lt;&gt;"dram",D197&lt;&gt;"control"),H197,0)</f>
        <v>0</v>
      </c>
      <c r="K197">
        <f>IF(D197="dram",H197,0)</f>
        <v>4919</v>
      </c>
      <c r="L197">
        <v>327680</v>
      </c>
      <c r="M197">
        <v>0</v>
      </c>
    </row>
    <row r="198" spans="1:13">
      <c r="A198">
        <v>196</v>
      </c>
      <c r="B198" t="s">
        <v>178</v>
      </c>
      <c r="C198" t="s">
        <v>82</v>
      </c>
      <c r="D198" t="s">
        <v>83</v>
      </c>
      <c r="E198" t="s">
        <v>186</v>
      </c>
      <c r="F198">
        <v>0</v>
      </c>
      <c r="G198">
        <f>MAX(I194,I190)</f>
        <v>1097949</v>
      </c>
      <c r="H198">
        <f>0</f>
        <v>1845</v>
      </c>
      <c r="I198">
        <f>G198+H198</f>
        <v>1099794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181</v>
      </c>
      <c r="C199" t="s">
        <v>82</v>
      </c>
      <c r="D199" t="s">
        <v>83</v>
      </c>
      <c r="E199" t="s">
        <v>186</v>
      </c>
      <c r="F199">
        <v>0</v>
      </c>
      <c r="G199">
        <f>MAX(I198,I188)</f>
        <v>1099794</v>
      </c>
      <c r="H199">
        <f>0</f>
        <v>0</v>
      </c>
      <c r="I199">
        <f>G199+H199</f>
        <v>1099794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182</v>
      </c>
      <c r="C200" t="s">
        <v>82</v>
      </c>
      <c r="D200" t="s">
        <v>83</v>
      </c>
      <c r="E200" t="s">
        <v>186</v>
      </c>
      <c r="F200">
        <v>0</v>
      </c>
      <c r="G200">
        <f>MAX(I199,I189)</f>
        <v>1099794</v>
      </c>
      <c r="H200">
        <f>0</f>
        <v>0</v>
      </c>
      <c r="I200">
        <f>G200+H200</f>
        <v>1099794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34</v>
      </c>
      <c r="C201" t="s">
        <v>85</v>
      </c>
      <c r="D201" t="s">
        <v>17</v>
      </c>
      <c r="E201" t="s">
        <v>186</v>
      </c>
      <c r="F201">
        <v>0</v>
      </c>
      <c r="G201">
        <f>MAX(I200,I194)</f>
        <v>1099794</v>
      </c>
      <c r="H201">
        <f>'Operations'!I13</f>
        <v>5120</v>
      </c>
      <c r="I201">
        <f>G201+H201</f>
        <v>1104914</v>
      </c>
      <c r="J201">
        <f>IF(AND(D201&lt;&gt;"dram",D201&lt;&gt;"control"),H201,0)</f>
        <v>5120</v>
      </c>
      <c r="K201">
        <f>IF(D201="dram",H201,0)</f>
        <v>0</v>
      </c>
      <c r="L201">
        <v>0</v>
      </c>
      <c r="M201">
        <v>0</v>
      </c>
    </row>
    <row r="202" spans="1:13">
      <c r="A202">
        <v>200</v>
      </c>
      <c r="B202" t="s">
        <v>179</v>
      </c>
      <c r="C202" t="s">
        <v>87</v>
      </c>
      <c r="D202" t="s">
        <v>79</v>
      </c>
      <c r="E202" t="s">
        <v>186</v>
      </c>
      <c r="F202">
        <v>2560</v>
      </c>
      <c r="G202">
        <f>MAX(I201,I197)</f>
        <v>1106759</v>
      </c>
      <c r="H202">
        <f>CEILING((dram_access_latency+F202/dram_bandwidth)*frequency,1)</f>
        <v>138</v>
      </c>
      <c r="I202">
        <f>G202+H202</f>
        <v>1106897</v>
      </c>
      <c r="J202">
        <f>IF(AND(D202&lt;&gt;"dram",D202&lt;&gt;"control"),H202,0)</f>
        <v>0</v>
      </c>
      <c r="K202">
        <f>IF(D202="dram",H202,0)</f>
        <v>138</v>
      </c>
      <c r="L202">
        <v>0</v>
      </c>
      <c r="M202">
        <v>2560</v>
      </c>
    </row>
    <row r="203" spans="1:13">
      <c r="A203">
        <v>201</v>
      </c>
      <c r="B203" t="s">
        <v>180</v>
      </c>
      <c r="C203" t="s">
        <v>87</v>
      </c>
      <c r="D203" t="s">
        <v>79</v>
      </c>
      <c r="E203" t="s">
        <v>186</v>
      </c>
      <c r="F203">
        <v>122880</v>
      </c>
      <c r="G203">
        <f>MAX(I201,I202)</f>
        <v>1106897</v>
      </c>
      <c r="H203">
        <f>CEILING((dram_access_latency+F203/dram_bandwidth)*frequency,1)</f>
        <v>1908</v>
      </c>
      <c r="I203">
        <f>G203+H203</f>
        <v>1108805</v>
      </c>
      <c r="J203">
        <f>IF(AND(D203&lt;&gt;"dram",D203&lt;&gt;"control"),H203,0)</f>
        <v>0</v>
      </c>
      <c r="K203">
        <f>IF(D203="dram",H203,0)</f>
        <v>1908</v>
      </c>
      <c r="L203">
        <v>0</v>
      </c>
      <c r="M203">
        <v>122880</v>
      </c>
    </row>
    <row r="204" spans="1:13">
      <c r="A204">
        <v>202</v>
      </c>
      <c r="B204" t="s">
        <v>177</v>
      </c>
      <c r="C204" t="s">
        <v>78</v>
      </c>
      <c r="D204" t="s">
        <v>79</v>
      </c>
      <c r="E204" t="s">
        <v>187</v>
      </c>
      <c r="F204">
        <v>327680</v>
      </c>
      <c r="G204">
        <f>MAX(I201,I203)</f>
        <v>1108805</v>
      </c>
      <c r="H204">
        <f>CEILING((dram_access_latency+F204/dram_bandwidth)*frequency,1)</f>
        <v>4919</v>
      </c>
      <c r="I204">
        <f>G204+H204</f>
        <v>1113724</v>
      </c>
      <c r="J204">
        <f>IF(AND(D204&lt;&gt;"dram",D204&lt;&gt;"control"),H204,0)</f>
        <v>0</v>
      </c>
      <c r="K204">
        <f>IF(D204="dram",H204,0)</f>
        <v>4919</v>
      </c>
      <c r="L204">
        <v>327680</v>
      </c>
      <c r="M204">
        <v>0</v>
      </c>
    </row>
    <row r="205" spans="1:13">
      <c r="A205">
        <v>203</v>
      </c>
      <c r="B205" t="s">
        <v>178</v>
      </c>
      <c r="C205" t="s">
        <v>82</v>
      </c>
      <c r="D205" t="s">
        <v>83</v>
      </c>
      <c r="E205" t="s">
        <v>187</v>
      </c>
      <c r="F205">
        <v>0</v>
      </c>
      <c r="G205">
        <f>MAX(I201,I197)</f>
        <v>1104914</v>
      </c>
      <c r="H205">
        <f>0</f>
        <v>1845</v>
      </c>
      <c r="I205">
        <f>G205+H205</f>
        <v>1106759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181</v>
      </c>
      <c r="C206" t="s">
        <v>82</v>
      </c>
      <c r="D206" t="s">
        <v>83</v>
      </c>
      <c r="E206" t="s">
        <v>187</v>
      </c>
      <c r="F206">
        <v>0</v>
      </c>
      <c r="G206">
        <f>MAX(I205,I195)</f>
        <v>1106759</v>
      </c>
      <c r="H206">
        <f>0</f>
        <v>0</v>
      </c>
      <c r="I206">
        <f>G206+H206</f>
        <v>1106759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182</v>
      </c>
      <c r="C207" t="s">
        <v>82</v>
      </c>
      <c r="D207" t="s">
        <v>83</v>
      </c>
      <c r="E207" t="s">
        <v>187</v>
      </c>
      <c r="F207">
        <v>0</v>
      </c>
      <c r="G207">
        <f>MAX(I206,I196)</f>
        <v>1106759</v>
      </c>
      <c r="H207">
        <f>0</f>
        <v>0</v>
      </c>
      <c r="I207">
        <f>G207+H207</f>
        <v>1106759</v>
      </c>
      <c r="J207">
        <f>IF(AND(D207&lt;&gt;"dram",D207&lt;&gt;"control"),H207,0)</f>
        <v>0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34</v>
      </c>
      <c r="C208" t="s">
        <v>85</v>
      </c>
      <c r="D208" t="s">
        <v>17</v>
      </c>
      <c r="E208" t="s">
        <v>187</v>
      </c>
      <c r="F208">
        <v>0</v>
      </c>
      <c r="G208">
        <f>MAX(I207,I201)</f>
        <v>1106759</v>
      </c>
      <c r="H208">
        <f>'Operations'!I13</f>
        <v>5120</v>
      </c>
      <c r="I208">
        <f>G208+H208</f>
        <v>1111879</v>
      </c>
      <c r="J208">
        <f>IF(AND(D208&lt;&gt;"dram",D208&lt;&gt;"control"),H208,0)</f>
        <v>5120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179</v>
      </c>
      <c r="C209" t="s">
        <v>87</v>
      </c>
      <c r="D209" t="s">
        <v>79</v>
      </c>
      <c r="E209" t="s">
        <v>187</v>
      </c>
      <c r="F209">
        <v>2560</v>
      </c>
      <c r="G209">
        <f>MAX(I208,I204)</f>
        <v>1113724</v>
      </c>
      <c r="H209">
        <f>CEILING((dram_access_latency+F209/dram_bandwidth)*frequency,1)</f>
        <v>138</v>
      </c>
      <c r="I209">
        <f>G209+H209</f>
        <v>1113862</v>
      </c>
      <c r="J209">
        <f>IF(AND(D209&lt;&gt;"dram",D209&lt;&gt;"control"),H209,0)</f>
        <v>0</v>
      </c>
      <c r="K209">
        <f>IF(D209="dram",H209,0)</f>
        <v>138</v>
      </c>
      <c r="L209">
        <v>0</v>
      </c>
      <c r="M209">
        <v>2560</v>
      </c>
    </row>
    <row r="210" spans="1:13">
      <c r="A210">
        <v>208</v>
      </c>
      <c r="B210" t="s">
        <v>180</v>
      </c>
      <c r="C210" t="s">
        <v>87</v>
      </c>
      <c r="D210" t="s">
        <v>79</v>
      </c>
      <c r="E210" t="s">
        <v>187</v>
      </c>
      <c r="F210">
        <v>122880</v>
      </c>
      <c r="G210">
        <f>MAX(I208,I209)</f>
        <v>1113862</v>
      </c>
      <c r="H210">
        <f>CEILING((dram_access_latency+F210/dram_bandwidth)*frequency,1)</f>
        <v>1908</v>
      </c>
      <c r="I210">
        <f>G210+H210</f>
        <v>1115770</v>
      </c>
      <c r="J210">
        <f>IF(AND(D210&lt;&gt;"dram",D210&lt;&gt;"control"),H210,0)</f>
        <v>0</v>
      </c>
      <c r="K210">
        <f>IF(D210="dram",H210,0)</f>
        <v>1908</v>
      </c>
      <c r="L210">
        <v>0</v>
      </c>
      <c r="M210">
        <v>122880</v>
      </c>
    </row>
    <row r="211" spans="1:13">
      <c r="A211">
        <v>209</v>
      </c>
      <c r="B211" t="s">
        <v>177</v>
      </c>
      <c r="C211" t="s">
        <v>78</v>
      </c>
      <c r="D211" t="s">
        <v>79</v>
      </c>
      <c r="E211" t="s">
        <v>188</v>
      </c>
      <c r="F211">
        <v>327680</v>
      </c>
      <c r="G211">
        <f>MAX(I208,I210)</f>
        <v>1115770</v>
      </c>
      <c r="H211">
        <f>CEILING((dram_access_latency+F211/dram_bandwidth)*frequency,1)</f>
        <v>4919</v>
      </c>
      <c r="I211">
        <f>G211+H211</f>
        <v>1120689</v>
      </c>
      <c r="J211">
        <f>IF(AND(D211&lt;&gt;"dram",D211&lt;&gt;"control"),H211,0)</f>
        <v>0</v>
      </c>
      <c r="K211">
        <f>IF(D211="dram",H211,0)</f>
        <v>4919</v>
      </c>
      <c r="L211">
        <v>327680</v>
      </c>
      <c r="M211">
        <v>0</v>
      </c>
    </row>
    <row r="212" spans="1:13">
      <c r="A212">
        <v>210</v>
      </c>
      <c r="B212" t="s">
        <v>178</v>
      </c>
      <c r="C212" t="s">
        <v>82</v>
      </c>
      <c r="D212" t="s">
        <v>83</v>
      </c>
      <c r="E212" t="s">
        <v>188</v>
      </c>
      <c r="F212">
        <v>0</v>
      </c>
      <c r="G212">
        <f>MAX(I208,I204)</f>
        <v>1111879</v>
      </c>
      <c r="H212">
        <f>0</f>
        <v>1845</v>
      </c>
      <c r="I212">
        <f>G212+H212</f>
        <v>1113724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181</v>
      </c>
      <c r="C213" t="s">
        <v>82</v>
      </c>
      <c r="D213" t="s">
        <v>83</v>
      </c>
      <c r="E213" t="s">
        <v>188</v>
      </c>
      <c r="F213">
        <v>0</v>
      </c>
      <c r="G213">
        <f>MAX(I212,I202)</f>
        <v>1113724</v>
      </c>
      <c r="H213">
        <f>0</f>
        <v>0</v>
      </c>
      <c r="I213">
        <f>G213+H213</f>
        <v>1113724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182</v>
      </c>
      <c r="C214" t="s">
        <v>82</v>
      </c>
      <c r="D214" t="s">
        <v>83</v>
      </c>
      <c r="E214" t="s">
        <v>188</v>
      </c>
      <c r="F214">
        <v>0</v>
      </c>
      <c r="G214">
        <f>MAX(I213,I203)</f>
        <v>1113724</v>
      </c>
      <c r="H214">
        <f>0</f>
        <v>0</v>
      </c>
      <c r="I214">
        <f>G214+H214</f>
        <v>1113724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34</v>
      </c>
      <c r="C215" t="s">
        <v>85</v>
      </c>
      <c r="D215" t="s">
        <v>17</v>
      </c>
      <c r="E215" t="s">
        <v>188</v>
      </c>
      <c r="F215">
        <v>0</v>
      </c>
      <c r="G215">
        <f>MAX(I214,I208)</f>
        <v>1113724</v>
      </c>
      <c r="H215">
        <f>'Operations'!I13</f>
        <v>5120</v>
      </c>
      <c r="I215">
        <f>G215+H215</f>
        <v>1118844</v>
      </c>
      <c r="J215">
        <f>IF(AND(D215&lt;&gt;"dram",D215&lt;&gt;"control"),H215,0)</f>
        <v>5120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179</v>
      </c>
      <c r="C216" t="s">
        <v>87</v>
      </c>
      <c r="D216" t="s">
        <v>79</v>
      </c>
      <c r="E216" t="s">
        <v>188</v>
      </c>
      <c r="F216">
        <v>2560</v>
      </c>
      <c r="G216">
        <f>MAX(I215,I211)</f>
        <v>1120689</v>
      </c>
      <c r="H216">
        <f>CEILING((dram_access_latency+F216/dram_bandwidth)*frequency,1)</f>
        <v>138</v>
      </c>
      <c r="I216">
        <f>G216+H216</f>
        <v>1120827</v>
      </c>
      <c r="J216">
        <f>IF(AND(D216&lt;&gt;"dram",D216&lt;&gt;"control"),H216,0)</f>
        <v>0</v>
      </c>
      <c r="K216">
        <f>IF(D216="dram",H216,0)</f>
        <v>138</v>
      </c>
      <c r="L216">
        <v>0</v>
      </c>
      <c r="M216">
        <v>2560</v>
      </c>
    </row>
    <row r="217" spans="1:13">
      <c r="A217">
        <v>215</v>
      </c>
      <c r="B217" t="s">
        <v>180</v>
      </c>
      <c r="C217" t="s">
        <v>87</v>
      </c>
      <c r="D217" t="s">
        <v>79</v>
      </c>
      <c r="E217" t="s">
        <v>188</v>
      </c>
      <c r="F217">
        <v>122880</v>
      </c>
      <c r="G217">
        <f>MAX(I215,I216)</f>
        <v>1120827</v>
      </c>
      <c r="H217">
        <f>CEILING((dram_access_latency+F217/dram_bandwidth)*frequency,1)</f>
        <v>1908</v>
      </c>
      <c r="I217">
        <f>G217+H217</f>
        <v>1122735</v>
      </c>
      <c r="J217">
        <f>IF(AND(D217&lt;&gt;"dram",D217&lt;&gt;"control"),H217,0)</f>
        <v>0</v>
      </c>
      <c r="K217">
        <f>IF(D217="dram",H217,0)</f>
        <v>1908</v>
      </c>
      <c r="L217">
        <v>0</v>
      </c>
      <c r="M217">
        <v>122880</v>
      </c>
    </row>
    <row r="218" spans="1:13">
      <c r="A218">
        <v>216</v>
      </c>
      <c r="B218" t="s">
        <v>177</v>
      </c>
      <c r="C218" t="s">
        <v>78</v>
      </c>
      <c r="D218" t="s">
        <v>79</v>
      </c>
      <c r="E218" t="s">
        <v>189</v>
      </c>
      <c r="F218">
        <v>327680</v>
      </c>
      <c r="G218">
        <f>MAX(I215,I217)</f>
        <v>1122735</v>
      </c>
      <c r="H218">
        <f>CEILING((dram_access_latency+F218/dram_bandwidth)*frequency,1)</f>
        <v>4919</v>
      </c>
      <c r="I218">
        <f>G218+H218</f>
        <v>1127654</v>
      </c>
      <c r="J218">
        <f>IF(AND(D218&lt;&gt;"dram",D218&lt;&gt;"control"),H218,0)</f>
        <v>0</v>
      </c>
      <c r="K218">
        <f>IF(D218="dram",H218,0)</f>
        <v>4919</v>
      </c>
      <c r="L218">
        <v>327680</v>
      </c>
      <c r="M218">
        <v>0</v>
      </c>
    </row>
    <row r="219" spans="1:13">
      <c r="A219">
        <v>217</v>
      </c>
      <c r="B219" t="s">
        <v>178</v>
      </c>
      <c r="C219" t="s">
        <v>82</v>
      </c>
      <c r="D219" t="s">
        <v>83</v>
      </c>
      <c r="E219" t="s">
        <v>189</v>
      </c>
      <c r="F219">
        <v>0</v>
      </c>
      <c r="G219">
        <f>MAX(I215,I211)</f>
        <v>1118844</v>
      </c>
      <c r="H219">
        <f>0</f>
        <v>1845</v>
      </c>
      <c r="I219">
        <f>G219+H219</f>
        <v>1120689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181</v>
      </c>
      <c r="C220" t="s">
        <v>82</v>
      </c>
      <c r="D220" t="s">
        <v>83</v>
      </c>
      <c r="E220" t="s">
        <v>189</v>
      </c>
      <c r="F220">
        <v>0</v>
      </c>
      <c r="G220">
        <f>MAX(I219,I209)</f>
        <v>1120689</v>
      </c>
      <c r="H220">
        <f>0</f>
        <v>0</v>
      </c>
      <c r="I220">
        <f>G220+H220</f>
        <v>1120689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182</v>
      </c>
      <c r="C221" t="s">
        <v>82</v>
      </c>
      <c r="D221" t="s">
        <v>83</v>
      </c>
      <c r="E221" t="s">
        <v>189</v>
      </c>
      <c r="F221">
        <v>0</v>
      </c>
      <c r="G221">
        <f>MAX(I220,I210)</f>
        <v>1120689</v>
      </c>
      <c r="H221">
        <f>0</f>
        <v>0</v>
      </c>
      <c r="I221">
        <f>G221+H221</f>
        <v>1120689</v>
      </c>
      <c r="J221">
        <f>IF(AND(D221&lt;&gt;"dram",D221&lt;&gt;"control"),H221,0)</f>
        <v>0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34</v>
      </c>
      <c r="C222" t="s">
        <v>85</v>
      </c>
      <c r="D222" t="s">
        <v>17</v>
      </c>
      <c r="E222" t="s">
        <v>189</v>
      </c>
      <c r="F222">
        <v>0</v>
      </c>
      <c r="G222">
        <f>MAX(I221,I215)</f>
        <v>1120689</v>
      </c>
      <c r="H222">
        <f>'Operations'!I13</f>
        <v>5120</v>
      </c>
      <c r="I222">
        <f>G222+H222</f>
        <v>1125809</v>
      </c>
      <c r="J222">
        <f>IF(AND(D222&lt;&gt;"dram",D222&lt;&gt;"control"),H222,0)</f>
        <v>5120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179</v>
      </c>
      <c r="C223" t="s">
        <v>87</v>
      </c>
      <c r="D223" t="s">
        <v>79</v>
      </c>
      <c r="E223" t="s">
        <v>189</v>
      </c>
      <c r="F223">
        <v>2560</v>
      </c>
      <c r="G223">
        <f>MAX(I222,I218)</f>
        <v>1127654</v>
      </c>
      <c r="H223">
        <f>CEILING((dram_access_latency+F223/dram_bandwidth)*frequency,1)</f>
        <v>138</v>
      </c>
      <c r="I223">
        <f>G223+H223</f>
        <v>1127792</v>
      </c>
      <c r="J223">
        <f>IF(AND(D223&lt;&gt;"dram",D223&lt;&gt;"control"),H223,0)</f>
        <v>0</v>
      </c>
      <c r="K223">
        <f>IF(D223="dram",H223,0)</f>
        <v>138</v>
      </c>
      <c r="L223">
        <v>0</v>
      </c>
      <c r="M223">
        <v>2560</v>
      </c>
    </row>
    <row r="224" spans="1:13">
      <c r="A224">
        <v>222</v>
      </c>
      <c r="B224" t="s">
        <v>180</v>
      </c>
      <c r="C224" t="s">
        <v>87</v>
      </c>
      <c r="D224" t="s">
        <v>79</v>
      </c>
      <c r="E224" t="s">
        <v>189</v>
      </c>
      <c r="F224">
        <v>122880</v>
      </c>
      <c r="G224">
        <f>MAX(I222,I223)</f>
        <v>1127792</v>
      </c>
      <c r="H224">
        <f>CEILING((dram_access_latency+F224/dram_bandwidth)*frequency,1)</f>
        <v>1908</v>
      </c>
      <c r="I224">
        <f>G224+H224</f>
        <v>1129700</v>
      </c>
      <c r="J224">
        <f>IF(AND(D224&lt;&gt;"dram",D224&lt;&gt;"control"),H224,0)</f>
        <v>0</v>
      </c>
      <c r="K224">
        <f>IF(D224="dram",H224,0)</f>
        <v>1908</v>
      </c>
      <c r="L224">
        <v>0</v>
      </c>
      <c r="M224">
        <v>122880</v>
      </c>
    </row>
    <row r="225" spans="1:13">
      <c r="A225">
        <v>223</v>
      </c>
      <c r="B225" t="s">
        <v>177</v>
      </c>
      <c r="C225" t="s">
        <v>78</v>
      </c>
      <c r="D225" t="s">
        <v>79</v>
      </c>
      <c r="E225" t="s">
        <v>190</v>
      </c>
      <c r="F225">
        <v>327680</v>
      </c>
      <c r="G225">
        <f>MAX(I222,I224)</f>
        <v>1129700</v>
      </c>
      <c r="H225">
        <f>CEILING((dram_access_latency+F225/dram_bandwidth)*frequency,1)</f>
        <v>4919</v>
      </c>
      <c r="I225">
        <f>G225+H225</f>
        <v>1134619</v>
      </c>
      <c r="J225">
        <f>IF(AND(D225&lt;&gt;"dram",D225&lt;&gt;"control"),H225,0)</f>
        <v>0</v>
      </c>
      <c r="K225">
        <f>IF(D225="dram",H225,0)</f>
        <v>4919</v>
      </c>
      <c r="L225">
        <v>327680</v>
      </c>
      <c r="M225">
        <v>0</v>
      </c>
    </row>
    <row r="226" spans="1:13">
      <c r="A226">
        <v>224</v>
      </c>
      <c r="B226" t="s">
        <v>178</v>
      </c>
      <c r="C226" t="s">
        <v>82</v>
      </c>
      <c r="D226" t="s">
        <v>83</v>
      </c>
      <c r="E226" t="s">
        <v>190</v>
      </c>
      <c r="F226">
        <v>0</v>
      </c>
      <c r="G226">
        <f>MAX(I222,I218)</f>
        <v>1125809</v>
      </c>
      <c r="H226">
        <f>0</f>
        <v>1845</v>
      </c>
      <c r="I226">
        <f>G226+H226</f>
        <v>1127654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181</v>
      </c>
      <c r="C227" t="s">
        <v>82</v>
      </c>
      <c r="D227" t="s">
        <v>83</v>
      </c>
      <c r="E227" t="s">
        <v>190</v>
      </c>
      <c r="F227">
        <v>0</v>
      </c>
      <c r="G227">
        <f>MAX(I226,I216)</f>
        <v>1127654</v>
      </c>
      <c r="H227">
        <f>0</f>
        <v>0</v>
      </c>
      <c r="I227">
        <f>G227+H227</f>
        <v>1127654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182</v>
      </c>
      <c r="C228" t="s">
        <v>82</v>
      </c>
      <c r="D228" t="s">
        <v>83</v>
      </c>
      <c r="E228" t="s">
        <v>190</v>
      </c>
      <c r="F228">
        <v>0</v>
      </c>
      <c r="G228">
        <f>MAX(I227,I217)</f>
        <v>1127654</v>
      </c>
      <c r="H228">
        <f>0</f>
        <v>0</v>
      </c>
      <c r="I228">
        <f>G228+H228</f>
        <v>1127654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34</v>
      </c>
      <c r="C229" t="s">
        <v>85</v>
      </c>
      <c r="D229" t="s">
        <v>17</v>
      </c>
      <c r="E229" t="s">
        <v>190</v>
      </c>
      <c r="F229">
        <v>0</v>
      </c>
      <c r="G229">
        <f>MAX(I228,I222)</f>
        <v>1127654</v>
      </c>
      <c r="H229">
        <f>'Operations'!I13</f>
        <v>5120</v>
      </c>
      <c r="I229">
        <f>G229+H229</f>
        <v>1132774</v>
      </c>
      <c r="J229">
        <f>IF(AND(D229&lt;&gt;"dram",D229&lt;&gt;"control"),H229,0)</f>
        <v>5120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179</v>
      </c>
      <c r="C230" t="s">
        <v>87</v>
      </c>
      <c r="D230" t="s">
        <v>79</v>
      </c>
      <c r="E230" t="s">
        <v>190</v>
      </c>
      <c r="F230">
        <v>2560</v>
      </c>
      <c r="G230">
        <f>MAX(I229,I225)</f>
        <v>1134619</v>
      </c>
      <c r="H230">
        <f>CEILING((dram_access_latency+F230/dram_bandwidth)*frequency,1)</f>
        <v>138</v>
      </c>
      <c r="I230">
        <f>G230+H230</f>
        <v>1134757</v>
      </c>
      <c r="J230">
        <f>IF(AND(D230&lt;&gt;"dram",D230&lt;&gt;"control"),H230,0)</f>
        <v>0</v>
      </c>
      <c r="K230">
        <f>IF(D230="dram",H230,0)</f>
        <v>138</v>
      </c>
      <c r="L230">
        <v>0</v>
      </c>
      <c r="M230">
        <v>2560</v>
      </c>
    </row>
    <row r="231" spans="1:13">
      <c r="A231">
        <v>229</v>
      </c>
      <c r="B231" t="s">
        <v>180</v>
      </c>
      <c r="C231" t="s">
        <v>87</v>
      </c>
      <c r="D231" t="s">
        <v>79</v>
      </c>
      <c r="E231" t="s">
        <v>190</v>
      </c>
      <c r="F231">
        <v>122880</v>
      </c>
      <c r="G231">
        <f>MAX(I229,I230)</f>
        <v>1134757</v>
      </c>
      <c r="H231">
        <f>CEILING((dram_access_latency+F231/dram_bandwidth)*frequency,1)</f>
        <v>1908</v>
      </c>
      <c r="I231">
        <f>G231+H231</f>
        <v>1136665</v>
      </c>
      <c r="J231">
        <f>IF(AND(D231&lt;&gt;"dram",D231&lt;&gt;"control"),H231,0)</f>
        <v>0</v>
      </c>
      <c r="K231">
        <f>IF(D231="dram",H231,0)</f>
        <v>1908</v>
      </c>
      <c r="L231">
        <v>0</v>
      </c>
      <c r="M231">
        <v>122880</v>
      </c>
    </row>
    <row r="232" spans="1:13">
      <c r="A232">
        <v>230</v>
      </c>
      <c r="B232" t="s">
        <v>177</v>
      </c>
      <c r="C232" t="s">
        <v>78</v>
      </c>
      <c r="D232" t="s">
        <v>79</v>
      </c>
      <c r="E232" t="s">
        <v>191</v>
      </c>
      <c r="F232">
        <v>327680</v>
      </c>
      <c r="G232">
        <f>MAX(I229,I231)</f>
        <v>1136665</v>
      </c>
      <c r="H232">
        <f>CEILING((dram_access_latency+F232/dram_bandwidth)*frequency,1)</f>
        <v>4919</v>
      </c>
      <c r="I232">
        <f>G232+H232</f>
        <v>1141584</v>
      </c>
      <c r="J232">
        <f>IF(AND(D232&lt;&gt;"dram",D232&lt;&gt;"control"),H232,0)</f>
        <v>0</v>
      </c>
      <c r="K232">
        <f>IF(D232="dram",H232,0)</f>
        <v>4919</v>
      </c>
      <c r="L232">
        <v>327680</v>
      </c>
      <c r="M232">
        <v>0</v>
      </c>
    </row>
    <row r="233" spans="1:13">
      <c r="A233">
        <v>231</v>
      </c>
      <c r="B233" t="s">
        <v>178</v>
      </c>
      <c r="C233" t="s">
        <v>82</v>
      </c>
      <c r="D233" t="s">
        <v>83</v>
      </c>
      <c r="E233" t="s">
        <v>191</v>
      </c>
      <c r="F233">
        <v>0</v>
      </c>
      <c r="G233">
        <f>MAX(I229,I225)</f>
        <v>1132774</v>
      </c>
      <c r="H233">
        <f>0</f>
        <v>1845</v>
      </c>
      <c r="I233">
        <f>G233+H233</f>
        <v>1134619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181</v>
      </c>
      <c r="C234" t="s">
        <v>82</v>
      </c>
      <c r="D234" t="s">
        <v>83</v>
      </c>
      <c r="E234" t="s">
        <v>191</v>
      </c>
      <c r="F234">
        <v>0</v>
      </c>
      <c r="G234">
        <f>MAX(I233,I223)</f>
        <v>1134619</v>
      </c>
      <c r="H234">
        <f>0</f>
        <v>0</v>
      </c>
      <c r="I234">
        <f>G234+H234</f>
        <v>1134619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182</v>
      </c>
      <c r="C235" t="s">
        <v>82</v>
      </c>
      <c r="D235" t="s">
        <v>83</v>
      </c>
      <c r="E235" t="s">
        <v>191</v>
      </c>
      <c r="F235">
        <v>0</v>
      </c>
      <c r="G235">
        <f>MAX(I234,I224)</f>
        <v>1134619</v>
      </c>
      <c r="H235">
        <f>0</f>
        <v>0</v>
      </c>
      <c r="I235">
        <f>G235+H235</f>
        <v>1134619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34</v>
      </c>
      <c r="C236" t="s">
        <v>85</v>
      </c>
      <c r="D236" t="s">
        <v>17</v>
      </c>
      <c r="E236" t="s">
        <v>191</v>
      </c>
      <c r="F236">
        <v>0</v>
      </c>
      <c r="G236">
        <f>MAX(I235,I229)</f>
        <v>1134619</v>
      </c>
      <c r="H236">
        <f>'Operations'!I13</f>
        <v>5120</v>
      </c>
      <c r="I236">
        <f>G236+H236</f>
        <v>1139739</v>
      </c>
      <c r="J236">
        <f>IF(AND(D236&lt;&gt;"dram",D236&lt;&gt;"control"),H236,0)</f>
        <v>5120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179</v>
      </c>
      <c r="C237" t="s">
        <v>87</v>
      </c>
      <c r="D237" t="s">
        <v>79</v>
      </c>
      <c r="E237" t="s">
        <v>191</v>
      </c>
      <c r="F237">
        <v>2560</v>
      </c>
      <c r="G237">
        <f>MAX(I236,I232)</f>
        <v>1141584</v>
      </c>
      <c r="H237">
        <f>CEILING((dram_access_latency+F237/dram_bandwidth)*frequency,1)</f>
        <v>138</v>
      </c>
      <c r="I237">
        <f>G237+H237</f>
        <v>1141722</v>
      </c>
      <c r="J237">
        <f>IF(AND(D237&lt;&gt;"dram",D237&lt;&gt;"control"),H237,0)</f>
        <v>0</v>
      </c>
      <c r="K237">
        <f>IF(D237="dram",H237,0)</f>
        <v>138</v>
      </c>
      <c r="L237">
        <v>0</v>
      </c>
      <c r="M237">
        <v>2560</v>
      </c>
    </row>
    <row r="238" spans="1:13">
      <c r="A238">
        <v>236</v>
      </c>
      <c r="B238" t="s">
        <v>180</v>
      </c>
      <c r="C238" t="s">
        <v>87</v>
      </c>
      <c r="D238" t="s">
        <v>79</v>
      </c>
      <c r="E238" t="s">
        <v>191</v>
      </c>
      <c r="F238">
        <v>122880</v>
      </c>
      <c r="G238">
        <f>MAX(I236,I237)</f>
        <v>1141722</v>
      </c>
      <c r="H238">
        <f>CEILING((dram_access_latency+F238/dram_bandwidth)*frequency,1)</f>
        <v>1908</v>
      </c>
      <c r="I238">
        <f>G238+H238</f>
        <v>1143630</v>
      </c>
      <c r="J238">
        <f>IF(AND(D238&lt;&gt;"dram",D238&lt;&gt;"control"),H238,0)</f>
        <v>0</v>
      </c>
      <c r="K238">
        <f>IF(D238="dram",H238,0)</f>
        <v>1908</v>
      </c>
      <c r="L238">
        <v>0</v>
      </c>
      <c r="M238">
        <v>122880</v>
      </c>
    </row>
    <row r="239" spans="1:13">
      <c r="A239">
        <v>237</v>
      </c>
      <c r="B239" t="s">
        <v>177</v>
      </c>
      <c r="C239" t="s">
        <v>78</v>
      </c>
      <c r="D239" t="s">
        <v>79</v>
      </c>
      <c r="E239" t="s">
        <v>192</v>
      </c>
      <c r="F239">
        <v>327680</v>
      </c>
      <c r="G239">
        <f>MAX(I236,I238)</f>
        <v>1143630</v>
      </c>
      <c r="H239">
        <f>CEILING((dram_access_latency+F239/dram_bandwidth)*frequency,1)</f>
        <v>4919</v>
      </c>
      <c r="I239">
        <f>G239+H239</f>
        <v>1148549</v>
      </c>
      <c r="J239">
        <f>IF(AND(D239&lt;&gt;"dram",D239&lt;&gt;"control"),H239,0)</f>
        <v>0</v>
      </c>
      <c r="K239">
        <f>IF(D239="dram",H239,0)</f>
        <v>4919</v>
      </c>
      <c r="L239">
        <v>327680</v>
      </c>
      <c r="M239">
        <v>0</v>
      </c>
    </row>
    <row r="240" spans="1:13">
      <c r="A240">
        <v>238</v>
      </c>
      <c r="B240" t="s">
        <v>178</v>
      </c>
      <c r="C240" t="s">
        <v>82</v>
      </c>
      <c r="D240" t="s">
        <v>83</v>
      </c>
      <c r="E240" t="s">
        <v>192</v>
      </c>
      <c r="F240">
        <v>0</v>
      </c>
      <c r="G240">
        <f>MAX(I236,I232)</f>
        <v>1139739</v>
      </c>
      <c r="H240">
        <f>0</f>
        <v>1845</v>
      </c>
      <c r="I240">
        <f>G240+H240</f>
        <v>1141584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181</v>
      </c>
      <c r="C241" t="s">
        <v>82</v>
      </c>
      <c r="D241" t="s">
        <v>83</v>
      </c>
      <c r="E241" t="s">
        <v>192</v>
      </c>
      <c r="F241">
        <v>0</v>
      </c>
      <c r="G241">
        <f>MAX(I240,I230)</f>
        <v>1141584</v>
      </c>
      <c r="H241">
        <f>0</f>
        <v>0</v>
      </c>
      <c r="I241">
        <f>G241+H241</f>
        <v>1141584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182</v>
      </c>
      <c r="C242" t="s">
        <v>82</v>
      </c>
      <c r="D242" t="s">
        <v>83</v>
      </c>
      <c r="E242" t="s">
        <v>192</v>
      </c>
      <c r="F242">
        <v>0</v>
      </c>
      <c r="G242">
        <f>MAX(I241,I231)</f>
        <v>1141584</v>
      </c>
      <c r="H242">
        <f>0</f>
        <v>0</v>
      </c>
      <c r="I242">
        <f>G242+H242</f>
        <v>1141584</v>
      </c>
      <c r="J242">
        <f>IF(AND(D242&lt;&gt;"dram",D242&lt;&gt;"control"),H242,0)</f>
        <v>0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34</v>
      </c>
      <c r="C243" t="s">
        <v>85</v>
      </c>
      <c r="D243" t="s">
        <v>17</v>
      </c>
      <c r="E243" t="s">
        <v>192</v>
      </c>
      <c r="F243">
        <v>0</v>
      </c>
      <c r="G243">
        <f>MAX(I242,I236)</f>
        <v>1141584</v>
      </c>
      <c r="H243">
        <f>'Operations'!I13</f>
        <v>5120</v>
      </c>
      <c r="I243">
        <f>G243+H243</f>
        <v>1146704</v>
      </c>
      <c r="J243">
        <f>IF(AND(D243&lt;&gt;"dram",D243&lt;&gt;"control"),H243,0)</f>
        <v>5120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179</v>
      </c>
      <c r="C244" t="s">
        <v>87</v>
      </c>
      <c r="D244" t="s">
        <v>79</v>
      </c>
      <c r="E244" t="s">
        <v>192</v>
      </c>
      <c r="F244">
        <v>2560</v>
      </c>
      <c r="G244">
        <f>MAX(I243,I239)</f>
        <v>1148549</v>
      </c>
      <c r="H244">
        <f>CEILING((dram_access_latency+F244/dram_bandwidth)*frequency,1)</f>
        <v>138</v>
      </c>
      <c r="I244">
        <f>G244+H244</f>
        <v>1148687</v>
      </c>
      <c r="J244">
        <f>IF(AND(D244&lt;&gt;"dram",D244&lt;&gt;"control"),H244,0)</f>
        <v>0</v>
      </c>
      <c r="K244">
        <f>IF(D244="dram",H244,0)</f>
        <v>138</v>
      </c>
      <c r="L244">
        <v>0</v>
      </c>
      <c r="M244">
        <v>2560</v>
      </c>
    </row>
    <row r="245" spans="1:13">
      <c r="A245">
        <v>243</v>
      </c>
      <c r="B245" t="s">
        <v>180</v>
      </c>
      <c r="C245" t="s">
        <v>87</v>
      </c>
      <c r="D245" t="s">
        <v>79</v>
      </c>
      <c r="E245" t="s">
        <v>192</v>
      </c>
      <c r="F245">
        <v>122880</v>
      </c>
      <c r="G245">
        <f>MAX(I243,I244)</f>
        <v>1148687</v>
      </c>
      <c r="H245">
        <f>CEILING((dram_access_latency+F245/dram_bandwidth)*frequency,1)</f>
        <v>1908</v>
      </c>
      <c r="I245">
        <f>G245+H245</f>
        <v>1150595</v>
      </c>
      <c r="J245">
        <f>IF(AND(D245&lt;&gt;"dram",D245&lt;&gt;"control"),H245,0)</f>
        <v>0</v>
      </c>
      <c r="K245">
        <f>IF(D245="dram",H245,0)</f>
        <v>1908</v>
      </c>
      <c r="L245">
        <v>0</v>
      </c>
      <c r="M245">
        <v>122880</v>
      </c>
    </row>
    <row r="246" spans="1:13">
      <c r="A246">
        <v>244</v>
      </c>
      <c r="B246" t="s">
        <v>177</v>
      </c>
      <c r="C246" t="s">
        <v>78</v>
      </c>
      <c r="D246" t="s">
        <v>79</v>
      </c>
      <c r="E246" t="s">
        <v>193</v>
      </c>
      <c r="F246">
        <v>327680</v>
      </c>
      <c r="G246">
        <f>MAX(I243,I245)</f>
        <v>1150595</v>
      </c>
      <c r="H246">
        <f>CEILING((dram_access_latency+F246/dram_bandwidth)*frequency,1)</f>
        <v>4919</v>
      </c>
      <c r="I246">
        <f>G246+H246</f>
        <v>1155514</v>
      </c>
      <c r="J246">
        <f>IF(AND(D246&lt;&gt;"dram",D246&lt;&gt;"control"),H246,0)</f>
        <v>0</v>
      </c>
      <c r="K246">
        <f>IF(D246="dram",H246,0)</f>
        <v>4919</v>
      </c>
      <c r="L246">
        <v>327680</v>
      </c>
      <c r="M246">
        <v>0</v>
      </c>
    </row>
    <row r="247" spans="1:13">
      <c r="A247">
        <v>245</v>
      </c>
      <c r="B247" t="s">
        <v>178</v>
      </c>
      <c r="C247" t="s">
        <v>82</v>
      </c>
      <c r="D247" t="s">
        <v>83</v>
      </c>
      <c r="E247" t="s">
        <v>193</v>
      </c>
      <c r="F247">
        <v>0</v>
      </c>
      <c r="G247">
        <f>MAX(I243,I239)</f>
        <v>1146704</v>
      </c>
      <c r="H247">
        <f>0</f>
        <v>1845</v>
      </c>
      <c r="I247">
        <f>G247+H247</f>
        <v>1148549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181</v>
      </c>
      <c r="C248" t="s">
        <v>82</v>
      </c>
      <c r="D248" t="s">
        <v>83</v>
      </c>
      <c r="E248" t="s">
        <v>193</v>
      </c>
      <c r="F248">
        <v>0</v>
      </c>
      <c r="G248">
        <f>MAX(I247,I237)</f>
        <v>1148549</v>
      </c>
      <c r="H248">
        <f>0</f>
        <v>0</v>
      </c>
      <c r="I248">
        <f>G248+H248</f>
        <v>1148549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182</v>
      </c>
      <c r="C249" t="s">
        <v>82</v>
      </c>
      <c r="D249" t="s">
        <v>83</v>
      </c>
      <c r="E249" t="s">
        <v>193</v>
      </c>
      <c r="F249">
        <v>0</v>
      </c>
      <c r="G249">
        <f>MAX(I248,I238)</f>
        <v>1148549</v>
      </c>
      <c r="H249">
        <f>0</f>
        <v>0</v>
      </c>
      <c r="I249">
        <f>G249+H249</f>
        <v>1148549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34</v>
      </c>
      <c r="C250" t="s">
        <v>85</v>
      </c>
      <c r="D250" t="s">
        <v>17</v>
      </c>
      <c r="E250" t="s">
        <v>193</v>
      </c>
      <c r="F250">
        <v>0</v>
      </c>
      <c r="G250">
        <f>MAX(I249,I243)</f>
        <v>1148549</v>
      </c>
      <c r="H250">
        <f>'Operations'!I13</f>
        <v>5120</v>
      </c>
      <c r="I250">
        <f>G250+H250</f>
        <v>1153669</v>
      </c>
      <c r="J250">
        <f>IF(AND(D250&lt;&gt;"dram",D250&lt;&gt;"control"),H250,0)</f>
        <v>5120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179</v>
      </c>
      <c r="C251" t="s">
        <v>87</v>
      </c>
      <c r="D251" t="s">
        <v>79</v>
      </c>
      <c r="E251" t="s">
        <v>193</v>
      </c>
      <c r="F251">
        <v>2560</v>
      </c>
      <c r="G251">
        <f>MAX(I250,I246)</f>
        <v>1155514</v>
      </c>
      <c r="H251">
        <f>CEILING((dram_access_latency+F251/dram_bandwidth)*frequency,1)</f>
        <v>138</v>
      </c>
      <c r="I251">
        <f>G251+H251</f>
        <v>1155652</v>
      </c>
      <c r="J251">
        <f>IF(AND(D251&lt;&gt;"dram",D251&lt;&gt;"control"),H251,0)</f>
        <v>0</v>
      </c>
      <c r="K251">
        <f>IF(D251="dram",H251,0)</f>
        <v>138</v>
      </c>
      <c r="L251">
        <v>0</v>
      </c>
      <c r="M251">
        <v>2560</v>
      </c>
    </row>
    <row r="252" spans="1:13">
      <c r="A252">
        <v>250</v>
      </c>
      <c r="B252" t="s">
        <v>180</v>
      </c>
      <c r="C252" t="s">
        <v>87</v>
      </c>
      <c r="D252" t="s">
        <v>79</v>
      </c>
      <c r="E252" t="s">
        <v>193</v>
      </c>
      <c r="F252">
        <v>122880</v>
      </c>
      <c r="G252">
        <f>MAX(I250,I251)</f>
        <v>1155652</v>
      </c>
      <c r="H252">
        <f>CEILING((dram_access_latency+F252/dram_bandwidth)*frequency,1)</f>
        <v>1908</v>
      </c>
      <c r="I252">
        <f>G252+H252</f>
        <v>1157560</v>
      </c>
      <c r="J252">
        <f>IF(AND(D252&lt;&gt;"dram",D252&lt;&gt;"control"),H252,0)</f>
        <v>0</v>
      </c>
      <c r="K252">
        <f>IF(D252="dram",H252,0)</f>
        <v>1908</v>
      </c>
      <c r="L252">
        <v>0</v>
      </c>
      <c r="M252">
        <v>122880</v>
      </c>
    </row>
    <row r="253" spans="1:13">
      <c r="A253">
        <v>251</v>
      </c>
      <c r="B253" t="s">
        <v>178</v>
      </c>
      <c r="C253" t="s">
        <v>82</v>
      </c>
      <c r="D253" t="s">
        <v>83</v>
      </c>
      <c r="E253" t="s">
        <v>194</v>
      </c>
      <c r="F253">
        <v>0</v>
      </c>
      <c r="G253">
        <f>MAX(I250,I246)</f>
        <v>1153669</v>
      </c>
      <c r="H253">
        <f>0</f>
        <v>1845</v>
      </c>
      <c r="I253">
        <f>G253+H253</f>
        <v>1155514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181</v>
      </c>
      <c r="C254" t="s">
        <v>82</v>
      </c>
      <c r="D254" t="s">
        <v>83</v>
      </c>
      <c r="E254" t="s">
        <v>194</v>
      </c>
      <c r="F254">
        <v>0</v>
      </c>
      <c r="G254">
        <f>MAX(I253,I244)</f>
        <v>1155514</v>
      </c>
      <c r="H254">
        <f>0</f>
        <v>0</v>
      </c>
      <c r="I254">
        <f>G254+H254</f>
        <v>1155514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182</v>
      </c>
      <c r="C255" t="s">
        <v>82</v>
      </c>
      <c r="D255" t="s">
        <v>83</v>
      </c>
      <c r="E255" t="s">
        <v>194</v>
      </c>
      <c r="F255">
        <v>0</v>
      </c>
      <c r="G255">
        <f>MAX(I254,I245)</f>
        <v>1155514</v>
      </c>
      <c r="H255">
        <f>0</f>
        <v>0</v>
      </c>
      <c r="I255">
        <f>G255+H255</f>
        <v>1155514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34</v>
      </c>
      <c r="C256" t="s">
        <v>85</v>
      </c>
      <c r="D256" t="s">
        <v>17</v>
      </c>
      <c r="E256" t="s">
        <v>194</v>
      </c>
      <c r="F256">
        <v>0</v>
      </c>
      <c r="G256">
        <f>MAX(I255,I250)</f>
        <v>1155514</v>
      </c>
      <c r="H256">
        <f>'Operations'!I13</f>
        <v>5120</v>
      </c>
      <c r="I256">
        <f>G256+H256</f>
        <v>1160634</v>
      </c>
      <c r="J256">
        <f>IF(AND(D256&lt;&gt;"dram",D256&lt;&gt;"control"),H256,0)</f>
        <v>5120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179</v>
      </c>
      <c r="C257" t="s">
        <v>87</v>
      </c>
      <c r="D257" t="s">
        <v>79</v>
      </c>
      <c r="E257" t="s">
        <v>194</v>
      </c>
      <c r="F257">
        <v>2560</v>
      </c>
      <c r="G257">
        <f>MAX(I256,I252)</f>
        <v>1160634</v>
      </c>
      <c r="H257">
        <f>CEILING((dram_access_latency+F257/dram_bandwidth)*frequency,1)</f>
        <v>138</v>
      </c>
      <c r="I257">
        <f>G257+H257</f>
        <v>1160772</v>
      </c>
      <c r="J257">
        <f>IF(AND(D257&lt;&gt;"dram",D257&lt;&gt;"control"),H257,0)</f>
        <v>0</v>
      </c>
      <c r="K257">
        <f>IF(D257="dram",H257,0)</f>
        <v>138</v>
      </c>
      <c r="L257">
        <v>0</v>
      </c>
      <c r="M257">
        <v>2560</v>
      </c>
    </row>
    <row r="258" spans="1:13">
      <c r="A258">
        <v>256</v>
      </c>
      <c r="B258" t="s">
        <v>180</v>
      </c>
      <c r="C258" t="s">
        <v>87</v>
      </c>
      <c r="D258" t="s">
        <v>79</v>
      </c>
      <c r="E258" t="s">
        <v>194</v>
      </c>
      <c r="F258">
        <v>122880</v>
      </c>
      <c r="G258">
        <f>MAX(I256,I257)</f>
        <v>1160772</v>
      </c>
      <c r="H258">
        <f>CEILING((dram_access_latency+F258/dram_bandwidth)*frequency,1)</f>
        <v>1908</v>
      </c>
      <c r="I258">
        <f>G258+H258</f>
        <v>1162680</v>
      </c>
      <c r="J258">
        <f>IF(AND(D258&lt;&gt;"dram",D258&lt;&gt;"control"),H258,0)</f>
        <v>0</v>
      </c>
      <c r="K258">
        <f>IF(D258="dram",H258,0)</f>
        <v>1908</v>
      </c>
      <c r="L258">
        <v>0</v>
      </c>
      <c r="M258">
        <v>122880</v>
      </c>
    </row>
    <row r="259" spans="1:13">
      <c r="A259">
        <v>257</v>
      </c>
      <c r="B259" t="s">
        <v>195</v>
      </c>
      <c r="C259" t="s">
        <v>82</v>
      </c>
      <c r="D259" t="s">
        <v>83</v>
      </c>
      <c r="E259" t="s">
        <v>80</v>
      </c>
      <c r="F259">
        <v>0</v>
      </c>
      <c r="G259">
        <f>MAX(I256,I251)</f>
        <v>1160634</v>
      </c>
      <c r="H259">
        <f>0</f>
        <v>0</v>
      </c>
      <c r="I259">
        <f>G259+H259</f>
        <v>1160634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196</v>
      </c>
      <c r="C260" t="s">
        <v>82</v>
      </c>
      <c r="D260" t="s">
        <v>83</v>
      </c>
      <c r="E260" t="s">
        <v>80</v>
      </c>
      <c r="F260">
        <v>0</v>
      </c>
      <c r="G260">
        <f>MAX(I259,I257)</f>
        <v>1160634</v>
      </c>
      <c r="H260">
        <f>0</f>
        <v>138</v>
      </c>
      <c r="I260">
        <f>G260+H260</f>
        <v>1160772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197</v>
      </c>
      <c r="C261" t="s">
        <v>82</v>
      </c>
      <c r="D261" t="s">
        <v>83</v>
      </c>
      <c r="E261" t="s">
        <v>80</v>
      </c>
      <c r="F261">
        <v>0</v>
      </c>
      <c r="G261">
        <f>MAX(I260,I252)</f>
        <v>1160772</v>
      </c>
      <c r="H261">
        <f>0</f>
        <v>0</v>
      </c>
      <c r="I261">
        <f>G261+H261</f>
        <v>1160772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198</v>
      </c>
      <c r="C262" t="s">
        <v>82</v>
      </c>
      <c r="D262" t="s">
        <v>83</v>
      </c>
      <c r="E262" t="s">
        <v>80</v>
      </c>
      <c r="F262">
        <v>0</v>
      </c>
      <c r="G262">
        <f>MAX(I261,I258)</f>
        <v>1160772</v>
      </c>
      <c r="H262">
        <f>0</f>
        <v>1908</v>
      </c>
      <c r="I262">
        <f>G262+H262</f>
        <v>1162680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199</v>
      </c>
      <c r="C263" t="s">
        <v>78</v>
      </c>
      <c r="D263" t="s">
        <v>79</v>
      </c>
      <c r="E263" t="s">
        <v>84</v>
      </c>
      <c r="F263">
        <v>80</v>
      </c>
      <c r="G263">
        <f>MAX(I262,I258)</f>
        <v>1162680</v>
      </c>
      <c r="H263">
        <f>CEILING((dram_access_latency+F263/dram_bandwidth)*frequency,1)</f>
        <v>102</v>
      </c>
      <c r="I263">
        <f>G263+H263</f>
        <v>1162782</v>
      </c>
      <c r="J263">
        <f>IF(AND(D263&lt;&gt;"dram",D263&lt;&gt;"control"),H263,0)</f>
        <v>0</v>
      </c>
      <c r="K263">
        <f>IF(D263="dram",H263,0)</f>
        <v>102</v>
      </c>
      <c r="L263">
        <v>80</v>
      </c>
      <c r="M263">
        <v>0</v>
      </c>
    </row>
    <row r="264" spans="1:13">
      <c r="A264">
        <v>262</v>
      </c>
      <c r="B264" t="s">
        <v>200</v>
      </c>
      <c r="C264" t="s">
        <v>78</v>
      </c>
      <c r="D264" t="s">
        <v>79</v>
      </c>
      <c r="E264" t="s">
        <v>84</v>
      </c>
      <c r="F264">
        <v>61440</v>
      </c>
      <c r="G264">
        <f>MAX(I262,I263)</f>
        <v>1162782</v>
      </c>
      <c r="H264">
        <f>CEILING((dram_access_latency+F264/dram_bandwidth)*frequency,1)</f>
        <v>1004</v>
      </c>
      <c r="I264">
        <f>G264+H264</f>
        <v>1163786</v>
      </c>
      <c r="J264">
        <f>IF(AND(D264&lt;&gt;"dram",D264&lt;&gt;"control"),H264,0)</f>
        <v>0</v>
      </c>
      <c r="K264">
        <f>IF(D264="dram",H264,0)</f>
        <v>1004</v>
      </c>
      <c r="L264">
        <v>61440</v>
      </c>
      <c r="M264">
        <v>0</v>
      </c>
    </row>
    <row r="265" spans="1:13">
      <c r="A265">
        <v>263</v>
      </c>
      <c r="B265" t="s">
        <v>201</v>
      </c>
      <c r="C265" t="s">
        <v>78</v>
      </c>
      <c r="D265" t="s">
        <v>79</v>
      </c>
      <c r="E265" t="s">
        <v>84</v>
      </c>
      <c r="F265">
        <v>1280</v>
      </c>
      <c r="G265">
        <f>MAX(I262,I264)</f>
        <v>1163786</v>
      </c>
      <c r="H265">
        <f>CEILING((dram_access_latency+F265/dram_bandwidth)*frequency,1)</f>
        <v>119</v>
      </c>
      <c r="I265">
        <f>G265+H265</f>
        <v>1163905</v>
      </c>
      <c r="J265">
        <f>IF(AND(D265&lt;&gt;"dram",D265&lt;&gt;"control"),H265,0)</f>
        <v>0</v>
      </c>
      <c r="K265">
        <f>IF(D265="dram",H265,0)</f>
        <v>119</v>
      </c>
      <c r="L265">
        <v>1280</v>
      </c>
      <c r="M265">
        <v>0</v>
      </c>
    </row>
    <row r="266" spans="1:13">
      <c r="A266">
        <v>264</v>
      </c>
      <c r="B266" t="s">
        <v>202</v>
      </c>
      <c r="C266" t="s">
        <v>78</v>
      </c>
      <c r="D266" t="s">
        <v>79</v>
      </c>
      <c r="E266" t="s">
        <v>84</v>
      </c>
      <c r="F266">
        <v>96</v>
      </c>
      <c r="G266">
        <f>MAX(I262,I265)</f>
        <v>1163905</v>
      </c>
      <c r="H266">
        <f>CEILING((dram_access_latency+F266/dram_bandwidth)*frequency,1)</f>
        <v>102</v>
      </c>
      <c r="I266">
        <f>G266+H266</f>
        <v>1164007</v>
      </c>
      <c r="J266">
        <f>IF(AND(D266&lt;&gt;"dram",D266&lt;&gt;"control"),H266,0)</f>
        <v>0</v>
      </c>
      <c r="K266">
        <f>IF(D266="dram",H266,0)</f>
        <v>102</v>
      </c>
      <c r="L266">
        <v>96</v>
      </c>
      <c r="M266">
        <v>0</v>
      </c>
    </row>
    <row r="267" spans="1:13">
      <c r="A267">
        <v>265</v>
      </c>
      <c r="B267" t="s">
        <v>203</v>
      </c>
      <c r="C267" t="s">
        <v>78</v>
      </c>
      <c r="D267" t="s">
        <v>79</v>
      </c>
      <c r="E267" t="s">
        <v>84</v>
      </c>
      <c r="F267">
        <v>2</v>
      </c>
      <c r="G267">
        <f>MAX(I262,I266)</f>
        <v>1164007</v>
      </c>
      <c r="H267">
        <f>CEILING((dram_access_latency+F267/dram_bandwidth)*frequency,1)</f>
        <v>101</v>
      </c>
      <c r="I267">
        <f>G267+H267</f>
        <v>1164108</v>
      </c>
      <c r="J267">
        <f>IF(AND(D267&lt;&gt;"dram",D267&lt;&gt;"control"),H267,0)</f>
        <v>0</v>
      </c>
      <c r="K267">
        <f>IF(D267="dram",H267,0)</f>
        <v>101</v>
      </c>
      <c r="L267">
        <v>2</v>
      </c>
      <c r="M267">
        <v>0</v>
      </c>
    </row>
    <row r="268" spans="1:13">
      <c r="A268">
        <v>266</v>
      </c>
      <c r="B268" t="s">
        <v>36</v>
      </c>
      <c r="C268" t="s">
        <v>85</v>
      </c>
      <c r="D268" t="s">
        <v>17</v>
      </c>
      <c r="E268" t="s">
        <v>84</v>
      </c>
      <c r="F268">
        <v>0</v>
      </c>
      <c r="G268">
        <f>MAX(I256,I263,I264,I265,I266,I267)</f>
        <v>1164108</v>
      </c>
      <c r="H268">
        <f>'Operations'!I14</f>
        <v>1280</v>
      </c>
      <c r="I268">
        <f>G268+H268</f>
        <v>1165388</v>
      </c>
      <c r="J268">
        <f>IF(AND(D268&lt;&gt;"dram",D268&lt;&gt;"control"),H268,0)</f>
        <v>1280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200</v>
      </c>
      <c r="C269" t="s">
        <v>78</v>
      </c>
      <c r="D269" t="s">
        <v>79</v>
      </c>
      <c r="E269" t="s">
        <v>101</v>
      </c>
      <c r="F269">
        <v>61440</v>
      </c>
      <c r="G269">
        <f>MAX(I262,I267)</f>
        <v>1164108</v>
      </c>
      <c r="H269">
        <f>CEILING((dram_access_latency+F269/dram_bandwidth)*frequency,1)</f>
        <v>1004</v>
      </c>
      <c r="I269">
        <f>G269+H269</f>
        <v>1165112</v>
      </c>
      <c r="J269">
        <f>IF(AND(D269&lt;&gt;"dram",D269&lt;&gt;"control"),H269,0)</f>
        <v>0</v>
      </c>
      <c r="K269">
        <f>IF(D269="dram",H269,0)</f>
        <v>1004</v>
      </c>
      <c r="L269">
        <v>61440</v>
      </c>
      <c r="M269">
        <v>0</v>
      </c>
    </row>
    <row r="270" spans="1:13">
      <c r="A270">
        <v>268</v>
      </c>
      <c r="B270" t="s">
        <v>201</v>
      </c>
      <c r="C270" t="s">
        <v>78</v>
      </c>
      <c r="D270" t="s">
        <v>79</v>
      </c>
      <c r="E270" t="s">
        <v>101</v>
      </c>
      <c r="F270">
        <v>1280</v>
      </c>
      <c r="G270">
        <f>MAX(I262,I269)</f>
        <v>1165112</v>
      </c>
      <c r="H270">
        <f>CEILING((dram_access_latency+F270/dram_bandwidth)*frequency,1)</f>
        <v>119</v>
      </c>
      <c r="I270">
        <f>G270+H270</f>
        <v>1165231</v>
      </c>
      <c r="J270">
        <f>IF(AND(D270&lt;&gt;"dram",D270&lt;&gt;"control"),H270,0)</f>
        <v>0</v>
      </c>
      <c r="K270">
        <f>IF(D270="dram",H270,0)</f>
        <v>119</v>
      </c>
      <c r="L270">
        <v>1280</v>
      </c>
      <c r="M270">
        <v>0</v>
      </c>
    </row>
    <row r="271" spans="1:13">
      <c r="A271">
        <v>269</v>
      </c>
      <c r="B271" t="s">
        <v>202</v>
      </c>
      <c r="C271" t="s">
        <v>78</v>
      </c>
      <c r="D271" t="s">
        <v>79</v>
      </c>
      <c r="E271" t="s">
        <v>101</v>
      </c>
      <c r="F271">
        <v>96</v>
      </c>
      <c r="G271">
        <f>MAX(I262,I270)</f>
        <v>1165231</v>
      </c>
      <c r="H271">
        <f>CEILING((dram_access_latency+F271/dram_bandwidth)*frequency,1)</f>
        <v>102</v>
      </c>
      <c r="I271">
        <f>G271+H271</f>
        <v>1165333</v>
      </c>
      <c r="J271">
        <f>IF(AND(D271&lt;&gt;"dram",D271&lt;&gt;"control"),H271,0)</f>
        <v>0</v>
      </c>
      <c r="K271">
        <f>IF(D271="dram",H271,0)</f>
        <v>102</v>
      </c>
      <c r="L271">
        <v>96</v>
      </c>
      <c r="M271">
        <v>0</v>
      </c>
    </row>
    <row r="272" spans="1:13">
      <c r="A272">
        <v>270</v>
      </c>
      <c r="B272" t="s">
        <v>203</v>
      </c>
      <c r="C272" t="s">
        <v>78</v>
      </c>
      <c r="D272" t="s">
        <v>79</v>
      </c>
      <c r="E272" t="s">
        <v>101</v>
      </c>
      <c r="F272">
        <v>2</v>
      </c>
      <c r="G272">
        <f>MAX(I262,I271)</f>
        <v>1165333</v>
      </c>
      <c r="H272">
        <f>CEILING((dram_access_latency+F272/dram_bandwidth)*frequency,1)</f>
        <v>101</v>
      </c>
      <c r="I272">
        <f>G272+H272</f>
        <v>1165434</v>
      </c>
      <c r="J272">
        <f>IF(AND(D272&lt;&gt;"dram",D272&lt;&gt;"control"),H272,0)</f>
        <v>0</v>
      </c>
      <c r="K272">
        <f>IF(D272="dram",H272,0)</f>
        <v>101</v>
      </c>
      <c r="L272">
        <v>2</v>
      </c>
      <c r="M272">
        <v>0</v>
      </c>
    </row>
    <row r="273" spans="1:13">
      <c r="A273">
        <v>271</v>
      </c>
      <c r="B273" t="s">
        <v>36</v>
      </c>
      <c r="C273" t="s">
        <v>85</v>
      </c>
      <c r="D273" t="s">
        <v>17</v>
      </c>
      <c r="E273" t="s">
        <v>101</v>
      </c>
      <c r="F273">
        <v>0</v>
      </c>
      <c r="G273">
        <f>MAX(I268,I263,I269,I270,I271,I272)</f>
        <v>1165434</v>
      </c>
      <c r="H273">
        <f>'Operations'!I14</f>
        <v>1280</v>
      </c>
      <c r="I273">
        <f>G273+H273</f>
        <v>1166714</v>
      </c>
      <c r="J273">
        <f>IF(AND(D273&lt;&gt;"dram",D273&lt;&gt;"control"),H273,0)</f>
        <v>1280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204</v>
      </c>
      <c r="C274" t="s">
        <v>82</v>
      </c>
      <c r="D274" t="s">
        <v>83</v>
      </c>
      <c r="E274" t="s">
        <v>101</v>
      </c>
      <c r="F274">
        <v>0</v>
      </c>
      <c r="G274">
        <f>MAX(I262,I268)</f>
        <v>1162680</v>
      </c>
      <c r="H274">
        <f>0</f>
        <v>2708</v>
      </c>
      <c r="I274">
        <f>G274+H274</f>
        <v>1165388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205</v>
      </c>
      <c r="C275" t="s">
        <v>87</v>
      </c>
      <c r="D275" t="s">
        <v>79</v>
      </c>
      <c r="E275" t="s">
        <v>101</v>
      </c>
      <c r="F275">
        <v>640</v>
      </c>
      <c r="G275">
        <f>MAX(I274,I272)</f>
        <v>1165434</v>
      </c>
      <c r="H275">
        <f>CEILING((dram_access_latency+F275/dram_bandwidth)*frequency,1)</f>
        <v>110</v>
      </c>
      <c r="I275">
        <f>G275+H275</f>
        <v>1165544</v>
      </c>
      <c r="J275">
        <f>IF(AND(D275&lt;&gt;"dram",D275&lt;&gt;"control"),H275,0)</f>
        <v>0</v>
      </c>
      <c r="K275">
        <f>IF(D275="dram",H275,0)</f>
        <v>110</v>
      </c>
      <c r="L275">
        <v>0</v>
      </c>
      <c r="M275">
        <v>640</v>
      </c>
    </row>
    <row r="276" spans="1:13">
      <c r="A276">
        <v>274</v>
      </c>
      <c r="B276" t="s">
        <v>200</v>
      </c>
      <c r="C276" t="s">
        <v>78</v>
      </c>
      <c r="D276" t="s">
        <v>79</v>
      </c>
      <c r="E276" t="s">
        <v>104</v>
      </c>
      <c r="F276">
        <v>61440</v>
      </c>
      <c r="G276">
        <f>MAX(I274,I275)</f>
        <v>1165544</v>
      </c>
      <c r="H276">
        <f>CEILING((dram_access_latency+F276/dram_bandwidth)*frequency,1)</f>
        <v>1004</v>
      </c>
      <c r="I276">
        <f>G276+H276</f>
        <v>1166548</v>
      </c>
      <c r="J276">
        <f>IF(AND(D276&lt;&gt;"dram",D276&lt;&gt;"control"),H276,0)</f>
        <v>0</v>
      </c>
      <c r="K276">
        <f>IF(D276="dram",H276,0)</f>
        <v>1004</v>
      </c>
      <c r="L276">
        <v>61440</v>
      </c>
      <c r="M276">
        <v>0</v>
      </c>
    </row>
    <row r="277" spans="1:13">
      <c r="A277">
        <v>275</v>
      </c>
      <c r="B277" t="s">
        <v>201</v>
      </c>
      <c r="C277" t="s">
        <v>78</v>
      </c>
      <c r="D277" t="s">
        <v>79</v>
      </c>
      <c r="E277" t="s">
        <v>104</v>
      </c>
      <c r="F277">
        <v>1280</v>
      </c>
      <c r="G277">
        <f>MAX(I274,I276)</f>
        <v>1166548</v>
      </c>
      <c r="H277">
        <f>CEILING((dram_access_latency+F277/dram_bandwidth)*frequency,1)</f>
        <v>119</v>
      </c>
      <c r="I277">
        <f>G277+H277</f>
        <v>1166667</v>
      </c>
      <c r="J277">
        <f>IF(AND(D277&lt;&gt;"dram",D277&lt;&gt;"control"),H277,0)</f>
        <v>0</v>
      </c>
      <c r="K277">
        <f>IF(D277="dram",H277,0)</f>
        <v>119</v>
      </c>
      <c r="L277">
        <v>1280</v>
      </c>
      <c r="M277">
        <v>0</v>
      </c>
    </row>
    <row r="278" spans="1:13">
      <c r="A278">
        <v>276</v>
      </c>
      <c r="B278" t="s">
        <v>202</v>
      </c>
      <c r="C278" t="s">
        <v>78</v>
      </c>
      <c r="D278" t="s">
        <v>79</v>
      </c>
      <c r="E278" t="s">
        <v>104</v>
      </c>
      <c r="F278">
        <v>96</v>
      </c>
      <c r="G278">
        <f>MAX(I274,I277)</f>
        <v>1166667</v>
      </c>
      <c r="H278">
        <f>CEILING((dram_access_latency+F278/dram_bandwidth)*frequency,1)</f>
        <v>102</v>
      </c>
      <c r="I278">
        <f>G278+H278</f>
        <v>1166769</v>
      </c>
      <c r="J278">
        <f>IF(AND(D278&lt;&gt;"dram",D278&lt;&gt;"control"),H278,0)</f>
        <v>0</v>
      </c>
      <c r="K278">
        <f>IF(D278="dram",H278,0)</f>
        <v>102</v>
      </c>
      <c r="L278">
        <v>96</v>
      </c>
      <c r="M278">
        <v>0</v>
      </c>
    </row>
    <row r="279" spans="1:13">
      <c r="A279">
        <v>277</v>
      </c>
      <c r="B279" t="s">
        <v>203</v>
      </c>
      <c r="C279" t="s">
        <v>78</v>
      </c>
      <c r="D279" t="s">
        <v>79</v>
      </c>
      <c r="E279" t="s">
        <v>104</v>
      </c>
      <c r="F279">
        <v>2</v>
      </c>
      <c r="G279">
        <f>MAX(I274,I278)</f>
        <v>1166769</v>
      </c>
      <c r="H279">
        <f>CEILING((dram_access_latency+F279/dram_bandwidth)*frequency,1)</f>
        <v>101</v>
      </c>
      <c r="I279">
        <f>G279+H279</f>
        <v>1166870</v>
      </c>
      <c r="J279">
        <f>IF(AND(D279&lt;&gt;"dram",D279&lt;&gt;"control"),H279,0)</f>
        <v>0</v>
      </c>
      <c r="K279">
        <f>IF(D279="dram",H279,0)</f>
        <v>101</v>
      </c>
      <c r="L279">
        <v>2</v>
      </c>
      <c r="M279">
        <v>0</v>
      </c>
    </row>
    <row r="280" spans="1:13">
      <c r="A280">
        <v>278</v>
      </c>
      <c r="B280" t="s">
        <v>36</v>
      </c>
      <c r="C280" t="s">
        <v>85</v>
      </c>
      <c r="D280" t="s">
        <v>17</v>
      </c>
      <c r="E280" t="s">
        <v>104</v>
      </c>
      <c r="F280">
        <v>0</v>
      </c>
      <c r="G280">
        <f>MAX(I273,I263,I276,I277,I278,I279,I275)</f>
        <v>1166870</v>
      </c>
      <c r="H280">
        <f>'Operations'!I14</f>
        <v>1280</v>
      </c>
      <c r="I280">
        <f>G280+H280</f>
        <v>1168150</v>
      </c>
      <c r="J280">
        <f>IF(AND(D280&lt;&gt;"dram",D280&lt;&gt;"control"),H280,0)</f>
        <v>1280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204</v>
      </c>
      <c r="C281" t="s">
        <v>82</v>
      </c>
      <c r="D281" t="s">
        <v>83</v>
      </c>
      <c r="E281" t="s">
        <v>104</v>
      </c>
      <c r="F281">
        <v>0</v>
      </c>
      <c r="G281">
        <f>MAX(I274,I273)</f>
        <v>1165388</v>
      </c>
      <c r="H281">
        <f>0</f>
        <v>1326</v>
      </c>
      <c r="I281">
        <f>G281+H281</f>
        <v>1166714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205</v>
      </c>
      <c r="C282" t="s">
        <v>87</v>
      </c>
      <c r="D282" t="s">
        <v>79</v>
      </c>
      <c r="E282" t="s">
        <v>104</v>
      </c>
      <c r="F282">
        <v>640</v>
      </c>
      <c r="G282">
        <f>MAX(I281,I279)</f>
        <v>1166870</v>
      </c>
      <c r="H282">
        <f>CEILING((dram_access_latency+F282/dram_bandwidth)*frequency,1)</f>
        <v>110</v>
      </c>
      <c r="I282">
        <f>G282+H282</f>
        <v>1166980</v>
      </c>
      <c r="J282">
        <f>IF(AND(D282&lt;&gt;"dram",D282&lt;&gt;"control"),H282,0)</f>
        <v>0</v>
      </c>
      <c r="K282">
        <f>IF(D282="dram",H282,0)</f>
        <v>110</v>
      </c>
      <c r="L282">
        <v>0</v>
      </c>
      <c r="M282">
        <v>640</v>
      </c>
    </row>
    <row r="283" spans="1:13">
      <c r="A283">
        <v>281</v>
      </c>
      <c r="B283" t="s">
        <v>200</v>
      </c>
      <c r="C283" t="s">
        <v>78</v>
      </c>
      <c r="D283" t="s">
        <v>79</v>
      </c>
      <c r="E283" t="s">
        <v>105</v>
      </c>
      <c r="F283">
        <v>61440</v>
      </c>
      <c r="G283">
        <f>MAX(I281,I282)</f>
        <v>1166980</v>
      </c>
      <c r="H283">
        <f>CEILING((dram_access_latency+F283/dram_bandwidth)*frequency,1)</f>
        <v>1004</v>
      </c>
      <c r="I283">
        <f>G283+H283</f>
        <v>1167984</v>
      </c>
      <c r="J283">
        <f>IF(AND(D283&lt;&gt;"dram",D283&lt;&gt;"control"),H283,0)</f>
        <v>0</v>
      </c>
      <c r="K283">
        <f>IF(D283="dram",H283,0)</f>
        <v>1004</v>
      </c>
      <c r="L283">
        <v>61440</v>
      </c>
      <c r="M283">
        <v>0</v>
      </c>
    </row>
    <row r="284" spans="1:13">
      <c r="A284">
        <v>282</v>
      </c>
      <c r="B284" t="s">
        <v>201</v>
      </c>
      <c r="C284" t="s">
        <v>78</v>
      </c>
      <c r="D284" t="s">
        <v>79</v>
      </c>
      <c r="E284" t="s">
        <v>105</v>
      </c>
      <c r="F284">
        <v>1280</v>
      </c>
      <c r="G284">
        <f>MAX(I281,I283)</f>
        <v>1167984</v>
      </c>
      <c r="H284">
        <f>CEILING((dram_access_latency+F284/dram_bandwidth)*frequency,1)</f>
        <v>119</v>
      </c>
      <c r="I284">
        <f>G284+H284</f>
        <v>1168103</v>
      </c>
      <c r="J284">
        <f>IF(AND(D284&lt;&gt;"dram",D284&lt;&gt;"control"),H284,0)</f>
        <v>0</v>
      </c>
      <c r="K284">
        <f>IF(D284="dram",H284,0)</f>
        <v>119</v>
      </c>
      <c r="L284">
        <v>1280</v>
      </c>
      <c r="M284">
        <v>0</v>
      </c>
    </row>
    <row r="285" spans="1:13">
      <c r="A285">
        <v>283</v>
      </c>
      <c r="B285" t="s">
        <v>202</v>
      </c>
      <c r="C285" t="s">
        <v>78</v>
      </c>
      <c r="D285" t="s">
        <v>79</v>
      </c>
      <c r="E285" t="s">
        <v>105</v>
      </c>
      <c r="F285">
        <v>96</v>
      </c>
      <c r="G285">
        <f>MAX(I281,I284)</f>
        <v>1168103</v>
      </c>
      <c r="H285">
        <f>CEILING((dram_access_latency+F285/dram_bandwidth)*frequency,1)</f>
        <v>102</v>
      </c>
      <c r="I285">
        <f>G285+H285</f>
        <v>1168205</v>
      </c>
      <c r="J285">
        <f>IF(AND(D285&lt;&gt;"dram",D285&lt;&gt;"control"),H285,0)</f>
        <v>0</v>
      </c>
      <c r="K285">
        <f>IF(D285="dram",H285,0)</f>
        <v>102</v>
      </c>
      <c r="L285">
        <v>96</v>
      </c>
      <c r="M285">
        <v>0</v>
      </c>
    </row>
    <row r="286" spans="1:13">
      <c r="A286">
        <v>284</v>
      </c>
      <c r="B286" t="s">
        <v>203</v>
      </c>
      <c r="C286" t="s">
        <v>78</v>
      </c>
      <c r="D286" t="s">
        <v>79</v>
      </c>
      <c r="E286" t="s">
        <v>105</v>
      </c>
      <c r="F286">
        <v>2</v>
      </c>
      <c r="G286">
        <f>MAX(I281,I285)</f>
        <v>1168205</v>
      </c>
      <c r="H286">
        <f>CEILING((dram_access_latency+F286/dram_bandwidth)*frequency,1)</f>
        <v>101</v>
      </c>
      <c r="I286">
        <f>G286+H286</f>
        <v>1168306</v>
      </c>
      <c r="J286">
        <f>IF(AND(D286&lt;&gt;"dram",D286&lt;&gt;"control"),H286,0)</f>
        <v>0</v>
      </c>
      <c r="K286">
        <f>IF(D286="dram",H286,0)</f>
        <v>101</v>
      </c>
      <c r="L286">
        <v>2</v>
      </c>
      <c r="M286">
        <v>0</v>
      </c>
    </row>
    <row r="287" spans="1:13">
      <c r="A287">
        <v>285</v>
      </c>
      <c r="B287" t="s">
        <v>36</v>
      </c>
      <c r="C287" t="s">
        <v>85</v>
      </c>
      <c r="D287" t="s">
        <v>17</v>
      </c>
      <c r="E287" t="s">
        <v>105</v>
      </c>
      <c r="F287">
        <v>0</v>
      </c>
      <c r="G287">
        <f>MAX(I280,I263,I283,I284,I285,I286,I282)</f>
        <v>1168306</v>
      </c>
      <c r="H287">
        <f>'Operations'!I14</f>
        <v>1280</v>
      </c>
      <c r="I287">
        <f>G287+H287</f>
        <v>1169586</v>
      </c>
      <c r="J287">
        <f>IF(AND(D287&lt;&gt;"dram",D287&lt;&gt;"control"),H287,0)</f>
        <v>1280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204</v>
      </c>
      <c r="C288" t="s">
        <v>82</v>
      </c>
      <c r="D288" t="s">
        <v>83</v>
      </c>
      <c r="E288" t="s">
        <v>105</v>
      </c>
      <c r="F288">
        <v>0</v>
      </c>
      <c r="G288">
        <f>MAX(I281,I280)</f>
        <v>1166714</v>
      </c>
      <c r="H288">
        <f>0</f>
        <v>1436</v>
      </c>
      <c r="I288">
        <f>G288+H288</f>
        <v>1168150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205</v>
      </c>
      <c r="C289" t="s">
        <v>87</v>
      </c>
      <c r="D289" t="s">
        <v>79</v>
      </c>
      <c r="E289" t="s">
        <v>105</v>
      </c>
      <c r="F289">
        <v>640</v>
      </c>
      <c r="G289">
        <f>MAX(I288,I286)</f>
        <v>1168306</v>
      </c>
      <c r="H289">
        <f>CEILING((dram_access_latency+F289/dram_bandwidth)*frequency,1)</f>
        <v>110</v>
      </c>
      <c r="I289">
        <f>G289+H289</f>
        <v>1168416</v>
      </c>
      <c r="J289">
        <f>IF(AND(D289&lt;&gt;"dram",D289&lt;&gt;"control"),H289,0)</f>
        <v>0</v>
      </c>
      <c r="K289">
        <f>IF(D289="dram",H289,0)</f>
        <v>110</v>
      </c>
      <c r="L289">
        <v>0</v>
      </c>
      <c r="M289">
        <v>640</v>
      </c>
    </row>
    <row r="290" spans="1:13">
      <c r="A290">
        <v>288</v>
      </c>
      <c r="B290" t="s">
        <v>200</v>
      </c>
      <c r="C290" t="s">
        <v>78</v>
      </c>
      <c r="D290" t="s">
        <v>79</v>
      </c>
      <c r="E290" t="s">
        <v>183</v>
      </c>
      <c r="F290">
        <v>61440</v>
      </c>
      <c r="G290">
        <f>MAX(I288,I289)</f>
        <v>1168416</v>
      </c>
      <c r="H290">
        <f>CEILING((dram_access_latency+F290/dram_bandwidth)*frequency,1)</f>
        <v>1004</v>
      </c>
      <c r="I290">
        <f>G290+H290</f>
        <v>1169420</v>
      </c>
      <c r="J290">
        <f>IF(AND(D290&lt;&gt;"dram",D290&lt;&gt;"control"),H290,0)</f>
        <v>0</v>
      </c>
      <c r="K290">
        <f>IF(D290="dram",H290,0)</f>
        <v>1004</v>
      </c>
      <c r="L290">
        <v>61440</v>
      </c>
      <c r="M290">
        <v>0</v>
      </c>
    </row>
    <row r="291" spans="1:13">
      <c r="A291">
        <v>289</v>
      </c>
      <c r="B291" t="s">
        <v>201</v>
      </c>
      <c r="C291" t="s">
        <v>78</v>
      </c>
      <c r="D291" t="s">
        <v>79</v>
      </c>
      <c r="E291" t="s">
        <v>183</v>
      </c>
      <c r="F291">
        <v>1280</v>
      </c>
      <c r="G291">
        <f>MAX(I288,I290)</f>
        <v>1169420</v>
      </c>
      <c r="H291">
        <f>CEILING((dram_access_latency+F291/dram_bandwidth)*frequency,1)</f>
        <v>119</v>
      </c>
      <c r="I291">
        <f>G291+H291</f>
        <v>1169539</v>
      </c>
      <c r="J291">
        <f>IF(AND(D291&lt;&gt;"dram",D291&lt;&gt;"control"),H291,0)</f>
        <v>0</v>
      </c>
      <c r="K291">
        <f>IF(D291="dram",H291,0)</f>
        <v>119</v>
      </c>
      <c r="L291">
        <v>1280</v>
      </c>
      <c r="M291">
        <v>0</v>
      </c>
    </row>
    <row r="292" spans="1:13">
      <c r="A292">
        <v>290</v>
      </c>
      <c r="B292" t="s">
        <v>202</v>
      </c>
      <c r="C292" t="s">
        <v>78</v>
      </c>
      <c r="D292" t="s">
        <v>79</v>
      </c>
      <c r="E292" t="s">
        <v>183</v>
      </c>
      <c r="F292">
        <v>96</v>
      </c>
      <c r="G292">
        <f>MAX(I288,I291)</f>
        <v>1169539</v>
      </c>
      <c r="H292">
        <f>CEILING((dram_access_latency+F292/dram_bandwidth)*frequency,1)</f>
        <v>102</v>
      </c>
      <c r="I292">
        <f>G292+H292</f>
        <v>1169641</v>
      </c>
      <c r="J292">
        <f>IF(AND(D292&lt;&gt;"dram",D292&lt;&gt;"control"),H292,0)</f>
        <v>0</v>
      </c>
      <c r="K292">
        <f>IF(D292="dram",H292,0)</f>
        <v>102</v>
      </c>
      <c r="L292">
        <v>96</v>
      </c>
      <c r="M292">
        <v>0</v>
      </c>
    </row>
    <row r="293" spans="1:13">
      <c r="A293">
        <v>291</v>
      </c>
      <c r="B293" t="s">
        <v>203</v>
      </c>
      <c r="C293" t="s">
        <v>78</v>
      </c>
      <c r="D293" t="s">
        <v>79</v>
      </c>
      <c r="E293" t="s">
        <v>183</v>
      </c>
      <c r="F293">
        <v>2</v>
      </c>
      <c r="G293">
        <f>MAX(I288,I292)</f>
        <v>1169641</v>
      </c>
      <c r="H293">
        <f>CEILING((dram_access_latency+F293/dram_bandwidth)*frequency,1)</f>
        <v>101</v>
      </c>
      <c r="I293">
        <f>G293+H293</f>
        <v>1169742</v>
      </c>
      <c r="J293">
        <f>IF(AND(D293&lt;&gt;"dram",D293&lt;&gt;"control"),H293,0)</f>
        <v>0</v>
      </c>
      <c r="K293">
        <f>IF(D293="dram",H293,0)</f>
        <v>101</v>
      </c>
      <c r="L293">
        <v>2</v>
      </c>
      <c r="M293">
        <v>0</v>
      </c>
    </row>
    <row r="294" spans="1:13">
      <c r="A294">
        <v>292</v>
      </c>
      <c r="B294" t="s">
        <v>36</v>
      </c>
      <c r="C294" t="s">
        <v>85</v>
      </c>
      <c r="D294" t="s">
        <v>17</v>
      </c>
      <c r="E294" t="s">
        <v>183</v>
      </c>
      <c r="F294">
        <v>0</v>
      </c>
      <c r="G294">
        <f>MAX(I287,I263,I290,I291,I292,I293,I289)</f>
        <v>1169742</v>
      </c>
      <c r="H294">
        <f>'Operations'!I14</f>
        <v>1280</v>
      </c>
      <c r="I294">
        <f>G294+H294</f>
        <v>1171022</v>
      </c>
      <c r="J294">
        <f>IF(AND(D294&lt;&gt;"dram",D294&lt;&gt;"control"),H294,0)</f>
        <v>1280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204</v>
      </c>
      <c r="C295" t="s">
        <v>82</v>
      </c>
      <c r="D295" t="s">
        <v>83</v>
      </c>
      <c r="E295" t="s">
        <v>183</v>
      </c>
      <c r="F295">
        <v>0</v>
      </c>
      <c r="G295">
        <f>MAX(I288,I287)</f>
        <v>1168150</v>
      </c>
      <c r="H295">
        <f>0</f>
        <v>1436</v>
      </c>
      <c r="I295">
        <f>G295+H295</f>
        <v>1169586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205</v>
      </c>
      <c r="C296" t="s">
        <v>87</v>
      </c>
      <c r="D296" t="s">
        <v>79</v>
      </c>
      <c r="E296" t="s">
        <v>183</v>
      </c>
      <c r="F296">
        <v>640</v>
      </c>
      <c r="G296">
        <f>MAX(I295,I293)</f>
        <v>1169742</v>
      </c>
      <c r="H296">
        <f>CEILING((dram_access_latency+F296/dram_bandwidth)*frequency,1)</f>
        <v>110</v>
      </c>
      <c r="I296">
        <f>G296+H296</f>
        <v>1169852</v>
      </c>
      <c r="J296">
        <f>IF(AND(D296&lt;&gt;"dram",D296&lt;&gt;"control"),H296,0)</f>
        <v>0</v>
      </c>
      <c r="K296">
        <f>IF(D296="dram",H296,0)</f>
        <v>110</v>
      </c>
      <c r="L296">
        <v>0</v>
      </c>
      <c r="M296">
        <v>640</v>
      </c>
    </row>
    <row r="297" spans="1:13">
      <c r="A297">
        <v>295</v>
      </c>
      <c r="B297" t="s">
        <v>200</v>
      </c>
      <c r="C297" t="s">
        <v>78</v>
      </c>
      <c r="D297" t="s">
        <v>79</v>
      </c>
      <c r="E297" t="s">
        <v>184</v>
      </c>
      <c r="F297">
        <v>61440</v>
      </c>
      <c r="G297">
        <f>MAX(I295,I296)</f>
        <v>1169852</v>
      </c>
      <c r="H297">
        <f>CEILING((dram_access_latency+F297/dram_bandwidth)*frequency,1)</f>
        <v>1004</v>
      </c>
      <c r="I297">
        <f>G297+H297</f>
        <v>1170856</v>
      </c>
      <c r="J297">
        <f>IF(AND(D297&lt;&gt;"dram",D297&lt;&gt;"control"),H297,0)</f>
        <v>0</v>
      </c>
      <c r="K297">
        <f>IF(D297="dram",H297,0)</f>
        <v>1004</v>
      </c>
      <c r="L297">
        <v>61440</v>
      </c>
      <c r="M297">
        <v>0</v>
      </c>
    </row>
    <row r="298" spans="1:13">
      <c r="A298">
        <v>296</v>
      </c>
      <c r="B298" t="s">
        <v>201</v>
      </c>
      <c r="C298" t="s">
        <v>78</v>
      </c>
      <c r="D298" t="s">
        <v>79</v>
      </c>
      <c r="E298" t="s">
        <v>184</v>
      </c>
      <c r="F298">
        <v>1280</v>
      </c>
      <c r="G298">
        <f>MAX(I295,I297)</f>
        <v>1170856</v>
      </c>
      <c r="H298">
        <f>CEILING((dram_access_latency+F298/dram_bandwidth)*frequency,1)</f>
        <v>119</v>
      </c>
      <c r="I298">
        <f>G298+H298</f>
        <v>1170975</v>
      </c>
      <c r="J298">
        <f>IF(AND(D298&lt;&gt;"dram",D298&lt;&gt;"control"),H298,0)</f>
        <v>0</v>
      </c>
      <c r="K298">
        <f>IF(D298="dram",H298,0)</f>
        <v>119</v>
      </c>
      <c r="L298">
        <v>1280</v>
      </c>
      <c r="M298">
        <v>0</v>
      </c>
    </row>
    <row r="299" spans="1:13">
      <c r="A299">
        <v>297</v>
      </c>
      <c r="B299" t="s">
        <v>202</v>
      </c>
      <c r="C299" t="s">
        <v>78</v>
      </c>
      <c r="D299" t="s">
        <v>79</v>
      </c>
      <c r="E299" t="s">
        <v>184</v>
      </c>
      <c r="F299">
        <v>96</v>
      </c>
      <c r="G299">
        <f>MAX(I295,I298)</f>
        <v>1170975</v>
      </c>
      <c r="H299">
        <f>CEILING((dram_access_latency+F299/dram_bandwidth)*frequency,1)</f>
        <v>102</v>
      </c>
      <c r="I299">
        <f>G299+H299</f>
        <v>1171077</v>
      </c>
      <c r="J299">
        <f>IF(AND(D299&lt;&gt;"dram",D299&lt;&gt;"control"),H299,0)</f>
        <v>0</v>
      </c>
      <c r="K299">
        <f>IF(D299="dram",H299,0)</f>
        <v>102</v>
      </c>
      <c r="L299">
        <v>96</v>
      </c>
      <c r="M299">
        <v>0</v>
      </c>
    </row>
    <row r="300" spans="1:13">
      <c r="A300">
        <v>298</v>
      </c>
      <c r="B300" t="s">
        <v>203</v>
      </c>
      <c r="C300" t="s">
        <v>78</v>
      </c>
      <c r="D300" t="s">
        <v>79</v>
      </c>
      <c r="E300" t="s">
        <v>184</v>
      </c>
      <c r="F300">
        <v>2</v>
      </c>
      <c r="G300">
        <f>MAX(I295,I299)</f>
        <v>1171077</v>
      </c>
      <c r="H300">
        <f>CEILING((dram_access_latency+F300/dram_bandwidth)*frequency,1)</f>
        <v>101</v>
      </c>
      <c r="I300">
        <f>G300+H300</f>
        <v>1171178</v>
      </c>
      <c r="J300">
        <f>IF(AND(D300&lt;&gt;"dram",D300&lt;&gt;"control"),H300,0)</f>
        <v>0</v>
      </c>
      <c r="K300">
        <f>IF(D300="dram",H300,0)</f>
        <v>101</v>
      </c>
      <c r="L300">
        <v>2</v>
      </c>
      <c r="M300">
        <v>0</v>
      </c>
    </row>
    <row r="301" spans="1:13">
      <c r="A301">
        <v>299</v>
      </c>
      <c r="B301" t="s">
        <v>36</v>
      </c>
      <c r="C301" t="s">
        <v>85</v>
      </c>
      <c r="D301" t="s">
        <v>17</v>
      </c>
      <c r="E301" t="s">
        <v>184</v>
      </c>
      <c r="F301">
        <v>0</v>
      </c>
      <c r="G301">
        <f>MAX(I294,I263,I297,I298,I299,I300,I296)</f>
        <v>1171178</v>
      </c>
      <c r="H301">
        <f>'Operations'!I14</f>
        <v>1280</v>
      </c>
      <c r="I301">
        <f>G301+H301</f>
        <v>1172458</v>
      </c>
      <c r="J301">
        <f>IF(AND(D301&lt;&gt;"dram",D301&lt;&gt;"control"),H301,0)</f>
        <v>1280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204</v>
      </c>
      <c r="C302" t="s">
        <v>82</v>
      </c>
      <c r="D302" t="s">
        <v>83</v>
      </c>
      <c r="E302" t="s">
        <v>184</v>
      </c>
      <c r="F302">
        <v>0</v>
      </c>
      <c r="G302">
        <f>MAX(I295,I294)</f>
        <v>1169586</v>
      </c>
      <c r="H302">
        <f>0</f>
        <v>1436</v>
      </c>
      <c r="I302">
        <f>G302+H302</f>
        <v>1171022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205</v>
      </c>
      <c r="C303" t="s">
        <v>87</v>
      </c>
      <c r="D303" t="s">
        <v>79</v>
      </c>
      <c r="E303" t="s">
        <v>184</v>
      </c>
      <c r="F303">
        <v>640</v>
      </c>
      <c r="G303">
        <f>MAX(I302,I300)</f>
        <v>1171178</v>
      </c>
      <c r="H303">
        <f>CEILING((dram_access_latency+F303/dram_bandwidth)*frequency,1)</f>
        <v>110</v>
      </c>
      <c r="I303">
        <f>G303+H303</f>
        <v>1171288</v>
      </c>
      <c r="J303">
        <f>IF(AND(D303&lt;&gt;"dram",D303&lt;&gt;"control"),H303,0)</f>
        <v>0</v>
      </c>
      <c r="K303">
        <f>IF(D303="dram",H303,0)</f>
        <v>110</v>
      </c>
      <c r="L303">
        <v>0</v>
      </c>
      <c r="M303">
        <v>640</v>
      </c>
    </row>
    <row r="304" spans="1:13">
      <c r="A304">
        <v>302</v>
      </c>
      <c r="B304" t="s">
        <v>200</v>
      </c>
      <c r="C304" t="s">
        <v>78</v>
      </c>
      <c r="D304" t="s">
        <v>79</v>
      </c>
      <c r="E304" t="s">
        <v>185</v>
      </c>
      <c r="F304">
        <v>61440</v>
      </c>
      <c r="G304">
        <f>MAX(I302,I303)</f>
        <v>1171288</v>
      </c>
      <c r="H304">
        <f>CEILING((dram_access_latency+F304/dram_bandwidth)*frequency,1)</f>
        <v>1004</v>
      </c>
      <c r="I304">
        <f>G304+H304</f>
        <v>1172292</v>
      </c>
      <c r="J304">
        <f>IF(AND(D304&lt;&gt;"dram",D304&lt;&gt;"control"),H304,0)</f>
        <v>0</v>
      </c>
      <c r="K304">
        <f>IF(D304="dram",H304,0)</f>
        <v>1004</v>
      </c>
      <c r="L304">
        <v>61440</v>
      </c>
      <c r="M304">
        <v>0</v>
      </c>
    </row>
    <row r="305" spans="1:13">
      <c r="A305">
        <v>303</v>
      </c>
      <c r="B305" t="s">
        <v>201</v>
      </c>
      <c r="C305" t="s">
        <v>78</v>
      </c>
      <c r="D305" t="s">
        <v>79</v>
      </c>
      <c r="E305" t="s">
        <v>185</v>
      </c>
      <c r="F305">
        <v>1280</v>
      </c>
      <c r="G305">
        <f>MAX(I302,I304)</f>
        <v>1172292</v>
      </c>
      <c r="H305">
        <f>CEILING((dram_access_latency+F305/dram_bandwidth)*frequency,1)</f>
        <v>119</v>
      </c>
      <c r="I305">
        <f>G305+H305</f>
        <v>1172411</v>
      </c>
      <c r="J305">
        <f>IF(AND(D305&lt;&gt;"dram",D305&lt;&gt;"control"),H305,0)</f>
        <v>0</v>
      </c>
      <c r="K305">
        <f>IF(D305="dram",H305,0)</f>
        <v>119</v>
      </c>
      <c r="L305">
        <v>1280</v>
      </c>
      <c r="M305">
        <v>0</v>
      </c>
    </row>
    <row r="306" spans="1:13">
      <c r="A306">
        <v>304</v>
      </c>
      <c r="B306" t="s">
        <v>202</v>
      </c>
      <c r="C306" t="s">
        <v>78</v>
      </c>
      <c r="D306" t="s">
        <v>79</v>
      </c>
      <c r="E306" t="s">
        <v>185</v>
      </c>
      <c r="F306">
        <v>96</v>
      </c>
      <c r="G306">
        <f>MAX(I302,I305)</f>
        <v>1172411</v>
      </c>
      <c r="H306">
        <f>CEILING((dram_access_latency+F306/dram_bandwidth)*frequency,1)</f>
        <v>102</v>
      </c>
      <c r="I306">
        <f>G306+H306</f>
        <v>1172513</v>
      </c>
      <c r="J306">
        <f>IF(AND(D306&lt;&gt;"dram",D306&lt;&gt;"control"),H306,0)</f>
        <v>0</v>
      </c>
      <c r="K306">
        <f>IF(D306="dram",H306,0)</f>
        <v>102</v>
      </c>
      <c r="L306">
        <v>96</v>
      </c>
      <c r="M306">
        <v>0</v>
      </c>
    </row>
    <row r="307" spans="1:13">
      <c r="A307">
        <v>305</v>
      </c>
      <c r="B307" t="s">
        <v>203</v>
      </c>
      <c r="C307" t="s">
        <v>78</v>
      </c>
      <c r="D307" t="s">
        <v>79</v>
      </c>
      <c r="E307" t="s">
        <v>185</v>
      </c>
      <c r="F307">
        <v>2</v>
      </c>
      <c r="G307">
        <f>MAX(I302,I306)</f>
        <v>1172513</v>
      </c>
      <c r="H307">
        <f>CEILING((dram_access_latency+F307/dram_bandwidth)*frequency,1)</f>
        <v>101</v>
      </c>
      <c r="I307">
        <f>G307+H307</f>
        <v>1172614</v>
      </c>
      <c r="J307">
        <f>IF(AND(D307&lt;&gt;"dram",D307&lt;&gt;"control"),H307,0)</f>
        <v>0</v>
      </c>
      <c r="K307">
        <f>IF(D307="dram",H307,0)</f>
        <v>101</v>
      </c>
      <c r="L307">
        <v>2</v>
      </c>
      <c r="M307">
        <v>0</v>
      </c>
    </row>
    <row r="308" spans="1:13">
      <c r="A308">
        <v>306</v>
      </c>
      <c r="B308" t="s">
        <v>36</v>
      </c>
      <c r="C308" t="s">
        <v>85</v>
      </c>
      <c r="D308" t="s">
        <v>17</v>
      </c>
      <c r="E308" t="s">
        <v>185</v>
      </c>
      <c r="F308">
        <v>0</v>
      </c>
      <c r="G308">
        <f>MAX(I301,I263,I304,I305,I306,I307,I303)</f>
        <v>1172614</v>
      </c>
      <c r="H308">
        <f>'Operations'!I14</f>
        <v>1280</v>
      </c>
      <c r="I308">
        <f>G308+H308</f>
        <v>1173894</v>
      </c>
      <c r="J308">
        <f>IF(AND(D308&lt;&gt;"dram",D308&lt;&gt;"control"),H308,0)</f>
        <v>1280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204</v>
      </c>
      <c r="C309" t="s">
        <v>82</v>
      </c>
      <c r="D309" t="s">
        <v>83</v>
      </c>
      <c r="E309" t="s">
        <v>185</v>
      </c>
      <c r="F309">
        <v>0</v>
      </c>
      <c r="G309">
        <f>MAX(I302,I301)</f>
        <v>1171022</v>
      </c>
      <c r="H309">
        <f>0</f>
        <v>1436</v>
      </c>
      <c r="I309">
        <f>G309+H309</f>
        <v>1172458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205</v>
      </c>
      <c r="C310" t="s">
        <v>87</v>
      </c>
      <c r="D310" t="s">
        <v>79</v>
      </c>
      <c r="E310" t="s">
        <v>185</v>
      </c>
      <c r="F310">
        <v>640</v>
      </c>
      <c r="G310">
        <f>MAX(I309,I307)</f>
        <v>1172614</v>
      </c>
      <c r="H310">
        <f>CEILING((dram_access_latency+F310/dram_bandwidth)*frequency,1)</f>
        <v>110</v>
      </c>
      <c r="I310">
        <f>G310+H310</f>
        <v>1172724</v>
      </c>
      <c r="J310">
        <f>IF(AND(D310&lt;&gt;"dram",D310&lt;&gt;"control"),H310,0)</f>
        <v>0</v>
      </c>
      <c r="K310">
        <f>IF(D310="dram",H310,0)</f>
        <v>110</v>
      </c>
      <c r="L310">
        <v>0</v>
      </c>
      <c r="M310">
        <v>640</v>
      </c>
    </row>
    <row r="311" spans="1:13">
      <c r="A311">
        <v>309</v>
      </c>
      <c r="B311" t="s">
        <v>200</v>
      </c>
      <c r="C311" t="s">
        <v>78</v>
      </c>
      <c r="D311" t="s">
        <v>79</v>
      </c>
      <c r="E311" t="s">
        <v>186</v>
      </c>
      <c r="F311">
        <v>61440</v>
      </c>
      <c r="G311">
        <f>MAX(I309,I310)</f>
        <v>1172724</v>
      </c>
      <c r="H311">
        <f>CEILING((dram_access_latency+F311/dram_bandwidth)*frequency,1)</f>
        <v>1004</v>
      </c>
      <c r="I311">
        <f>G311+H311</f>
        <v>1173728</v>
      </c>
      <c r="J311">
        <f>IF(AND(D311&lt;&gt;"dram",D311&lt;&gt;"control"),H311,0)</f>
        <v>0</v>
      </c>
      <c r="K311">
        <f>IF(D311="dram",H311,0)</f>
        <v>1004</v>
      </c>
      <c r="L311">
        <v>61440</v>
      </c>
      <c r="M311">
        <v>0</v>
      </c>
    </row>
    <row r="312" spans="1:13">
      <c r="A312">
        <v>310</v>
      </c>
      <c r="B312" t="s">
        <v>201</v>
      </c>
      <c r="C312" t="s">
        <v>78</v>
      </c>
      <c r="D312" t="s">
        <v>79</v>
      </c>
      <c r="E312" t="s">
        <v>186</v>
      </c>
      <c r="F312">
        <v>1280</v>
      </c>
      <c r="G312">
        <f>MAX(I309,I311)</f>
        <v>1173728</v>
      </c>
      <c r="H312">
        <f>CEILING((dram_access_latency+F312/dram_bandwidth)*frequency,1)</f>
        <v>119</v>
      </c>
      <c r="I312">
        <f>G312+H312</f>
        <v>1173847</v>
      </c>
      <c r="J312">
        <f>IF(AND(D312&lt;&gt;"dram",D312&lt;&gt;"control"),H312,0)</f>
        <v>0</v>
      </c>
      <c r="K312">
        <f>IF(D312="dram",H312,0)</f>
        <v>119</v>
      </c>
      <c r="L312">
        <v>1280</v>
      </c>
      <c r="M312">
        <v>0</v>
      </c>
    </row>
    <row r="313" spans="1:13">
      <c r="A313">
        <v>311</v>
      </c>
      <c r="B313" t="s">
        <v>202</v>
      </c>
      <c r="C313" t="s">
        <v>78</v>
      </c>
      <c r="D313" t="s">
        <v>79</v>
      </c>
      <c r="E313" t="s">
        <v>186</v>
      </c>
      <c r="F313">
        <v>96</v>
      </c>
      <c r="G313">
        <f>MAX(I309,I312)</f>
        <v>1173847</v>
      </c>
      <c r="H313">
        <f>CEILING((dram_access_latency+F313/dram_bandwidth)*frequency,1)</f>
        <v>102</v>
      </c>
      <c r="I313">
        <f>G313+H313</f>
        <v>1173949</v>
      </c>
      <c r="J313">
        <f>IF(AND(D313&lt;&gt;"dram",D313&lt;&gt;"control"),H313,0)</f>
        <v>0</v>
      </c>
      <c r="K313">
        <f>IF(D313="dram",H313,0)</f>
        <v>102</v>
      </c>
      <c r="L313">
        <v>96</v>
      </c>
      <c r="M313">
        <v>0</v>
      </c>
    </row>
    <row r="314" spans="1:13">
      <c r="A314">
        <v>312</v>
      </c>
      <c r="B314" t="s">
        <v>203</v>
      </c>
      <c r="C314" t="s">
        <v>78</v>
      </c>
      <c r="D314" t="s">
        <v>79</v>
      </c>
      <c r="E314" t="s">
        <v>186</v>
      </c>
      <c r="F314">
        <v>2</v>
      </c>
      <c r="G314">
        <f>MAX(I309,I313)</f>
        <v>1173949</v>
      </c>
      <c r="H314">
        <f>CEILING((dram_access_latency+F314/dram_bandwidth)*frequency,1)</f>
        <v>101</v>
      </c>
      <c r="I314">
        <f>G314+H314</f>
        <v>1174050</v>
      </c>
      <c r="J314">
        <f>IF(AND(D314&lt;&gt;"dram",D314&lt;&gt;"control"),H314,0)</f>
        <v>0</v>
      </c>
      <c r="K314">
        <f>IF(D314="dram",H314,0)</f>
        <v>101</v>
      </c>
      <c r="L314">
        <v>2</v>
      </c>
      <c r="M314">
        <v>0</v>
      </c>
    </row>
    <row r="315" spans="1:13">
      <c r="A315">
        <v>313</v>
      </c>
      <c r="B315" t="s">
        <v>36</v>
      </c>
      <c r="C315" t="s">
        <v>85</v>
      </c>
      <c r="D315" t="s">
        <v>17</v>
      </c>
      <c r="E315" t="s">
        <v>186</v>
      </c>
      <c r="F315">
        <v>0</v>
      </c>
      <c r="G315">
        <f>MAX(I308,I263,I311,I312,I313,I314,I310)</f>
        <v>1174050</v>
      </c>
      <c r="H315">
        <f>'Operations'!I14</f>
        <v>1280</v>
      </c>
      <c r="I315">
        <f>G315+H315</f>
        <v>1175330</v>
      </c>
      <c r="J315">
        <f>IF(AND(D315&lt;&gt;"dram",D315&lt;&gt;"control"),H315,0)</f>
        <v>1280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204</v>
      </c>
      <c r="C316" t="s">
        <v>82</v>
      </c>
      <c r="D316" t="s">
        <v>83</v>
      </c>
      <c r="E316" t="s">
        <v>186</v>
      </c>
      <c r="F316">
        <v>0</v>
      </c>
      <c r="G316">
        <f>MAX(I309,I308)</f>
        <v>1172458</v>
      </c>
      <c r="H316">
        <f>0</f>
        <v>1436</v>
      </c>
      <c r="I316">
        <f>G316+H316</f>
        <v>1173894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205</v>
      </c>
      <c r="C317" t="s">
        <v>87</v>
      </c>
      <c r="D317" t="s">
        <v>79</v>
      </c>
      <c r="E317" t="s">
        <v>186</v>
      </c>
      <c r="F317">
        <v>640</v>
      </c>
      <c r="G317">
        <f>MAX(I316,I314)</f>
        <v>1174050</v>
      </c>
      <c r="H317">
        <f>CEILING((dram_access_latency+F317/dram_bandwidth)*frequency,1)</f>
        <v>110</v>
      </c>
      <c r="I317">
        <f>G317+H317</f>
        <v>1174160</v>
      </c>
      <c r="J317">
        <f>IF(AND(D317&lt;&gt;"dram",D317&lt;&gt;"control"),H317,0)</f>
        <v>0</v>
      </c>
      <c r="K317">
        <f>IF(D317="dram",H317,0)</f>
        <v>110</v>
      </c>
      <c r="L317">
        <v>0</v>
      </c>
      <c r="M317">
        <v>640</v>
      </c>
    </row>
    <row r="318" spans="1:13">
      <c r="A318">
        <v>316</v>
      </c>
      <c r="B318" t="s">
        <v>200</v>
      </c>
      <c r="C318" t="s">
        <v>78</v>
      </c>
      <c r="D318" t="s">
        <v>79</v>
      </c>
      <c r="E318" t="s">
        <v>187</v>
      </c>
      <c r="F318">
        <v>61440</v>
      </c>
      <c r="G318">
        <f>MAX(I316,I317)</f>
        <v>1174160</v>
      </c>
      <c r="H318">
        <f>CEILING((dram_access_latency+F318/dram_bandwidth)*frequency,1)</f>
        <v>1004</v>
      </c>
      <c r="I318">
        <f>G318+H318</f>
        <v>1175164</v>
      </c>
      <c r="J318">
        <f>IF(AND(D318&lt;&gt;"dram",D318&lt;&gt;"control"),H318,0)</f>
        <v>0</v>
      </c>
      <c r="K318">
        <f>IF(D318="dram",H318,0)</f>
        <v>1004</v>
      </c>
      <c r="L318">
        <v>61440</v>
      </c>
      <c r="M318">
        <v>0</v>
      </c>
    </row>
    <row r="319" spans="1:13">
      <c r="A319">
        <v>317</v>
      </c>
      <c r="B319" t="s">
        <v>201</v>
      </c>
      <c r="C319" t="s">
        <v>78</v>
      </c>
      <c r="D319" t="s">
        <v>79</v>
      </c>
      <c r="E319" t="s">
        <v>187</v>
      </c>
      <c r="F319">
        <v>1280</v>
      </c>
      <c r="G319">
        <f>MAX(I316,I318)</f>
        <v>1175164</v>
      </c>
      <c r="H319">
        <f>CEILING((dram_access_latency+F319/dram_bandwidth)*frequency,1)</f>
        <v>119</v>
      </c>
      <c r="I319">
        <f>G319+H319</f>
        <v>1175283</v>
      </c>
      <c r="J319">
        <f>IF(AND(D319&lt;&gt;"dram",D319&lt;&gt;"control"),H319,0)</f>
        <v>0</v>
      </c>
      <c r="K319">
        <f>IF(D319="dram",H319,0)</f>
        <v>119</v>
      </c>
      <c r="L319">
        <v>1280</v>
      </c>
      <c r="M319">
        <v>0</v>
      </c>
    </row>
    <row r="320" spans="1:13">
      <c r="A320">
        <v>318</v>
      </c>
      <c r="B320" t="s">
        <v>202</v>
      </c>
      <c r="C320" t="s">
        <v>78</v>
      </c>
      <c r="D320" t="s">
        <v>79</v>
      </c>
      <c r="E320" t="s">
        <v>187</v>
      </c>
      <c r="F320">
        <v>96</v>
      </c>
      <c r="G320">
        <f>MAX(I316,I319)</f>
        <v>1175283</v>
      </c>
      <c r="H320">
        <f>CEILING((dram_access_latency+F320/dram_bandwidth)*frequency,1)</f>
        <v>102</v>
      </c>
      <c r="I320">
        <f>G320+H320</f>
        <v>1175385</v>
      </c>
      <c r="J320">
        <f>IF(AND(D320&lt;&gt;"dram",D320&lt;&gt;"control"),H320,0)</f>
        <v>0</v>
      </c>
      <c r="K320">
        <f>IF(D320="dram",H320,0)</f>
        <v>102</v>
      </c>
      <c r="L320">
        <v>96</v>
      </c>
      <c r="M320">
        <v>0</v>
      </c>
    </row>
    <row r="321" spans="1:13">
      <c r="A321">
        <v>319</v>
      </c>
      <c r="B321" t="s">
        <v>203</v>
      </c>
      <c r="C321" t="s">
        <v>78</v>
      </c>
      <c r="D321" t="s">
        <v>79</v>
      </c>
      <c r="E321" t="s">
        <v>187</v>
      </c>
      <c r="F321">
        <v>2</v>
      </c>
      <c r="G321">
        <f>MAX(I316,I320)</f>
        <v>1175385</v>
      </c>
      <c r="H321">
        <f>CEILING((dram_access_latency+F321/dram_bandwidth)*frequency,1)</f>
        <v>101</v>
      </c>
      <c r="I321">
        <f>G321+H321</f>
        <v>1175486</v>
      </c>
      <c r="J321">
        <f>IF(AND(D321&lt;&gt;"dram",D321&lt;&gt;"control"),H321,0)</f>
        <v>0</v>
      </c>
      <c r="K321">
        <f>IF(D321="dram",H321,0)</f>
        <v>101</v>
      </c>
      <c r="L321">
        <v>2</v>
      </c>
      <c r="M321">
        <v>0</v>
      </c>
    </row>
    <row r="322" spans="1:13">
      <c r="A322">
        <v>320</v>
      </c>
      <c r="B322" t="s">
        <v>36</v>
      </c>
      <c r="C322" t="s">
        <v>85</v>
      </c>
      <c r="D322" t="s">
        <v>17</v>
      </c>
      <c r="E322" t="s">
        <v>187</v>
      </c>
      <c r="F322">
        <v>0</v>
      </c>
      <c r="G322">
        <f>MAX(I315,I263,I318,I319,I320,I321,I317)</f>
        <v>1175486</v>
      </c>
      <c r="H322">
        <f>'Operations'!I14</f>
        <v>1280</v>
      </c>
      <c r="I322">
        <f>G322+H322</f>
        <v>1176766</v>
      </c>
      <c r="J322">
        <f>IF(AND(D322&lt;&gt;"dram",D322&lt;&gt;"control"),H322,0)</f>
        <v>1280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204</v>
      </c>
      <c r="C323" t="s">
        <v>82</v>
      </c>
      <c r="D323" t="s">
        <v>83</v>
      </c>
      <c r="E323" t="s">
        <v>187</v>
      </c>
      <c r="F323">
        <v>0</v>
      </c>
      <c r="G323">
        <f>MAX(I316,I315)</f>
        <v>1173894</v>
      </c>
      <c r="H323">
        <f>0</f>
        <v>1436</v>
      </c>
      <c r="I323">
        <f>G323+H323</f>
        <v>1175330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205</v>
      </c>
      <c r="C324" t="s">
        <v>87</v>
      </c>
      <c r="D324" t="s">
        <v>79</v>
      </c>
      <c r="E324" t="s">
        <v>187</v>
      </c>
      <c r="F324">
        <v>640</v>
      </c>
      <c r="G324">
        <f>MAX(I323,I321)</f>
        <v>1175486</v>
      </c>
      <c r="H324">
        <f>CEILING((dram_access_latency+F324/dram_bandwidth)*frequency,1)</f>
        <v>110</v>
      </c>
      <c r="I324">
        <f>G324+H324</f>
        <v>1175596</v>
      </c>
      <c r="J324">
        <f>IF(AND(D324&lt;&gt;"dram",D324&lt;&gt;"control"),H324,0)</f>
        <v>0</v>
      </c>
      <c r="K324">
        <f>IF(D324="dram",H324,0)</f>
        <v>110</v>
      </c>
      <c r="L324">
        <v>0</v>
      </c>
      <c r="M324">
        <v>640</v>
      </c>
    </row>
    <row r="325" spans="1:13">
      <c r="A325">
        <v>323</v>
      </c>
      <c r="B325" t="s">
        <v>200</v>
      </c>
      <c r="C325" t="s">
        <v>78</v>
      </c>
      <c r="D325" t="s">
        <v>79</v>
      </c>
      <c r="E325" t="s">
        <v>188</v>
      </c>
      <c r="F325">
        <v>61440</v>
      </c>
      <c r="G325">
        <f>MAX(I323,I324)</f>
        <v>1175596</v>
      </c>
      <c r="H325">
        <f>CEILING((dram_access_latency+F325/dram_bandwidth)*frequency,1)</f>
        <v>1004</v>
      </c>
      <c r="I325">
        <f>G325+H325</f>
        <v>1176600</v>
      </c>
      <c r="J325">
        <f>IF(AND(D325&lt;&gt;"dram",D325&lt;&gt;"control"),H325,0)</f>
        <v>0</v>
      </c>
      <c r="K325">
        <f>IF(D325="dram",H325,0)</f>
        <v>1004</v>
      </c>
      <c r="L325">
        <v>61440</v>
      </c>
      <c r="M325">
        <v>0</v>
      </c>
    </row>
    <row r="326" spans="1:13">
      <c r="A326">
        <v>324</v>
      </c>
      <c r="B326" t="s">
        <v>201</v>
      </c>
      <c r="C326" t="s">
        <v>78</v>
      </c>
      <c r="D326" t="s">
        <v>79</v>
      </c>
      <c r="E326" t="s">
        <v>188</v>
      </c>
      <c r="F326">
        <v>1280</v>
      </c>
      <c r="G326">
        <f>MAX(I323,I325)</f>
        <v>1176600</v>
      </c>
      <c r="H326">
        <f>CEILING((dram_access_latency+F326/dram_bandwidth)*frequency,1)</f>
        <v>119</v>
      </c>
      <c r="I326">
        <f>G326+H326</f>
        <v>1176719</v>
      </c>
      <c r="J326">
        <f>IF(AND(D326&lt;&gt;"dram",D326&lt;&gt;"control"),H326,0)</f>
        <v>0</v>
      </c>
      <c r="K326">
        <f>IF(D326="dram",H326,0)</f>
        <v>119</v>
      </c>
      <c r="L326">
        <v>1280</v>
      </c>
      <c r="M326">
        <v>0</v>
      </c>
    </row>
    <row r="327" spans="1:13">
      <c r="A327">
        <v>325</v>
      </c>
      <c r="B327" t="s">
        <v>202</v>
      </c>
      <c r="C327" t="s">
        <v>78</v>
      </c>
      <c r="D327" t="s">
        <v>79</v>
      </c>
      <c r="E327" t="s">
        <v>188</v>
      </c>
      <c r="F327">
        <v>96</v>
      </c>
      <c r="G327">
        <f>MAX(I323,I326)</f>
        <v>1176719</v>
      </c>
      <c r="H327">
        <f>CEILING((dram_access_latency+F327/dram_bandwidth)*frequency,1)</f>
        <v>102</v>
      </c>
      <c r="I327">
        <f>G327+H327</f>
        <v>1176821</v>
      </c>
      <c r="J327">
        <f>IF(AND(D327&lt;&gt;"dram",D327&lt;&gt;"control"),H327,0)</f>
        <v>0</v>
      </c>
      <c r="K327">
        <f>IF(D327="dram",H327,0)</f>
        <v>102</v>
      </c>
      <c r="L327">
        <v>96</v>
      </c>
      <c r="M327">
        <v>0</v>
      </c>
    </row>
    <row r="328" spans="1:13">
      <c r="A328">
        <v>326</v>
      </c>
      <c r="B328" t="s">
        <v>203</v>
      </c>
      <c r="C328" t="s">
        <v>78</v>
      </c>
      <c r="D328" t="s">
        <v>79</v>
      </c>
      <c r="E328" t="s">
        <v>188</v>
      </c>
      <c r="F328">
        <v>2</v>
      </c>
      <c r="G328">
        <f>MAX(I323,I327)</f>
        <v>1176821</v>
      </c>
      <c r="H328">
        <f>CEILING((dram_access_latency+F328/dram_bandwidth)*frequency,1)</f>
        <v>101</v>
      </c>
      <c r="I328">
        <f>G328+H328</f>
        <v>1176922</v>
      </c>
      <c r="J328">
        <f>IF(AND(D328&lt;&gt;"dram",D328&lt;&gt;"control"),H328,0)</f>
        <v>0</v>
      </c>
      <c r="K328">
        <f>IF(D328="dram",H328,0)</f>
        <v>101</v>
      </c>
      <c r="L328">
        <v>2</v>
      </c>
      <c r="M328">
        <v>0</v>
      </c>
    </row>
    <row r="329" spans="1:13">
      <c r="A329">
        <v>327</v>
      </c>
      <c r="B329" t="s">
        <v>36</v>
      </c>
      <c r="C329" t="s">
        <v>85</v>
      </c>
      <c r="D329" t="s">
        <v>17</v>
      </c>
      <c r="E329" t="s">
        <v>188</v>
      </c>
      <c r="F329">
        <v>0</v>
      </c>
      <c r="G329">
        <f>MAX(I322,I263,I325,I326,I327,I328,I324)</f>
        <v>1176922</v>
      </c>
      <c r="H329">
        <f>'Operations'!I14</f>
        <v>1280</v>
      </c>
      <c r="I329">
        <f>G329+H329</f>
        <v>1178202</v>
      </c>
      <c r="J329">
        <f>IF(AND(D329&lt;&gt;"dram",D329&lt;&gt;"control"),H329,0)</f>
        <v>1280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204</v>
      </c>
      <c r="C330" t="s">
        <v>82</v>
      </c>
      <c r="D330" t="s">
        <v>83</v>
      </c>
      <c r="E330" t="s">
        <v>188</v>
      </c>
      <c r="F330">
        <v>0</v>
      </c>
      <c r="G330">
        <f>MAX(I323,I322)</f>
        <v>1175330</v>
      </c>
      <c r="H330">
        <f>0</f>
        <v>1436</v>
      </c>
      <c r="I330">
        <f>G330+H330</f>
        <v>1176766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205</v>
      </c>
      <c r="C331" t="s">
        <v>87</v>
      </c>
      <c r="D331" t="s">
        <v>79</v>
      </c>
      <c r="E331" t="s">
        <v>188</v>
      </c>
      <c r="F331">
        <v>640</v>
      </c>
      <c r="G331">
        <f>MAX(I330,I328)</f>
        <v>1176922</v>
      </c>
      <c r="H331">
        <f>CEILING((dram_access_latency+F331/dram_bandwidth)*frequency,1)</f>
        <v>110</v>
      </c>
      <c r="I331">
        <f>G331+H331</f>
        <v>1177032</v>
      </c>
      <c r="J331">
        <f>IF(AND(D331&lt;&gt;"dram",D331&lt;&gt;"control"),H331,0)</f>
        <v>0</v>
      </c>
      <c r="K331">
        <f>IF(D331="dram",H331,0)</f>
        <v>110</v>
      </c>
      <c r="L331">
        <v>0</v>
      </c>
      <c r="M331">
        <v>640</v>
      </c>
    </row>
    <row r="332" spans="1:13">
      <c r="A332">
        <v>330</v>
      </c>
      <c r="B332" t="s">
        <v>200</v>
      </c>
      <c r="C332" t="s">
        <v>78</v>
      </c>
      <c r="D332" t="s">
        <v>79</v>
      </c>
      <c r="E332" t="s">
        <v>189</v>
      </c>
      <c r="F332">
        <v>61440</v>
      </c>
      <c r="G332">
        <f>MAX(I330,I331)</f>
        <v>1177032</v>
      </c>
      <c r="H332">
        <f>CEILING((dram_access_latency+F332/dram_bandwidth)*frequency,1)</f>
        <v>1004</v>
      </c>
      <c r="I332">
        <f>G332+H332</f>
        <v>1178036</v>
      </c>
      <c r="J332">
        <f>IF(AND(D332&lt;&gt;"dram",D332&lt;&gt;"control"),H332,0)</f>
        <v>0</v>
      </c>
      <c r="K332">
        <f>IF(D332="dram",H332,0)</f>
        <v>1004</v>
      </c>
      <c r="L332">
        <v>61440</v>
      </c>
      <c r="M332">
        <v>0</v>
      </c>
    </row>
    <row r="333" spans="1:13">
      <c r="A333">
        <v>331</v>
      </c>
      <c r="B333" t="s">
        <v>201</v>
      </c>
      <c r="C333" t="s">
        <v>78</v>
      </c>
      <c r="D333" t="s">
        <v>79</v>
      </c>
      <c r="E333" t="s">
        <v>189</v>
      </c>
      <c r="F333">
        <v>1280</v>
      </c>
      <c r="G333">
        <f>MAX(I330,I332)</f>
        <v>1178036</v>
      </c>
      <c r="H333">
        <f>CEILING((dram_access_latency+F333/dram_bandwidth)*frequency,1)</f>
        <v>119</v>
      </c>
      <c r="I333">
        <f>G333+H333</f>
        <v>1178155</v>
      </c>
      <c r="J333">
        <f>IF(AND(D333&lt;&gt;"dram",D333&lt;&gt;"control"),H333,0)</f>
        <v>0</v>
      </c>
      <c r="K333">
        <f>IF(D333="dram",H333,0)</f>
        <v>119</v>
      </c>
      <c r="L333">
        <v>1280</v>
      </c>
      <c r="M333">
        <v>0</v>
      </c>
    </row>
    <row r="334" spans="1:13">
      <c r="A334">
        <v>332</v>
      </c>
      <c r="B334" t="s">
        <v>202</v>
      </c>
      <c r="C334" t="s">
        <v>78</v>
      </c>
      <c r="D334" t="s">
        <v>79</v>
      </c>
      <c r="E334" t="s">
        <v>189</v>
      </c>
      <c r="F334">
        <v>96</v>
      </c>
      <c r="G334">
        <f>MAX(I330,I333)</f>
        <v>1178155</v>
      </c>
      <c r="H334">
        <f>CEILING((dram_access_latency+F334/dram_bandwidth)*frequency,1)</f>
        <v>102</v>
      </c>
      <c r="I334">
        <f>G334+H334</f>
        <v>1178257</v>
      </c>
      <c r="J334">
        <f>IF(AND(D334&lt;&gt;"dram",D334&lt;&gt;"control"),H334,0)</f>
        <v>0</v>
      </c>
      <c r="K334">
        <f>IF(D334="dram",H334,0)</f>
        <v>102</v>
      </c>
      <c r="L334">
        <v>96</v>
      </c>
      <c r="M334">
        <v>0</v>
      </c>
    </row>
    <row r="335" spans="1:13">
      <c r="A335">
        <v>333</v>
      </c>
      <c r="B335" t="s">
        <v>203</v>
      </c>
      <c r="C335" t="s">
        <v>78</v>
      </c>
      <c r="D335" t="s">
        <v>79</v>
      </c>
      <c r="E335" t="s">
        <v>189</v>
      </c>
      <c r="F335">
        <v>2</v>
      </c>
      <c r="G335">
        <f>MAX(I330,I334)</f>
        <v>1178257</v>
      </c>
      <c r="H335">
        <f>CEILING((dram_access_latency+F335/dram_bandwidth)*frequency,1)</f>
        <v>101</v>
      </c>
      <c r="I335">
        <f>G335+H335</f>
        <v>1178358</v>
      </c>
      <c r="J335">
        <f>IF(AND(D335&lt;&gt;"dram",D335&lt;&gt;"control"),H335,0)</f>
        <v>0</v>
      </c>
      <c r="K335">
        <f>IF(D335="dram",H335,0)</f>
        <v>101</v>
      </c>
      <c r="L335">
        <v>2</v>
      </c>
      <c r="M335">
        <v>0</v>
      </c>
    </row>
    <row r="336" spans="1:13">
      <c r="A336">
        <v>334</v>
      </c>
      <c r="B336" t="s">
        <v>36</v>
      </c>
      <c r="C336" t="s">
        <v>85</v>
      </c>
      <c r="D336" t="s">
        <v>17</v>
      </c>
      <c r="E336" t="s">
        <v>189</v>
      </c>
      <c r="F336">
        <v>0</v>
      </c>
      <c r="G336">
        <f>MAX(I329,I263,I332,I333,I334,I335,I331)</f>
        <v>1178358</v>
      </c>
      <c r="H336">
        <f>'Operations'!I14</f>
        <v>1280</v>
      </c>
      <c r="I336">
        <f>G336+H336</f>
        <v>1179638</v>
      </c>
      <c r="J336">
        <f>IF(AND(D336&lt;&gt;"dram",D336&lt;&gt;"control"),H336,0)</f>
        <v>1280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204</v>
      </c>
      <c r="C337" t="s">
        <v>82</v>
      </c>
      <c r="D337" t="s">
        <v>83</v>
      </c>
      <c r="E337" t="s">
        <v>189</v>
      </c>
      <c r="F337">
        <v>0</v>
      </c>
      <c r="G337">
        <f>MAX(I330,I329)</f>
        <v>1176766</v>
      </c>
      <c r="H337">
        <f>0</f>
        <v>1436</v>
      </c>
      <c r="I337">
        <f>G337+H337</f>
        <v>1178202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205</v>
      </c>
      <c r="C338" t="s">
        <v>87</v>
      </c>
      <c r="D338" t="s">
        <v>79</v>
      </c>
      <c r="E338" t="s">
        <v>189</v>
      </c>
      <c r="F338">
        <v>640</v>
      </c>
      <c r="G338">
        <f>MAX(I337,I335)</f>
        <v>1178358</v>
      </c>
      <c r="H338">
        <f>CEILING((dram_access_latency+F338/dram_bandwidth)*frequency,1)</f>
        <v>110</v>
      </c>
      <c r="I338">
        <f>G338+H338</f>
        <v>1178468</v>
      </c>
      <c r="J338">
        <f>IF(AND(D338&lt;&gt;"dram",D338&lt;&gt;"control"),H338,0)</f>
        <v>0</v>
      </c>
      <c r="K338">
        <f>IF(D338="dram",H338,0)</f>
        <v>110</v>
      </c>
      <c r="L338">
        <v>0</v>
      </c>
      <c r="M338">
        <v>640</v>
      </c>
    </row>
    <row r="339" spans="1:13">
      <c r="A339">
        <v>337</v>
      </c>
      <c r="B339" t="s">
        <v>200</v>
      </c>
      <c r="C339" t="s">
        <v>78</v>
      </c>
      <c r="D339" t="s">
        <v>79</v>
      </c>
      <c r="E339" t="s">
        <v>190</v>
      </c>
      <c r="F339">
        <v>61440</v>
      </c>
      <c r="G339">
        <f>MAX(I337,I338)</f>
        <v>1178468</v>
      </c>
      <c r="H339">
        <f>CEILING((dram_access_latency+F339/dram_bandwidth)*frequency,1)</f>
        <v>1004</v>
      </c>
      <c r="I339">
        <f>G339+H339</f>
        <v>1179472</v>
      </c>
      <c r="J339">
        <f>IF(AND(D339&lt;&gt;"dram",D339&lt;&gt;"control"),H339,0)</f>
        <v>0</v>
      </c>
      <c r="K339">
        <f>IF(D339="dram",H339,0)</f>
        <v>1004</v>
      </c>
      <c r="L339">
        <v>61440</v>
      </c>
      <c r="M339">
        <v>0</v>
      </c>
    </row>
    <row r="340" spans="1:13">
      <c r="A340">
        <v>338</v>
      </c>
      <c r="B340" t="s">
        <v>201</v>
      </c>
      <c r="C340" t="s">
        <v>78</v>
      </c>
      <c r="D340" t="s">
        <v>79</v>
      </c>
      <c r="E340" t="s">
        <v>190</v>
      </c>
      <c r="F340">
        <v>1280</v>
      </c>
      <c r="G340">
        <f>MAX(I337,I339)</f>
        <v>1179472</v>
      </c>
      <c r="H340">
        <f>CEILING((dram_access_latency+F340/dram_bandwidth)*frequency,1)</f>
        <v>119</v>
      </c>
      <c r="I340">
        <f>G340+H340</f>
        <v>1179591</v>
      </c>
      <c r="J340">
        <f>IF(AND(D340&lt;&gt;"dram",D340&lt;&gt;"control"),H340,0)</f>
        <v>0</v>
      </c>
      <c r="K340">
        <f>IF(D340="dram",H340,0)</f>
        <v>119</v>
      </c>
      <c r="L340">
        <v>1280</v>
      </c>
      <c r="M340">
        <v>0</v>
      </c>
    </row>
    <row r="341" spans="1:13">
      <c r="A341">
        <v>339</v>
      </c>
      <c r="B341" t="s">
        <v>202</v>
      </c>
      <c r="C341" t="s">
        <v>78</v>
      </c>
      <c r="D341" t="s">
        <v>79</v>
      </c>
      <c r="E341" t="s">
        <v>190</v>
      </c>
      <c r="F341">
        <v>96</v>
      </c>
      <c r="G341">
        <f>MAX(I337,I340)</f>
        <v>1179591</v>
      </c>
      <c r="H341">
        <f>CEILING((dram_access_latency+F341/dram_bandwidth)*frequency,1)</f>
        <v>102</v>
      </c>
      <c r="I341">
        <f>G341+H341</f>
        <v>1179693</v>
      </c>
      <c r="J341">
        <f>IF(AND(D341&lt;&gt;"dram",D341&lt;&gt;"control"),H341,0)</f>
        <v>0</v>
      </c>
      <c r="K341">
        <f>IF(D341="dram",H341,0)</f>
        <v>102</v>
      </c>
      <c r="L341">
        <v>96</v>
      </c>
      <c r="M341">
        <v>0</v>
      </c>
    </row>
    <row r="342" spans="1:13">
      <c r="A342">
        <v>340</v>
      </c>
      <c r="B342" t="s">
        <v>203</v>
      </c>
      <c r="C342" t="s">
        <v>78</v>
      </c>
      <c r="D342" t="s">
        <v>79</v>
      </c>
      <c r="E342" t="s">
        <v>190</v>
      </c>
      <c r="F342">
        <v>2</v>
      </c>
      <c r="G342">
        <f>MAX(I337,I341)</f>
        <v>1179693</v>
      </c>
      <c r="H342">
        <f>CEILING((dram_access_latency+F342/dram_bandwidth)*frequency,1)</f>
        <v>101</v>
      </c>
      <c r="I342">
        <f>G342+H342</f>
        <v>1179794</v>
      </c>
      <c r="J342">
        <f>IF(AND(D342&lt;&gt;"dram",D342&lt;&gt;"control"),H342,0)</f>
        <v>0</v>
      </c>
      <c r="K342">
        <f>IF(D342="dram",H342,0)</f>
        <v>101</v>
      </c>
      <c r="L342">
        <v>2</v>
      </c>
      <c r="M342">
        <v>0</v>
      </c>
    </row>
    <row r="343" spans="1:13">
      <c r="A343">
        <v>341</v>
      </c>
      <c r="B343" t="s">
        <v>36</v>
      </c>
      <c r="C343" t="s">
        <v>85</v>
      </c>
      <c r="D343" t="s">
        <v>17</v>
      </c>
      <c r="E343" t="s">
        <v>190</v>
      </c>
      <c r="F343">
        <v>0</v>
      </c>
      <c r="G343">
        <f>MAX(I336,I263,I339,I340,I341,I342,I338)</f>
        <v>1179794</v>
      </c>
      <c r="H343">
        <f>'Operations'!I14</f>
        <v>1280</v>
      </c>
      <c r="I343">
        <f>G343+H343</f>
        <v>1181074</v>
      </c>
      <c r="J343">
        <f>IF(AND(D343&lt;&gt;"dram",D343&lt;&gt;"control"),H343,0)</f>
        <v>1280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204</v>
      </c>
      <c r="C344" t="s">
        <v>82</v>
      </c>
      <c r="D344" t="s">
        <v>83</v>
      </c>
      <c r="E344" t="s">
        <v>190</v>
      </c>
      <c r="F344">
        <v>0</v>
      </c>
      <c r="G344">
        <f>MAX(I337,I336)</f>
        <v>1178202</v>
      </c>
      <c r="H344">
        <f>0</f>
        <v>1436</v>
      </c>
      <c r="I344">
        <f>G344+H344</f>
        <v>1179638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205</v>
      </c>
      <c r="C345" t="s">
        <v>87</v>
      </c>
      <c r="D345" t="s">
        <v>79</v>
      </c>
      <c r="E345" t="s">
        <v>190</v>
      </c>
      <c r="F345">
        <v>640</v>
      </c>
      <c r="G345">
        <f>MAX(I344,I342)</f>
        <v>1179794</v>
      </c>
      <c r="H345">
        <f>CEILING((dram_access_latency+F345/dram_bandwidth)*frequency,1)</f>
        <v>110</v>
      </c>
      <c r="I345">
        <f>G345+H345</f>
        <v>1179904</v>
      </c>
      <c r="J345">
        <f>IF(AND(D345&lt;&gt;"dram",D345&lt;&gt;"control"),H345,0)</f>
        <v>0</v>
      </c>
      <c r="K345">
        <f>IF(D345="dram",H345,0)</f>
        <v>110</v>
      </c>
      <c r="L345">
        <v>0</v>
      </c>
      <c r="M345">
        <v>640</v>
      </c>
    </row>
    <row r="346" spans="1:13">
      <c r="A346">
        <v>344</v>
      </c>
      <c r="B346" t="s">
        <v>200</v>
      </c>
      <c r="C346" t="s">
        <v>78</v>
      </c>
      <c r="D346" t="s">
        <v>79</v>
      </c>
      <c r="E346" t="s">
        <v>191</v>
      </c>
      <c r="F346">
        <v>61440</v>
      </c>
      <c r="G346">
        <f>MAX(I344,I345)</f>
        <v>1179904</v>
      </c>
      <c r="H346">
        <f>CEILING((dram_access_latency+F346/dram_bandwidth)*frequency,1)</f>
        <v>1004</v>
      </c>
      <c r="I346">
        <f>G346+H346</f>
        <v>1180908</v>
      </c>
      <c r="J346">
        <f>IF(AND(D346&lt;&gt;"dram",D346&lt;&gt;"control"),H346,0)</f>
        <v>0</v>
      </c>
      <c r="K346">
        <f>IF(D346="dram",H346,0)</f>
        <v>1004</v>
      </c>
      <c r="L346">
        <v>61440</v>
      </c>
      <c r="M346">
        <v>0</v>
      </c>
    </row>
    <row r="347" spans="1:13">
      <c r="A347">
        <v>345</v>
      </c>
      <c r="B347" t="s">
        <v>201</v>
      </c>
      <c r="C347" t="s">
        <v>78</v>
      </c>
      <c r="D347" t="s">
        <v>79</v>
      </c>
      <c r="E347" t="s">
        <v>191</v>
      </c>
      <c r="F347">
        <v>1280</v>
      </c>
      <c r="G347">
        <f>MAX(I344,I346)</f>
        <v>1180908</v>
      </c>
      <c r="H347">
        <f>CEILING((dram_access_latency+F347/dram_bandwidth)*frequency,1)</f>
        <v>119</v>
      </c>
      <c r="I347">
        <f>G347+H347</f>
        <v>1181027</v>
      </c>
      <c r="J347">
        <f>IF(AND(D347&lt;&gt;"dram",D347&lt;&gt;"control"),H347,0)</f>
        <v>0</v>
      </c>
      <c r="K347">
        <f>IF(D347="dram",H347,0)</f>
        <v>119</v>
      </c>
      <c r="L347">
        <v>1280</v>
      </c>
      <c r="M347">
        <v>0</v>
      </c>
    </row>
    <row r="348" spans="1:13">
      <c r="A348">
        <v>346</v>
      </c>
      <c r="B348" t="s">
        <v>202</v>
      </c>
      <c r="C348" t="s">
        <v>78</v>
      </c>
      <c r="D348" t="s">
        <v>79</v>
      </c>
      <c r="E348" t="s">
        <v>191</v>
      </c>
      <c r="F348">
        <v>96</v>
      </c>
      <c r="G348">
        <f>MAX(I344,I347)</f>
        <v>1181027</v>
      </c>
      <c r="H348">
        <f>CEILING((dram_access_latency+F348/dram_bandwidth)*frequency,1)</f>
        <v>102</v>
      </c>
      <c r="I348">
        <f>G348+H348</f>
        <v>1181129</v>
      </c>
      <c r="J348">
        <f>IF(AND(D348&lt;&gt;"dram",D348&lt;&gt;"control"),H348,0)</f>
        <v>0</v>
      </c>
      <c r="K348">
        <f>IF(D348="dram",H348,0)</f>
        <v>102</v>
      </c>
      <c r="L348">
        <v>96</v>
      </c>
      <c r="M348">
        <v>0</v>
      </c>
    </row>
    <row r="349" spans="1:13">
      <c r="A349">
        <v>347</v>
      </c>
      <c r="B349" t="s">
        <v>203</v>
      </c>
      <c r="C349" t="s">
        <v>78</v>
      </c>
      <c r="D349" t="s">
        <v>79</v>
      </c>
      <c r="E349" t="s">
        <v>191</v>
      </c>
      <c r="F349">
        <v>2</v>
      </c>
      <c r="G349">
        <f>MAX(I344,I348)</f>
        <v>1181129</v>
      </c>
      <c r="H349">
        <f>CEILING((dram_access_latency+F349/dram_bandwidth)*frequency,1)</f>
        <v>101</v>
      </c>
      <c r="I349">
        <f>G349+H349</f>
        <v>1181230</v>
      </c>
      <c r="J349">
        <f>IF(AND(D349&lt;&gt;"dram",D349&lt;&gt;"control"),H349,0)</f>
        <v>0</v>
      </c>
      <c r="K349">
        <f>IF(D349="dram",H349,0)</f>
        <v>101</v>
      </c>
      <c r="L349">
        <v>2</v>
      </c>
      <c r="M349">
        <v>0</v>
      </c>
    </row>
    <row r="350" spans="1:13">
      <c r="A350">
        <v>348</v>
      </c>
      <c r="B350" t="s">
        <v>36</v>
      </c>
      <c r="C350" t="s">
        <v>85</v>
      </c>
      <c r="D350" t="s">
        <v>17</v>
      </c>
      <c r="E350" t="s">
        <v>191</v>
      </c>
      <c r="F350">
        <v>0</v>
      </c>
      <c r="G350">
        <f>MAX(I343,I263,I346,I347,I348,I349,I345)</f>
        <v>1181230</v>
      </c>
      <c r="H350">
        <f>'Operations'!I14</f>
        <v>1280</v>
      </c>
      <c r="I350">
        <f>G350+H350</f>
        <v>1182510</v>
      </c>
      <c r="J350">
        <f>IF(AND(D350&lt;&gt;"dram",D350&lt;&gt;"control"),H350,0)</f>
        <v>1280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204</v>
      </c>
      <c r="C351" t="s">
        <v>82</v>
      </c>
      <c r="D351" t="s">
        <v>83</v>
      </c>
      <c r="E351" t="s">
        <v>191</v>
      </c>
      <c r="F351">
        <v>0</v>
      </c>
      <c r="G351">
        <f>MAX(I344,I343)</f>
        <v>1179638</v>
      </c>
      <c r="H351">
        <f>0</f>
        <v>1436</v>
      </c>
      <c r="I351">
        <f>G351+H351</f>
        <v>1181074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205</v>
      </c>
      <c r="C352" t="s">
        <v>87</v>
      </c>
      <c r="D352" t="s">
        <v>79</v>
      </c>
      <c r="E352" t="s">
        <v>191</v>
      </c>
      <c r="F352">
        <v>640</v>
      </c>
      <c r="G352">
        <f>MAX(I351,I349)</f>
        <v>1181230</v>
      </c>
      <c r="H352">
        <f>CEILING((dram_access_latency+F352/dram_bandwidth)*frequency,1)</f>
        <v>110</v>
      </c>
      <c r="I352">
        <f>G352+H352</f>
        <v>1181340</v>
      </c>
      <c r="J352">
        <f>IF(AND(D352&lt;&gt;"dram",D352&lt;&gt;"control"),H352,0)</f>
        <v>0</v>
      </c>
      <c r="K352">
        <f>IF(D352="dram",H352,0)</f>
        <v>110</v>
      </c>
      <c r="L352">
        <v>0</v>
      </c>
      <c r="M352">
        <v>640</v>
      </c>
    </row>
    <row r="353" spans="1:13">
      <c r="A353">
        <v>351</v>
      </c>
      <c r="B353" t="s">
        <v>200</v>
      </c>
      <c r="C353" t="s">
        <v>78</v>
      </c>
      <c r="D353" t="s">
        <v>79</v>
      </c>
      <c r="E353" t="s">
        <v>192</v>
      </c>
      <c r="F353">
        <v>61440</v>
      </c>
      <c r="G353">
        <f>MAX(I351,I352)</f>
        <v>1181340</v>
      </c>
      <c r="H353">
        <f>CEILING((dram_access_latency+F353/dram_bandwidth)*frequency,1)</f>
        <v>1004</v>
      </c>
      <c r="I353">
        <f>G353+H353</f>
        <v>1182344</v>
      </c>
      <c r="J353">
        <f>IF(AND(D353&lt;&gt;"dram",D353&lt;&gt;"control"),H353,0)</f>
        <v>0</v>
      </c>
      <c r="K353">
        <f>IF(D353="dram",H353,0)</f>
        <v>1004</v>
      </c>
      <c r="L353">
        <v>61440</v>
      </c>
      <c r="M353">
        <v>0</v>
      </c>
    </row>
    <row r="354" spans="1:13">
      <c r="A354">
        <v>352</v>
      </c>
      <c r="B354" t="s">
        <v>201</v>
      </c>
      <c r="C354" t="s">
        <v>78</v>
      </c>
      <c r="D354" t="s">
        <v>79</v>
      </c>
      <c r="E354" t="s">
        <v>192</v>
      </c>
      <c r="F354">
        <v>1280</v>
      </c>
      <c r="G354">
        <f>MAX(I351,I353)</f>
        <v>1182344</v>
      </c>
      <c r="H354">
        <f>CEILING((dram_access_latency+F354/dram_bandwidth)*frequency,1)</f>
        <v>119</v>
      </c>
      <c r="I354">
        <f>G354+H354</f>
        <v>1182463</v>
      </c>
      <c r="J354">
        <f>IF(AND(D354&lt;&gt;"dram",D354&lt;&gt;"control"),H354,0)</f>
        <v>0</v>
      </c>
      <c r="K354">
        <f>IF(D354="dram",H354,0)</f>
        <v>119</v>
      </c>
      <c r="L354">
        <v>1280</v>
      </c>
      <c r="M354">
        <v>0</v>
      </c>
    </row>
    <row r="355" spans="1:13">
      <c r="A355">
        <v>353</v>
      </c>
      <c r="B355" t="s">
        <v>202</v>
      </c>
      <c r="C355" t="s">
        <v>78</v>
      </c>
      <c r="D355" t="s">
        <v>79</v>
      </c>
      <c r="E355" t="s">
        <v>192</v>
      </c>
      <c r="F355">
        <v>96</v>
      </c>
      <c r="G355">
        <f>MAX(I351,I354)</f>
        <v>1182463</v>
      </c>
      <c r="H355">
        <f>CEILING((dram_access_latency+F355/dram_bandwidth)*frequency,1)</f>
        <v>102</v>
      </c>
      <c r="I355">
        <f>G355+H355</f>
        <v>1182565</v>
      </c>
      <c r="J355">
        <f>IF(AND(D355&lt;&gt;"dram",D355&lt;&gt;"control"),H355,0)</f>
        <v>0</v>
      </c>
      <c r="K355">
        <f>IF(D355="dram",H355,0)</f>
        <v>102</v>
      </c>
      <c r="L355">
        <v>96</v>
      </c>
      <c r="M355">
        <v>0</v>
      </c>
    </row>
    <row r="356" spans="1:13">
      <c r="A356">
        <v>354</v>
      </c>
      <c r="B356" t="s">
        <v>203</v>
      </c>
      <c r="C356" t="s">
        <v>78</v>
      </c>
      <c r="D356" t="s">
        <v>79</v>
      </c>
      <c r="E356" t="s">
        <v>192</v>
      </c>
      <c r="F356">
        <v>2</v>
      </c>
      <c r="G356">
        <f>MAX(I351,I355)</f>
        <v>1182565</v>
      </c>
      <c r="H356">
        <f>CEILING((dram_access_latency+F356/dram_bandwidth)*frequency,1)</f>
        <v>101</v>
      </c>
      <c r="I356">
        <f>G356+H356</f>
        <v>1182666</v>
      </c>
      <c r="J356">
        <f>IF(AND(D356&lt;&gt;"dram",D356&lt;&gt;"control"),H356,0)</f>
        <v>0</v>
      </c>
      <c r="K356">
        <f>IF(D356="dram",H356,0)</f>
        <v>101</v>
      </c>
      <c r="L356">
        <v>2</v>
      </c>
      <c r="M356">
        <v>0</v>
      </c>
    </row>
    <row r="357" spans="1:13">
      <c r="A357">
        <v>355</v>
      </c>
      <c r="B357" t="s">
        <v>36</v>
      </c>
      <c r="C357" t="s">
        <v>85</v>
      </c>
      <c r="D357" t="s">
        <v>17</v>
      </c>
      <c r="E357" t="s">
        <v>192</v>
      </c>
      <c r="F357">
        <v>0</v>
      </c>
      <c r="G357">
        <f>MAX(I350,I263,I353,I354,I355,I356,I352)</f>
        <v>1182666</v>
      </c>
      <c r="H357">
        <f>'Operations'!I14</f>
        <v>1280</v>
      </c>
      <c r="I357">
        <f>G357+H357</f>
        <v>1183946</v>
      </c>
      <c r="J357">
        <f>IF(AND(D357&lt;&gt;"dram",D357&lt;&gt;"control"),H357,0)</f>
        <v>1280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204</v>
      </c>
      <c r="C358" t="s">
        <v>82</v>
      </c>
      <c r="D358" t="s">
        <v>83</v>
      </c>
      <c r="E358" t="s">
        <v>192</v>
      </c>
      <c r="F358">
        <v>0</v>
      </c>
      <c r="G358">
        <f>MAX(I351,I350)</f>
        <v>1181074</v>
      </c>
      <c r="H358">
        <f>0</f>
        <v>1436</v>
      </c>
      <c r="I358">
        <f>G358+H358</f>
        <v>1182510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205</v>
      </c>
      <c r="C359" t="s">
        <v>87</v>
      </c>
      <c r="D359" t="s">
        <v>79</v>
      </c>
      <c r="E359" t="s">
        <v>192</v>
      </c>
      <c r="F359">
        <v>640</v>
      </c>
      <c r="G359">
        <f>MAX(I358,I356)</f>
        <v>1182666</v>
      </c>
      <c r="H359">
        <f>CEILING((dram_access_latency+F359/dram_bandwidth)*frequency,1)</f>
        <v>110</v>
      </c>
      <c r="I359">
        <f>G359+H359</f>
        <v>1182776</v>
      </c>
      <c r="J359">
        <f>IF(AND(D359&lt;&gt;"dram",D359&lt;&gt;"control"),H359,0)</f>
        <v>0</v>
      </c>
      <c r="K359">
        <f>IF(D359="dram",H359,0)</f>
        <v>110</v>
      </c>
      <c r="L359">
        <v>0</v>
      </c>
      <c r="M359">
        <v>640</v>
      </c>
    </row>
    <row r="360" spans="1:13">
      <c r="A360">
        <v>358</v>
      </c>
      <c r="B360" t="s">
        <v>200</v>
      </c>
      <c r="C360" t="s">
        <v>78</v>
      </c>
      <c r="D360" t="s">
        <v>79</v>
      </c>
      <c r="E360" t="s">
        <v>193</v>
      </c>
      <c r="F360">
        <v>61440</v>
      </c>
      <c r="G360">
        <f>MAX(I358,I359)</f>
        <v>1182776</v>
      </c>
      <c r="H360">
        <f>CEILING((dram_access_latency+F360/dram_bandwidth)*frequency,1)</f>
        <v>1004</v>
      </c>
      <c r="I360">
        <f>G360+H360</f>
        <v>1183780</v>
      </c>
      <c r="J360">
        <f>IF(AND(D360&lt;&gt;"dram",D360&lt;&gt;"control"),H360,0)</f>
        <v>0</v>
      </c>
      <c r="K360">
        <f>IF(D360="dram",H360,0)</f>
        <v>1004</v>
      </c>
      <c r="L360">
        <v>61440</v>
      </c>
      <c r="M360">
        <v>0</v>
      </c>
    </row>
    <row r="361" spans="1:13">
      <c r="A361">
        <v>359</v>
      </c>
      <c r="B361" t="s">
        <v>201</v>
      </c>
      <c r="C361" t="s">
        <v>78</v>
      </c>
      <c r="D361" t="s">
        <v>79</v>
      </c>
      <c r="E361" t="s">
        <v>193</v>
      </c>
      <c r="F361">
        <v>1280</v>
      </c>
      <c r="G361">
        <f>MAX(I358,I360)</f>
        <v>1183780</v>
      </c>
      <c r="H361">
        <f>CEILING((dram_access_latency+F361/dram_bandwidth)*frequency,1)</f>
        <v>119</v>
      </c>
      <c r="I361">
        <f>G361+H361</f>
        <v>1183899</v>
      </c>
      <c r="J361">
        <f>IF(AND(D361&lt;&gt;"dram",D361&lt;&gt;"control"),H361,0)</f>
        <v>0</v>
      </c>
      <c r="K361">
        <f>IF(D361="dram",H361,0)</f>
        <v>119</v>
      </c>
      <c r="L361">
        <v>1280</v>
      </c>
      <c r="M361">
        <v>0</v>
      </c>
    </row>
    <row r="362" spans="1:13">
      <c r="A362">
        <v>360</v>
      </c>
      <c r="B362" t="s">
        <v>202</v>
      </c>
      <c r="C362" t="s">
        <v>78</v>
      </c>
      <c r="D362" t="s">
        <v>79</v>
      </c>
      <c r="E362" t="s">
        <v>193</v>
      </c>
      <c r="F362">
        <v>96</v>
      </c>
      <c r="G362">
        <f>MAX(I358,I361)</f>
        <v>1183899</v>
      </c>
      <c r="H362">
        <f>CEILING((dram_access_latency+F362/dram_bandwidth)*frequency,1)</f>
        <v>102</v>
      </c>
      <c r="I362">
        <f>G362+H362</f>
        <v>1184001</v>
      </c>
      <c r="J362">
        <f>IF(AND(D362&lt;&gt;"dram",D362&lt;&gt;"control"),H362,0)</f>
        <v>0</v>
      </c>
      <c r="K362">
        <f>IF(D362="dram",H362,0)</f>
        <v>102</v>
      </c>
      <c r="L362">
        <v>96</v>
      </c>
      <c r="M362">
        <v>0</v>
      </c>
    </row>
    <row r="363" spans="1:13">
      <c r="A363">
        <v>361</v>
      </c>
      <c r="B363" t="s">
        <v>203</v>
      </c>
      <c r="C363" t="s">
        <v>78</v>
      </c>
      <c r="D363" t="s">
        <v>79</v>
      </c>
      <c r="E363" t="s">
        <v>193</v>
      </c>
      <c r="F363">
        <v>2</v>
      </c>
      <c r="G363">
        <f>MAX(I358,I362)</f>
        <v>1184001</v>
      </c>
      <c r="H363">
        <f>CEILING((dram_access_latency+F363/dram_bandwidth)*frequency,1)</f>
        <v>101</v>
      </c>
      <c r="I363">
        <f>G363+H363</f>
        <v>1184102</v>
      </c>
      <c r="J363">
        <f>IF(AND(D363&lt;&gt;"dram",D363&lt;&gt;"control"),H363,0)</f>
        <v>0</v>
      </c>
      <c r="K363">
        <f>IF(D363="dram",H363,0)</f>
        <v>101</v>
      </c>
      <c r="L363">
        <v>2</v>
      </c>
      <c r="M363">
        <v>0</v>
      </c>
    </row>
    <row r="364" spans="1:13">
      <c r="A364">
        <v>362</v>
      </c>
      <c r="B364" t="s">
        <v>36</v>
      </c>
      <c r="C364" t="s">
        <v>85</v>
      </c>
      <c r="D364" t="s">
        <v>17</v>
      </c>
      <c r="E364" t="s">
        <v>193</v>
      </c>
      <c r="F364">
        <v>0</v>
      </c>
      <c r="G364">
        <f>MAX(I357,I263,I360,I361,I362,I363,I359)</f>
        <v>1184102</v>
      </c>
      <c r="H364">
        <f>'Operations'!I14</f>
        <v>1280</v>
      </c>
      <c r="I364">
        <f>G364+H364</f>
        <v>1185382</v>
      </c>
      <c r="J364">
        <f>IF(AND(D364&lt;&gt;"dram",D364&lt;&gt;"control"),H364,0)</f>
        <v>1280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204</v>
      </c>
      <c r="C365" t="s">
        <v>82</v>
      </c>
      <c r="D365" t="s">
        <v>83</v>
      </c>
      <c r="E365" t="s">
        <v>193</v>
      </c>
      <c r="F365">
        <v>0</v>
      </c>
      <c r="G365">
        <f>MAX(I358,I357)</f>
        <v>1182510</v>
      </c>
      <c r="H365">
        <f>0</f>
        <v>1436</v>
      </c>
      <c r="I365">
        <f>G365+H365</f>
        <v>1183946</v>
      </c>
      <c r="J365">
        <f>IF(AND(D365&lt;&gt;"dram",D365&lt;&gt;"control"),H365,0)</f>
        <v>0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205</v>
      </c>
      <c r="C366" t="s">
        <v>87</v>
      </c>
      <c r="D366" t="s">
        <v>79</v>
      </c>
      <c r="E366" t="s">
        <v>193</v>
      </c>
      <c r="F366">
        <v>640</v>
      </c>
      <c r="G366">
        <f>MAX(I365,I363)</f>
        <v>1184102</v>
      </c>
      <c r="H366">
        <f>CEILING((dram_access_latency+F366/dram_bandwidth)*frequency,1)</f>
        <v>110</v>
      </c>
      <c r="I366">
        <f>G366+H366</f>
        <v>1184212</v>
      </c>
      <c r="J366">
        <f>IF(AND(D366&lt;&gt;"dram",D366&lt;&gt;"control"),H366,0)</f>
        <v>0</v>
      </c>
      <c r="K366">
        <f>IF(D366="dram",H366,0)</f>
        <v>110</v>
      </c>
      <c r="L366">
        <v>0</v>
      </c>
      <c r="M366">
        <v>640</v>
      </c>
    </row>
    <row r="367" spans="1:13">
      <c r="A367">
        <v>365</v>
      </c>
      <c r="B367" t="s">
        <v>200</v>
      </c>
      <c r="C367" t="s">
        <v>78</v>
      </c>
      <c r="D367" t="s">
        <v>79</v>
      </c>
      <c r="E367" t="s">
        <v>194</v>
      </c>
      <c r="F367">
        <v>61440</v>
      </c>
      <c r="G367">
        <f>MAX(I365,I366)</f>
        <v>1184212</v>
      </c>
      <c r="H367">
        <f>CEILING((dram_access_latency+F367/dram_bandwidth)*frequency,1)</f>
        <v>1004</v>
      </c>
      <c r="I367">
        <f>G367+H367</f>
        <v>1185216</v>
      </c>
      <c r="J367">
        <f>IF(AND(D367&lt;&gt;"dram",D367&lt;&gt;"control"),H367,0)</f>
        <v>0</v>
      </c>
      <c r="K367">
        <f>IF(D367="dram",H367,0)</f>
        <v>1004</v>
      </c>
      <c r="L367">
        <v>61440</v>
      </c>
      <c r="M367">
        <v>0</v>
      </c>
    </row>
    <row r="368" spans="1:13">
      <c r="A368">
        <v>366</v>
      </c>
      <c r="B368" t="s">
        <v>201</v>
      </c>
      <c r="C368" t="s">
        <v>78</v>
      </c>
      <c r="D368" t="s">
        <v>79</v>
      </c>
      <c r="E368" t="s">
        <v>194</v>
      </c>
      <c r="F368">
        <v>1280</v>
      </c>
      <c r="G368">
        <f>MAX(I365,I367)</f>
        <v>1185216</v>
      </c>
      <c r="H368">
        <f>CEILING((dram_access_latency+F368/dram_bandwidth)*frequency,1)</f>
        <v>119</v>
      </c>
      <c r="I368">
        <f>G368+H368</f>
        <v>1185335</v>
      </c>
      <c r="J368">
        <f>IF(AND(D368&lt;&gt;"dram",D368&lt;&gt;"control"),H368,0)</f>
        <v>0</v>
      </c>
      <c r="K368">
        <f>IF(D368="dram",H368,0)</f>
        <v>119</v>
      </c>
      <c r="L368">
        <v>1280</v>
      </c>
      <c r="M368">
        <v>0</v>
      </c>
    </row>
    <row r="369" spans="1:13">
      <c r="A369">
        <v>367</v>
      </c>
      <c r="B369" t="s">
        <v>202</v>
      </c>
      <c r="C369" t="s">
        <v>78</v>
      </c>
      <c r="D369" t="s">
        <v>79</v>
      </c>
      <c r="E369" t="s">
        <v>194</v>
      </c>
      <c r="F369">
        <v>96</v>
      </c>
      <c r="G369">
        <f>MAX(I365,I368)</f>
        <v>1185335</v>
      </c>
      <c r="H369">
        <f>CEILING((dram_access_latency+F369/dram_bandwidth)*frequency,1)</f>
        <v>102</v>
      </c>
      <c r="I369">
        <f>G369+H369</f>
        <v>1185437</v>
      </c>
      <c r="J369">
        <f>IF(AND(D369&lt;&gt;"dram",D369&lt;&gt;"control"),H369,0)</f>
        <v>0</v>
      </c>
      <c r="K369">
        <f>IF(D369="dram",H369,0)</f>
        <v>102</v>
      </c>
      <c r="L369">
        <v>96</v>
      </c>
      <c r="M369">
        <v>0</v>
      </c>
    </row>
    <row r="370" spans="1:13">
      <c r="A370">
        <v>368</v>
      </c>
      <c r="B370" t="s">
        <v>203</v>
      </c>
      <c r="C370" t="s">
        <v>78</v>
      </c>
      <c r="D370" t="s">
        <v>79</v>
      </c>
      <c r="E370" t="s">
        <v>194</v>
      </c>
      <c r="F370">
        <v>2</v>
      </c>
      <c r="G370">
        <f>MAX(I365,I369)</f>
        <v>1185437</v>
      </c>
      <c r="H370">
        <f>CEILING((dram_access_latency+F370/dram_bandwidth)*frequency,1)</f>
        <v>101</v>
      </c>
      <c r="I370">
        <f>G370+H370</f>
        <v>1185538</v>
      </c>
      <c r="J370">
        <f>IF(AND(D370&lt;&gt;"dram",D370&lt;&gt;"control"),H370,0)</f>
        <v>0</v>
      </c>
      <c r="K370">
        <f>IF(D370="dram",H370,0)</f>
        <v>101</v>
      </c>
      <c r="L370">
        <v>2</v>
      </c>
      <c r="M370">
        <v>0</v>
      </c>
    </row>
    <row r="371" spans="1:13">
      <c r="A371">
        <v>369</v>
      </c>
      <c r="B371" t="s">
        <v>36</v>
      </c>
      <c r="C371" t="s">
        <v>85</v>
      </c>
      <c r="D371" t="s">
        <v>17</v>
      </c>
      <c r="E371" t="s">
        <v>194</v>
      </c>
      <c r="F371">
        <v>0</v>
      </c>
      <c r="G371">
        <f>MAX(I364,I263,I367,I368,I369,I370,I366)</f>
        <v>1185538</v>
      </c>
      <c r="H371">
        <f>'Operations'!I14</f>
        <v>1280</v>
      </c>
      <c r="I371">
        <f>G371+H371</f>
        <v>1186818</v>
      </c>
      <c r="J371">
        <f>IF(AND(D371&lt;&gt;"dram",D371&lt;&gt;"control"),H371,0)</f>
        <v>1280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204</v>
      </c>
      <c r="C372" t="s">
        <v>82</v>
      </c>
      <c r="D372" t="s">
        <v>83</v>
      </c>
      <c r="E372" t="s">
        <v>194</v>
      </c>
      <c r="F372">
        <v>0</v>
      </c>
      <c r="G372">
        <f>MAX(I365,I364)</f>
        <v>1183946</v>
      </c>
      <c r="H372">
        <f>0</f>
        <v>1436</v>
      </c>
      <c r="I372">
        <f>G372+H372</f>
        <v>1185382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205</v>
      </c>
      <c r="C373" t="s">
        <v>87</v>
      </c>
      <c r="D373" t="s">
        <v>79</v>
      </c>
      <c r="E373" t="s">
        <v>194</v>
      </c>
      <c r="F373">
        <v>640</v>
      </c>
      <c r="G373">
        <f>MAX(I372,I370)</f>
        <v>1185538</v>
      </c>
      <c r="H373">
        <f>CEILING((dram_access_latency+F373/dram_bandwidth)*frequency,1)</f>
        <v>110</v>
      </c>
      <c r="I373">
        <f>G373+H373</f>
        <v>1185648</v>
      </c>
      <c r="J373">
        <f>IF(AND(D373&lt;&gt;"dram",D373&lt;&gt;"control"),H373,0)</f>
        <v>0</v>
      </c>
      <c r="K373">
        <f>IF(D373="dram",H373,0)</f>
        <v>110</v>
      </c>
      <c r="L373">
        <v>0</v>
      </c>
      <c r="M373">
        <v>640</v>
      </c>
    </row>
    <row r="374" spans="1:13">
      <c r="A374">
        <v>372</v>
      </c>
      <c r="B374" t="s">
        <v>200</v>
      </c>
      <c r="C374" t="s">
        <v>78</v>
      </c>
      <c r="D374" t="s">
        <v>79</v>
      </c>
      <c r="E374" t="s">
        <v>206</v>
      </c>
      <c r="F374">
        <v>61440</v>
      </c>
      <c r="G374">
        <f>MAX(I372,I373)</f>
        <v>1185648</v>
      </c>
      <c r="H374">
        <f>CEILING((dram_access_latency+F374/dram_bandwidth)*frequency,1)</f>
        <v>1004</v>
      </c>
      <c r="I374">
        <f>G374+H374</f>
        <v>1186652</v>
      </c>
      <c r="J374">
        <f>IF(AND(D374&lt;&gt;"dram",D374&lt;&gt;"control"),H374,0)</f>
        <v>0</v>
      </c>
      <c r="K374">
        <f>IF(D374="dram",H374,0)</f>
        <v>1004</v>
      </c>
      <c r="L374">
        <v>61440</v>
      </c>
      <c r="M374">
        <v>0</v>
      </c>
    </row>
    <row r="375" spans="1:13">
      <c r="A375">
        <v>373</v>
      </c>
      <c r="B375" t="s">
        <v>201</v>
      </c>
      <c r="C375" t="s">
        <v>78</v>
      </c>
      <c r="D375" t="s">
        <v>79</v>
      </c>
      <c r="E375" t="s">
        <v>206</v>
      </c>
      <c r="F375">
        <v>1280</v>
      </c>
      <c r="G375">
        <f>MAX(I372,I374)</f>
        <v>1186652</v>
      </c>
      <c r="H375">
        <f>CEILING((dram_access_latency+F375/dram_bandwidth)*frequency,1)</f>
        <v>119</v>
      </c>
      <c r="I375">
        <f>G375+H375</f>
        <v>1186771</v>
      </c>
      <c r="J375">
        <f>IF(AND(D375&lt;&gt;"dram",D375&lt;&gt;"control"),H375,0)</f>
        <v>0</v>
      </c>
      <c r="K375">
        <f>IF(D375="dram",H375,0)</f>
        <v>119</v>
      </c>
      <c r="L375">
        <v>1280</v>
      </c>
      <c r="M375">
        <v>0</v>
      </c>
    </row>
    <row r="376" spans="1:13">
      <c r="A376">
        <v>374</v>
      </c>
      <c r="B376" t="s">
        <v>202</v>
      </c>
      <c r="C376" t="s">
        <v>78</v>
      </c>
      <c r="D376" t="s">
        <v>79</v>
      </c>
      <c r="E376" t="s">
        <v>206</v>
      </c>
      <c r="F376">
        <v>96</v>
      </c>
      <c r="G376">
        <f>MAX(I372,I375)</f>
        <v>1186771</v>
      </c>
      <c r="H376">
        <f>CEILING((dram_access_latency+F376/dram_bandwidth)*frequency,1)</f>
        <v>102</v>
      </c>
      <c r="I376">
        <f>G376+H376</f>
        <v>1186873</v>
      </c>
      <c r="J376">
        <f>IF(AND(D376&lt;&gt;"dram",D376&lt;&gt;"control"),H376,0)</f>
        <v>0</v>
      </c>
      <c r="K376">
        <f>IF(D376="dram",H376,0)</f>
        <v>102</v>
      </c>
      <c r="L376">
        <v>96</v>
      </c>
      <c r="M376">
        <v>0</v>
      </c>
    </row>
    <row r="377" spans="1:13">
      <c r="A377">
        <v>375</v>
      </c>
      <c r="B377" t="s">
        <v>203</v>
      </c>
      <c r="C377" t="s">
        <v>78</v>
      </c>
      <c r="D377" t="s">
        <v>79</v>
      </c>
      <c r="E377" t="s">
        <v>206</v>
      </c>
      <c r="F377">
        <v>2</v>
      </c>
      <c r="G377">
        <f>MAX(I372,I376)</f>
        <v>1186873</v>
      </c>
      <c r="H377">
        <f>CEILING((dram_access_latency+F377/dram_bandwidth)*frequency,1)</f>
        <v>101</v>
      </c>
      <c r="I377">
        <f>G377+H377</f>
        <v>1186974</v>
      </c>
      <c r="J377">
        <f>IF(AND(D377&lt;&gt;"dram",D377&lt;&gt;"control"),H377,0)</f>
        <v>0</v>
      </c>
      <c r="K377">
        <f>IF(D377="dram",H377,0)</f>
        <v>101</v>
      </c>
      <c r="L377">
        <v>2</v>
      </c>
      <c r="M377">
        <v>0</v>
      </c>
    </row>
    <row r="378" spans="1:13">
      <c r="A378">
        <v>376</v>
      </c>
      <c r="B378" t="s">
        <v>36</v>
      </c>
      <c r="C378" t="s">
        <v>85</v>
      </c>
      <c r="D378" t="s">
        <v>17</v>
      </c>
      <c r="E378" t="s">
        <v>206</v>
      </c>
      <c r="F378">
        <v>0</v>
      </c>
      <c r="G378">
        <f>MAX(I371,I263,I374,I375,I376,I377,I373)</f>
        <v>1186974</v>
      </c>
      <c r="H378">
        <f>'Operations'!I14</f>
        <v>1280</v>
      </c>
      <c r="I378">
        <f>G378+H378</f>
        <v>1188254</v>
      </c>
      <c r="J378">
        <f>IF(AND(D378&lt;&gt;"dram",D378&lt;&gt;"control"),H378,0)</f>
        <v>1280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204</v>
      </c>
      <c r="C379" t="s">
        <v>82</v>
      </c>
      <c r="D379" t="s">
        <v>83</v>
      </c>
      <c r="E379" t="s">
        <v>206</v>
      </c>
      <c r="F379">
        <v>0</v>
      </c>
      <c r="G379">
        <f>MAX(I372,I371)</f>
        <v>1185382</v>
      </c>
      <c r="H379">
        <f>0</f>
        <v>1436</v>
      </c>
      <c r="I379">
        <f>G379+H379</f>
        <v>1186818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205</v>
      </c>
      <c r="C380" t="s">
        <v>87</v>
      </c>
      <c r="D380" t="s">
        <v>79</v>
      </c>
      <c r="E380" t="s">
        <v>206</v>
      </c>
      <c r="F380">
        <v>640</v>
      </c>
      <c r="G380">
        <f>MAX(I379,I377)</f>
        <v>1186974</v>
      </c>
      <c r="H380">
        <f>CEILING((dram_access_latency+F380/dram_bandwidth)*frequency,1)</f>
        <v>110</v>
      </c>
      <c r="I380">
        <f>G380+H380</f>
        <v>1187084</v>
      </c>
      <c r="J380">
        <f>IF(AND(D380&lt;&gt;"dram",D380&lt;&gt;"control"),H380,0)</f>
        <v>0</v>
      </c>
      <c r="K380">
        <f>IF(D380="dram",H380,0)</f>
        <v>110</v>
      </c>
      <c r="L380">
        <v>0</v>
      </c>
      <c r="M380">
        <v>640</v>
      </c>
    </row>
    <row r="381" spans="1:13">
      <c r="A381">
        <v>379</v>
      </c>
      <c r="B381" t="s">
        <v>200</v>
      </c>
      <c r="C381" t="s">
        <v>78</v>
      </c>
      <c r="D381" t="s">
        <v>79</v>
      </c>
      <c r="E381" t="s">
        <v>207</v>
      </c>
      <c r="F381">
        <v>61440</v>
      </c>
      <c r="G381">
        <f>MAX(I379,I380)</f>
        <v>1187084</v>
      </c>
      <c r="H381">
        <f>CEILING((dram_access_latency+F381/dram_bandwidth)*frequency,1)</f>
        <v>1004</v>
      </c>
      <c r="I381">
        <f>G381+H381</f>
        <v>1188088</v>
      </c>
      <c r="J381">
        <f>IF(AND(D381&lt;&gt;"dram",D381&lt;&gt;"control"),H381,0)</f>
        <v>0</v>
      </c>
      <c r="K381">
        <f>IF(D381="dram",H381,0)</f>
        <v>1004</v>
      </c>
      <c r="L381">
        <v>61440</v>
      </c>
      <c r="M381">
        <v>0</v>
      </c>
    </row>
    <row r="382" spans="1:13">
      <c r="A382">
        <v>380</v>
      </c>
      <c r="B382" t="s">
        <v>201</v>
      </c>
      <c r="C382" t="s">
        <v>78</v>
      </c>
      <c r="D382" t="s">
        <v>79</v>
      </c>
      <c r="E382" t="s">
        <v>207</v>
      </c>
      <c r="F382">
        <v>1280</v>
      </c>
      <c r="G382">
        <f>MAX(I379,I381)</f>
        <v>1188088</v>
      </c>
      <c r="H382">
        <f>CEILING((dram_access_latency+F382/dram_bandwidth)*frequency,1)</f>
        <v>119</v>
      </c>
      <c r="I382">
        <f>G382+H382</f>
        <v>1188207</v>
      </c>
      <c r="J382">
        <f>IF(AND(D382&lt;&gt;"dram",D382&lt;&gt;"control"),H382,0)</f>
        <v>0</v>
      </c>
      <c r="K382">
        <f>IF(D382="dram",H382,0)</f>
        <v>119</v>
      </c>
      <c r="L382">
        <v>1280</v>
      </c>
      <c r="M382">
        <v>0</v>
      </c>
    </row>
    <row r="383" spans="1:13">
      <c r="A383">
        <v>381</v>
      </c>
      <c r="B383" t="s">
        <v>202</v>
      </c>
      <c r="C383" t="s">
        <v>78</v>
      </c>
      <c r="D383" t="s">
        <v>79</v>
      </c>
      <c r="E383" t="s">
        <v>207</v>
      </c>
      <c r="F383">
        <v>96</v>
      </c>
      <c r="G383">
        <f>MAX(I379,I382)</f>
        <v>1188207</v>
      </c>
      <c r="H383">
        <f>CEILING((dram_access_latency+F383/dram_bandwidth)*frequency,1)</f>
        <v>102</v>
      </c>
      <c r="I383">
        <f>G383+H383</f>
        <v>1188309</v>
      </c>
      <c r="J383">
        <f>IF(AND(D383&lt;&gt;"dram",D383&lt;&gt;"control"),H383,0)</f>
        <v>0</v>
      </c>
      <c r="K383">
        <f>IF(D383="dram",H383,0)</f>
        <v>102</v>
      </c>
      <c r="L383">
        <v>96</v>
      </c>
      <c r="M383">
        <v>0</v>
      </c>
    </row>
    <row r="384" spans="1:13">
      <c r="A384">
        <v>382</v>
      </c>
      <c r="B384" t="s">
        <v>203</v>
      </c>
      <c r="C384" t="s">
        <v>78</v>
      </c>
      <c r="D384" t="s">
        <v>79</v>
      </c>
      <c r="E384" t="s">
        <v>207</v>
      </c>
      <c r="F384">
        <v>2</v>
      </c>
      <c r="G384">
        <f>MAX(I379,I383)</f>
        <v>1188309</v>
      </c>
      <c r="H384">
        <f>CEILING((dram_access_latency+F384/dram_bandwidth)*frequency,1)</f>
        <v>101</v>
      </c>
      <c r="I384">
        <f>G384+H384</f>
        <v>1188410</v>
      </c>
      <c r="J384">
        <f>IF(AND(D384&lt;&gt;"dram",D384&lt;&gt;"control"),H384,0)</f>
        <v>0</v>
      </c>
      <c r="K384">
        <f>IF(D384="dram",H384,0)</f>
        <v>101</v>
      </c>
      <c r="L384">
        <v>2</v>
      </c>
      <c r="M384">
        <v>0</v>
      </c>
    </row>
    <row r="385" spans="1:13">
      <c r="A385">
        <v>383</v>
      </c>
      <c r="B385" t="s">
        <v>36</v>
      </c>
      <c r="C385" t="s">
        <v>85</v>
      </c>
      <c r="D385" t="s">
        <v>17</v>
      </c>
      <c r="E385" t="s">
        <v>207</v>
      </c>
      <c r="F385">
        <v>0</v>
      </c>
      <c r="G385">
        <f>MAX(I378,I263,I381,I382,I383,I384,I380)</f>
        <v>1188410</v>
      </c>
      <c r="H385">
        <f>'Operations'!I14</f>
        <v>1280</v>
      </c>
      <c r="I385">
        <f>G385+H385</f>
        <v>1189690</v>
      </c>
      <c r="J385">
        <f>IF(AND(D385&lt;&gt;"dram",D385&lt;&gt;"control"),H385,0)</f>
        <v>1280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204</v>
      </c>
      <c r="C386" t="s">
        <v>82</v>
      </c>
      <c r="D386" t="s">
        <v>83</v>
      </c>
      <c r="E386" t="s">
        <v>207</v>
      </c>
      <c r="F386">
        <v>0</v>
      </c>
      <c r="G386">
        <f>MAX(I379,I378)</f>
        <v>1186818</v>
      </c>
      <c r="H386">
        <f>0</f>
        <v>1436</v>
      </c>
      <c r="I386">
        <f>G386+H386</f>
        <v>1188254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205</v>
      </c>
      <c r="C387" t="s">
        <v>87</v>
      </c>
      <c r="D387" t="s">
        <v>79</v>
      </c>
      <c r="E387" t="s">
        <v>207</v>
      </c>
      <c r="F387">
        <v>640</v>
      </c>
      <c r="G387">
        <f>MAX(I386,I384)</f>
        <v>1188410</v>
      </c>
      <c r="H387">
        <f>CEILING((dram_access_latency+F387/dram_bandwidth)*frequency,1)</f>
        <v>110</v>
      </c>
      <c r="I387">
        <f>G387+H387</f>
        <v>1188520</v>
      </c>
      <c r="J387">
        <f>IF(AND(D387&lt;&gt;"dram",D387&lt;&gt;"control"),H387,0)</f>
        <v>0</v>
      </c>
      <c r="K387">
        <f>IF(D387="dram",H387,0)</f>
        <v>110</v>
      </c>
      <c r="L387">
        <v>0</v>
      </c>
      <c r="M387">
        <v>640</v>
      </c>
    </row>
    <row r="388" spans="1:13">
      <c r="A388">
        <v>386</v>
      </c>
      <c r="B388" t="s">
        <v>200</v>
      </c>
      <c r="C388" t="s">
        <v>78</v>
      </c>
      <c r="D388" t="s">
        <v>79</v>
      </c>
      <c r="E388" t="s">
        <v>208</v>
      </c>
      <c r="F388">
        <v>61440</v>
      </c>
      <c r="G388">
        <f>MAX(I386,I387)</f>
        <v>1188520</v>
      </c>
      <c r="H388">
        <f>CEILING((dram_access_latency+F388/dram_bandwidth)*frequency,1)</f>
        <v>1004</v>
      </c>
      <c r="I388">
        <f>G388+H388</f>
        <v>1189524</v>
      </c>
      <c r="J388">
        <f>IF(AND(D388&lt;&gt;"dram",D388&lt;&gt;"control"),H388,0)</f>
        <v>0</v>
      </c>
      <c r="K388">
        <f>IF(D388="dram",H388,0)</f>
        <v>1004</v>
      </c>
      <c r="L388">
        <v>61440</v>
      </c>
      <c r="M388">
        <v>0</v>
      </c>
    </row>
    <row r="389" spans="1:13">
      <c r="A389">
        <v>387</v>
      </c>
      <c r="B389" t="s">
        <v>201</v>
      </c>
      <c r="C389" t="s">
        <v>78</v>
      </c>
      <c r="D389" t="s">
        <v>79</v>
      </c>
      <c r="E389" t="s">
        <v>208</v>
      </c>
      <c r="F389">
        <v>1280</v>
      </c>
      <c r="G389">
        <f>MAX(I386,I388)</f>
        <v>1189524</v>
      </c>
      <c r="H389">
        <f>CEILING((dram_access_latency+F389/dram_bandwidth)*frequency,1)</f>
        <v>119</v>
      </c>
      <c r="I389">
        <f>G389+H389</f>
        <v>1189643</v>
      </c>
      <c r="J389">
        <f>IF(AND(D389&lt;&gt;"dram",D389&lt;&gt;"control"),H389,0)</f>
        <v>0</v>
      </c>
      <c r="K389">
        <f>IF(D389="dram",H389,0)</f>
        <v>119</v>
      </c>
      <c r="L389">
        <v>1280</v>
      </c>
      <c r="M389">
        <v>0</v>
      </c>
    </row>
    <row r="390" spans="1:13">
      <c r="A390">
        <v>388</v>
      </c>
      <c r="B390" t="s">
        <v>202</v>
      </c>
      <c r="C390" t="s">
        <v>78</v>
      </c>
      <c r="D390" t="s">
        <v>79</v>
      </c>
      <c r="E390" t="s">
        <v>208</v>
      </c>
      <c r="F390">
        <v>96</v>
      </c>
      <c r="G390">
        <f>MAX(I386,I389)</f>
        <v>1189643</v>
      </c>
      <c r="H390">
        <f>CEILING((dram_access_latency+F390/dram_bandwidth)*frequency,1)</f>
        <v>102</v>
      </c>
      <c r="I390">
        <f>G390+H390</f>
        <v>1189745</v>
      </c>
      <c r="J390">
        <f>IF(AND(D390&lt;&gt;"dram",D390&lt;&gt;"control"),H390,0)</f>
        <v>0</v>
      </c>
      <c r="K390">
        <f>IF(D390="dram",H390,0)</f>
        <v>102</v>
      </c>
      <c r="L390">
        <v>96</v>
      </c>
      <c r="M390">
        <v>0</v>
      </c>
    </row>
    <row r="391" spans="1:13">
      <c r="A391">
        <v>389</v>
      </c>
      <c r="B391" t="s">
        <v>203</v>
      </c>
      <c r="C391" t="s">
        <v>78</v>
      </c>
      <c r="D391" t="s">
        <v>79</v>
      </c>
      <c r="E391" t="s">
        <v>208</v>
      </c>
      <c r="F391">
        <v>2</v>
      </c>
      <c r="G391">
        <f>MAX(I386,I390)</f>
        <v>1189745</v>
      </c>
      <c r="H391">
        <f>CEILING((dram_access_latency+F391/dram_bandwidth)*frequency,1)</f>
        <v>101</v>
      </c>
      <c r="I391">
        <f>G391+H391</f>
        <v>1189846</v>
      </c>
      <c r="J391">
        <f>IF(AND(D391&lt;&gt;"dram",D391&lt;&gt;"control"),H391,0)</f>
        <v>0</v>
      </c>
      <c r="K391">
        <f>IF(D391="dram",H391,0)</f>
        <v>101</v>
      </c>
      <c r="L391">
        <v>2</v>
      </c>
      <c r="M391">
        <v>0</v>
      </c>
    </row>
    <row r="392" spans="1:13">
      <c r="A392">
        <v>390</v>
      </c>
      <c r="B392" t="s">
        <v>36</v>
      </c>
      <c r="C392" t="s">
        <v>85</v>
      </c>
      <c r="D392" t="s">
        <v>17</v>
      </c>
      <c r="E392" t="s">
        <v>208</v>
      </c>
      <c r="F392">
        <v>0</v>
      </c>
      <c r="G392">
        <f>MAX(I385,I263,I388,I389,I390,I391,I387)</f>
        <v>1189846</v>
      </c>
      <c r="H392">
        <f>'Operations'!I14</f>
        <v>1280</v>
      </c>
      <c r="I392">
        <f>G392+H392</f>
        <v>1191126</v>
      </c>
      <c r="J392">
        <f>IF(AND(D392&lt;&gt;"dram",D392&lt;&gt;"control"),H392,0)</f>
        <v>1280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204</v>
      </c>
      <c r="C393" t="s">
        <v>82</v>
      </c>
      <c r="D393" t="s">
        <v>83</v>
      </c>
      <c r="E393" t="s">
        <v>208</v>
      </c>
      <c r="F393">
        <v>0</v>
      </c>
      <c r="G393">
        <f>MAX(I386,I385)</f>
        <v>1188254</v>
      </c>
      <c r="H393">
        <f>0</f>
        <v>1436</v>
      </c>
      <c r="I393">
        <f>G393+H393</f>
        <v>1189690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205</v>
      </c>
      <c r="C394" t="s">
        <v>87</v>
      </c>
      <c r="D394" t="s">
        <v>79</v>
      </c>
      <c r="E394" t="s">
        <v>208</v>
      </c>
      <c r="F394">
        <v>640</v>
      </c>
      <c r="G394">
        <f>MAX(I393,I391)</f>
        <v>1189846</v>
      </c>
      <c r="H394">
        <f>CEILING((dram_access_latency+F394/dram_bandwidth)*frequency,1)</f>
        <v>110</v>
      </c>
      <c r="I394">
        <f>G394+H394</f>
        <v>1189956</v>
      </c>
      <c r="J394">
        <f>IF(AND(D394&lt;&gt;"dram",D394&lt;&gt;"control"),H394,0)</f>
        <v>0</v>
      </c>
      <c r="K394">
        <f>IF(D394="dram",H394,0)</f>
        <v>110</v>
      </c>
      <c r="L394">
        <v>0</v>
      </c>
      <c r="M394">
        <v>640</v>
      </c>
    </row>
    <row r="395" spans="1:13">
      <c r="A395">
        <v>393</v>
      </c>
      <c r="B395" t="s">
        <v>200</v>
      </c>
      <c r="C395" t="s">
        <v>78</v>
      </c>
      <c r="D395" t="s">
        <v>79</v>
      </c>
      <c r="E395" t="s">
        <v>209</v>
      </c>
      <c r="F395">
        <v>61440</v>
      </c>
      <c r="G395">
        <f>MAX(I393,I394)</f>
        <v>1189956</v>
      </c>
      <c r="H395">
        <f>CEILING((dram_access_latency+F395/dram_bandwidth)*frequency,1)</f>
        <v>1004</v>
      </c>
      <c r="I395">
        <f>G395+H395</f>
        <v>1190960</v>
      </c>
      <c r="J395">
        <f>IF(AND(D395&lt;&gt;"dram",D395&lt;&gt;"control"),H395,0)</f>
        <v>0</v>
      </c>
      <c r="K395">
        <f>IF(D395="dram",H395,0)</f>
        <v>1004</v>
      </c>
      <c r="L395">
        <v>61440</v>
      </c>
      <c r="M395">
        <v>0</v>
      </c>
    </row>
    <row r="396" spans="1:13">
      <c r="A396">
        <v>394</v>
      </c>
      <c r="B396" t="s">
        <v>201</v>
      </c>
      <c r="C396" t="s">
        <v>78</v>
      </c>
      <c r="D396" t="s">
        <v>79</v>
      </c>
      <c r="E396" t="s">
        <v>209</v>
      </c>
      <c r="F396">
        <v>1280</v>
      </c>
      <c r="G396">
        <f>MAX(I393,I395)</f>
        <v>1190960</v>
      </c>
      <c r="H396">
        <f>CEILING((dram_access_latency+F396/dram_bandwidth)*frequency,1)</f>
        <v>119</v>
      </c>
      <c r="I396">
        <f>G396+H396</f>
        <v>1191079</v>
      </c>
      <c r="J396">
        <f>IF(AND(D396&lt;&gt;"dram",D396&lt;&gt;"control"),H396,0)</f>
        <v>0</v>
      </c>
      <c r="K396">
        <f>IF(D396="dram",H396,0)</f>
        <v>119</v>
      </c>
      <c r="L396">
        <v>1280</v>
      </c>
      <c r="M396">
        <v>0</v>
      </c>
    </row>
    <row r="397" spans="1:13">
      <c r="A397">
        <v>395</v>
      </c>
      <c r="B397" t="s">
        <v>202</v>
      </c>
      <c r="C397" t="s">
        <v>78</v>
      </c>
      <c r="D397" t="s">
        <v>79</v>
      </c>
      <c r="E397" t="s">
        <v>209</v>
      </c>
      <c r="F397">
        <v>96</v>
      </c>
      <c r="G397">
        <f>MAX(I393,I396)</f>
        <v>1191079</v>
      </c>
      <c r="H397">
        <f>CEILING((dram_access_latency+F397/dram_bandwidth)*frequency,1)</f>
        <v>102</v>
      </c>
      <c r="I397">
        <f>G397+H397</f>
        <v>1191181</v>
      </c>
      <c r="J397">
        <f>IF(AND(D397&lt;&gt;"dram",D397&lt;&gt;"control"),H397,0)</f>
        <v>0</v>
      </c>
      <c r="K397">
        <f>IF(D397="dram",H397,0)</f>
        <v>102</v>
      </c>
      <c r="L397">
        <v>96</v>
      </c>
      <c r="M397">
        <v>0</v>
      </c>
    </row>
    <row r="398" spans="1:13">
      <c r="A398">
        <v>396</v>
      </c>
      <c r="B398" t="s">
        <v>203</v>
      </c>
      <c r="C398" t="s">
        <v>78</v>
      </c>
      <c r="D398" t="s">
        <v>79</v>
      </c>
      <c r="E398" t="s">
        <v>209</v>
      </c>
      <c r="F398">
        <v>2</v>
      </c>
      <c r="G398">
        <f>MAX(I393,I397)</f>
        <v>1191181</v>
      </c>
      <c r="H398">
        <f>CEILING((dram_access_latency+F398/dram_bandwidth)*frequency,1)</f>
        <v>101</v>
      </c>
      <c r="I398">
        <f>G398+H398</f>
        <v>1191282</v>
      </c>
      <c r="J398">
        <f>IF(AND(D398&lt;&gt;"dram",D398&lt;&gt;"control"),H398,0)</f>
        <v>0</v>
      </c>
      <c r="K398">
        <f>IF(D398="dram",H398,0)</f>
        <v>101</v>
      </c>
      <c r="L398">
        <v>2</v>
      </c>
      <c r="M398">
        <v>0</v>
      </c>
    </row>
    <row r="399" spans="1:13">
      <c r="A399">
        <v>397</v>
      </c>
      <c r="B399" t="s">
        <v>36</v>
      </c>
      <c r="C399" t="s">
        <v>85</v>
      </c>
      <c r="D399" t="s">
        <v>17</v>
      </c>
      <c r="E399" t="s">
        <v>209</v>
      </c>
      <c r="F399">
        <v>0</v>
      </c>
      <c r="G399">
        <f>MAX(I392,I263,I395,I396,I397,I398,I394)</f>
        <v>1191282</v>
      </c>
      <c r="H399">
        <f>'Operations'!I14</f>
        <v>1280</v>
      </c>
      <c r="I399">
        <f>G399+H399</f>
        <v>1192562</v>
      </c>
      <c r="J399">
        <f>IF(AND(D399&lt;&gt;"dram",D399&lt;&gt;"control"),H399,0)</f>
        <v>1280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204</v>
      </c>
      <c r="C400" t="s">
        <v>82</v>
      </c>
      <c r="D400" t="s">
        <v>83</v>
      </c>
      <c r="E400" t="s">
        <v>209</v>
      </c>
      <c r="F400">
        <v>0</v>
      </c>
      <c r="G400">
        <f>MAX(I393,I392)</f>
        <v>1189690</v>
      </c>
      <c r="H400">
        <f>0</f>
        <v>1436</v>
      </c>
      <c r="I400">
        <f>G400+H400</f>
        <v>1191126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205</v>
      </c>
      <c r="C401" t="s">
        <v>87</v>
      </c>
      <c r="D401" t="s">
        <v>79</v>
      </c>
      <c r="E401" t="s">
        <v>209</v>
      </c>
      <c r="F401">
        <v>640</v>
      </c>
      <c r="G401">
        <f>MAX(I400,I398)</f>
        <v>1191282</v>
      </c>
      <c r="H401">
        <f>CEILING((dram_access_latency+F401/dram_bandwidth)*frequency,1)</f>
        <v>110</v>
      </c>
      <c r="I401">
        <f>G401+H401</f>
        <v>1191392</v>
      </c>
      <c r="J401">
        <f>IF(AND(D401&lt;&gt;"dram",D401&lt;&gt;"control"),H401,0)</f>
        <v>0</v>
      </c>
      <c r="K401">
        <f>IF(D401="dram",H401,0)</f>
        <v>110</v>
      </c>
      <c r="L401">
        <v>0</v>
      </c>
      <c r="M401">
        <v>640</v>
      </c>
    </row>
    <row r="402" spans="1:13">
      <c r="A402">
        <v>400</v>
      </c>
      <c r="B402" t="s">
        <v>200</v>
      </c>
      <c r="C402" t="s">
        <v>78</v>
      </c>
      <c r="D402" t="s">
        <v>79</v>
      </c>
      <c r="E402" t="s">
        <v>210</v>
      </c>
      <c r="F402">
        <v>61440</v>
      </c>
      <c r="G402">
        <f>MAX(I400,I401)</f>
        <v>1191392</v>
      </c>
      <c r="H402">
        <f>CEILING((dram_access_latency+F402/dram_bandwidth)*frequency,1)</f>
        <v>1004</v>
      </c>
      <c r="I402">
        <f>G402+H402</f>
        <v>1192396</v>
      </c>
      <c r="J402">
        <f>IF(AND(D402&lt;&gt;"dram",D402&lt;&gt;"control"),H402,0)</f>
        <v>0</v>
      </c>
      <c r="K402">
        <f>IF(D402="dram",H402,0)</f>
        <v>1004</v>
      </c>
      <c r="L402">
        <v>61440</v>
      </c>
      <c r="M402">
        <v>0</v>
      </c>
    </row>
    <row r="403" spans="1:13">
      <c r="A403">
        <v>401</v>
      </c>
      <c r="B403" t="s">
        <v>201</v>
      </c>
      <c r="C403" t="s">
        <v>78</v>
      </c>
      <c r="D403" t="s">
        <v>79</v>
      </c>
      <c r="E403" t="s">
        <v>210</v>
      </c>
      <c r="F403">
        <v>1280</v>
      </c>
      <c r="G403">
        <f>MAX(I400,I402)</f>
        <v>1192396</v>
      </c>
      <c r="H403">
        <f>CEILING((dram_access_latency+F403/dram_bandwidth)*frequency,1)</f>
        <v>119</v>
      </c>
      <c r="I403">
        <f>G403+H403</f>
        <v>1192515</v>
      </c>
      <c r="J403">
        <f>IF(AND(D403&lt;&gt;"dram",D403&lt;&gt;"control"),H403,0)</f>
        <v>0</v>
      </c>
      <c r="K403">
        <f>IF(D403="dram",H403,0)</f>
        <v>119</v>
      </c>
      <c r="L403">
        <v>1280</v>
      </c>
      <c r="M403">
        <v>0</v>
      </c>
    </row>
    <row r="404" spans="1:13">
      <c r="A404">
        <v>402</v>
      </c>
      <c r="B404" t="s">
        <v>202</v>
      </c>
      <c r="C404" t="s">
        <v>78</v>
      </c>
      <c r="D404" t="s">
        <v>79</v>
      </c>
      <c r="E404" t="s">
        <v>210</v>
      </c>
      <c r="F404">
        <v>96</v>
      </c>
      <c r="G404">
        <f>MAX(I400,I403)</f>
        <v>1192515</v>
      </c>
      <c r="H404">
        <f>CEILING((dram_access_latency+F404/dram_bandwidth)*frequency,1)</f>
        <v>102</v>
      </c>
      <c r="I404">
        <f>G404+H404</f>
        <v>1192617</v>
      </c>
      <c r="J404">
        <f>IF(AND(D404&lt;&gt;"dram",D404&lt;&gt;"control"),H404,0)</f>
        <v>0</v>
      </c>
      <c r="K404">
        <f>IF(D404="dram",H404,0)</f>
        <v>102</v>
      </c>
      <c r="L404">
        <v>96</v>
      </c>
      <c r="M404">
        <v>0</v>
      </c>
    </row>
    <row r="405" spans="1:13">
      <c r="A405">
        <v>403</v>
      </c>
      <c r="B405" t="s">
        <v>203</v>
      </c>
      <c r="C405" t="s">
        <v>78</v>
      </c>
      <c r="D405" t="s">
        <v>79</v>
      </c>
      <c r="E405" t="s">
        <v>210</v>
      </c>
      <c r="F405">
        <v>2</v>
      </c>
      <c r="G405">
        <f>MAX(I400,I404)</f>
        <v>1192617</v>
      </c>
      <c r="H405">
        <f>CEILING((dram_access_latency+F405/dram_bandwidth)*frequency,1)</f>
        <v>101</v>
      </c>
      <c r="I405">
        <f>G405+H405</f>
        <v>1192718</v>
      </c>
      <c r="J405">
        <f>IF(AND(D405&lt;&gt;"dram",D405&lt;&gt;"control"),H405,0)</f>
        <v>0</v>
      </c>
      <c r="K405">
        <f>IF(D405="dram",H405,0)</f>
        <v>101</v>
      </c>
      <c r="L405">
        <v>2</v>
      </c>
      <c r="M405">
        <v>0</v>
      </c>
    </row>
    <row r="406" spans="1:13">
      <c r="A406">
        <v>404</v>
      </c>
      <c r="B406" t="s">
        <v>36</v>
      </c>
      <c r="C406" t="s">
        <v>85</v>
      </c>
      <c r="D406" t="s">
        <v>17</v>
      </c>
      <c r="E406" t="s">
        <v>210</v>
      </c>
      <c r="F406">
        <v>0</v>
      </c>
      <c r="G406">
        <f>MAX(I399,I263,I402,I403,I404,I405,I401)</f>
        <v>1192718</v>
      </c>
      <c r="H406">
        <f>'Operations'!I14</f>
        <v>1280</v>
      </c>
      <c r="I406">
        <f>G406+H406</f>
        <v>1193998</v>
      </c>
      <c r="J406">
        <f>IF(AND(D406&lt;&gt;"dram",D406&lt;&gt;"control"),H406,0)</f>
        <v>1280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204</v>
      </c>
      <c r="C407" t="s">
        <v>82</v>
      </c>
      <c r="D407" t="s">
        <v>83</v>
      </c>
      <c r="E407" t="s">
        <v>210</v>
      </c>
      <c r="F407">
        <v>0</v>
      </c>
      <c r="G407">
        <f>MAX(I400,I399)</f>
        <v>1191126</v>
      </c>
      <c r="H407">
        <f>0</f>
        <v>1436</v>
      </c>
      <c r="I407">
        <f>G407+H407</f>
        <v>1192562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205</v>
      </c>
      <c r="C408" t="s">
        <v>87</v>
      </c>
      <c r="D408" t="s">
        <v>79</v>
      </c>
      <c r="E408" t="s">
        <v>210</v>
      </c>
      <c r="F408">
        <v>640</v>
      </c>
      <c r="G408">
        <f>MAX(I407,I405)</f>
        <v>1192718</v>
      </c>
      <c r="H408">
        <f>CEILING((dram_access_latency+F408/dram_bandwidth)*frequency,1)</f>
        <v>110</v>
      </c>
      <c r="I408">
        <f>G408+H408</f>
        <v>1192828</v>
      </c>
      <c r="J408">
        <f>IF(AND(D408&lt;&gt;"dram",D408&lt;&gt;"control"),H408,0)</f>
        <v>0</v>
      </c>
      <c r="K408">
        <f>IF(D408="dram",H408,0)</f>
        <v>110</v>
      </c>
      <c r="L408">
        <v>0</v>
      </c>
      <c r="M408">
        <v>640</v>
      </c>
    </row>
    <row r="409" spans="1:13">
      <c r="A409">
        <v>407</v>
      </c>
      <c r="B409" t="s">
        <v>200</v>
      </c>
      <c r="C409" t="s">
        <v>78</v>
      </c>
      <c r="D409" t="s">
        <v>79</v>
      </c>
      <c r="E409" t="s">
        <v>211</v>
      </c>
      <c r="F409">
        <v>61440</v>
      </c>
      <c r="G409">
        <f>MAX(I407,I408)</f>
        <v>1192828</v>
      </c>
      <c r="H409">
        <f>CEILING((dram_access_latency+F409/dram_bandwidth)*frequency,1)</f>
        <v>1004</v>
      </c>
      <c r="I409">
        <f>G409+H409</f>
        <v>1193832</v>
      </c>
      <c r="J409">
        <f>IF(AND(D409&lt;&gt;"dram",D409&lt;&gt;"control"),H409,0)</f>
        <v>0</v>
      </c>
      <c r="K409">
        <f>IF(D409="dram",H409,0)</f>
        <v>1004</v>
      </c>
      <c r="L409">
        <v>61440</v>
      </c>
      <c r="M409">
        <v>0</v>
      </c>
    </row>
    <row r="410" spans="1:13">
      <c r="A410">
        <v>408</v>
      </c>
      <c r="B410" t="s">
        <v>201</v>
      </c>
      <c r="C410" t="s">
        <v>78</v>
      </c>
      <c r="D410" t="s">
        <v>79</v>
      </c>
      <c r="E410" t="s">
        <v>211</v>
      </c>
      <c r="F410">
        <v>1280</v>
      </c>
      <c r="G410">
        <f>MAX(I407,I409)</f>
        <v>1193832</v>
      </c>
      <c r="H410">
        <f>CEILING((dram_access_latency+F410/dram_bandwidth)*frequency,1)</f>
        <v>119</v>
      </c>
      <c r="I410">
        <f>G410+H410</f>
        <v>1193951</v>
      </c>
      <c r="J410">
        <f>IF(AND(D410&lt;&gt;"dram",D410&lt;&gt;"control"),H410,0)</f>
        <v>0</v>
      </c>
      <c r="K410">
        <f>IF(D410="dram",H410,0)</f>
        <v>119</v>
      </c>
      <c r="L410">
        <v>1280</v>
      </c>
      <c r="M410">
        <v>0</v>
      </c>
    </row>
    <row r="411" spans="1:13">
      <c r="A411">
        <v>409</v>
      </c>
      <c r="B411" t="s">
        <v>202</v>
      </c>
      <c r="C411" t="s">
        <v>78</v>
      </c>
      <c r="D411" t="s">
        <v>79</v>
      </c>
      <c r="E411" t="s">
        <v>211</v>
      </c>
      <c r="F411">
        <v>96</v>
      </c>
      <c r="G411">
        <f>MAX(I407,I410)</f>
        <v>1193951</v>
      </c>
      <c r="H411">
        <f>CEILING((dram_access_latency+F411/dram_bandwidth)*frequency,1)</f>
        <v>102</v>
      </c>
      <c r="I411">
        <f>G411+H411</f>
        <v>1194053</v>
      </c>
      <c r="J411">
        <f>IF(AND(D411&lt;&gt;"dram",D411&lt;&gt;"control"),H411,0)</f>
        <v>0</v>
      </c>
      <c r="K411">
        <f>IF(D411="dram",H411,0)</f>
        <v>102</v>
      </c>
      <c r="L411">
        <v>96</v>
      </c>
      <c r="M411">
        <v>0</v>
      </c>
    </row>
    <row r="412" spans="1:13">
      <c r="A412">
        <v>410</v>
      </c>
      <c r="B412" t="s">
        <v>203</v>
      </c>
      <c r="C412" t="s">
        <v>78</v>
      </c>
      <c r="D412" t="s">
        <v>79</v>
      </c>
      <c r="E412" t="s">
        <v>211</v>
      </c>
      <c r="F412">
        <v>2</v>
      </c>
      <c r="G412">
        <f>MAX(I407,I411)</f>
        <v>1194053</v>
      </c>
      <c r="H412">
        <f>CEILING((dram_access_latency+F412/dram_bandwidth)*frequency,1)</f>
        <v>101</v>
      </c>
      <c r="I412">
        <f>G412+H412</f>
        <v>1194154</v>
      </c>
      <c r="J412">
        <f>IF(AND(D412&lt;&gt;"dram",D412&lt;&gt;"control"),H412,0)</f>
        <v>0</v>
      </c>
      <c r="K412">
        <f>IF(D412="dram",H412,0)</f>
        <v>101</v>
      </c>
      <c r="L412">
        <v>2</v>
      </c>
      <c r="M412">
        <v>0</v>
      </c>
    </row>
    <row r="413" spans="1:13">
      <c r="A413">
        <v>411</v>
      </c>
      <c r="B413" t="s">
        <v>36</v>
      </c>
      <c r="C413" t="s">
        <v>85</v>
      </c>
      <c r="D413" t="s">
        <v>17</v>
      </c>
      <c r="E413" t="s">
        <v>211</v>
      </c>
      <c r="F413">
        <v>0</v>
      </c>
      <c r="G413">
        <f>MAX(I406,I263,I409,I410,I411,I412,I408)</f>
        <v>1194154</v>
      </c>
      <c r="H413">
        <f>'Operations'!I14</f>
        <v>1280</v>
      </c>
      <c r="I413">
        <f>G413+H413</f>
        <v>1195434</v>
      </c>
      <c r="J413">
        <f>IF(AND(D413&lt;&gt;"dram",D413&lt;&gt;"control"),H413,0)</f>
        <v>1280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204</v>
      </c>
      <c r="C414" t="s">
        <v>82</v>
      </c>
      <c r="D414" t="s">
        <v>83</v>
      </c>
      <c r="E414" t="s">
        <v>211</v>
      </c>
      <c r="F414">
        <v>0</v>
      </c>
      <c r="G414">
        <f>MAX(I407,I406)</f>
        <v>1192562</v>
      </c>
      <c r="H414">
        <f>0</f>
        <v>1436</v>
      </c>
      <c r="I414">
        <f>G414+H414</f>
        <v>1193998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205</v>
      </c>
      <c r="C415" t="s">
        <v>87</v>
      </c>
      <c r="D415" t="s">
        <v>79</v>
      </c>
      <c r="E415" t="s">
        <v>211</v>
      </c>
      <c r="F415">
        <v>640</v>
      </c>
      <c r="G415">
        <f>MAX(I414,I412)</f>
        <v>1194154</v>
      </c>
      <c r="H415">
        <f>CEILING((dram_access_latency+F415/dram_bandwidth)*frequency,1)</f>
        <v>110</v>
      </c>
      <c r="I415">
        <f>G415+H415</f>
        <v>1194264</v>
      </c>
      <c r="J415">
        <f>IF(AND(D415&lt;&gt;"dram",D415&lt;&gt;"control"),H415,0)</f>
        <v>0</v>
      </c>
      <c r="K415">
        <f>IF(D415="dram",H415,0)</f>
        <v>110</v>
      </c>
      <c r="L415">
        <v>0</v>
      </c>
      <c r="M415">
        <v>640</v>
      </c>
    </row>
    <row r="416" spans="1:13">
      <c r="A416">
        <v>414</v>
      </c>
      <c r="B416" t="s">
        <v>200</v>
      </c>
      <c r="C416" t="s">
        <v>78</v>
      </c>
      <c r="D416" t="s">
        <v>79</v>
      </c>
      <c r="E416" t="s">
        <v>212</v>
      </c>
      <c r="F416">
        <v>61440</v>
      </c>
      <c r="G416">
        <f>MAX(I414,I415)</f>
        <v>1194264</v>
      </c>
      <c r="H416">
        <f>CEILING((dram_access_latency+F416/dram_bandwidth)*frequency,1)</f>
        <v>1004</v>
      </c>
      <c r="I416">
        <f>G416+H416</f>
        <v>1195268</v>
      </c>
      <c r="J416">
        <f>IF(AND(D416&lt;&gt;"dram",D416&lt;&gt;"control"),H416,0)</f>
        <v>0</v>
      </c>
      <c r="K416">
        <f>IF(D416="dram",H416,0)</f>
        <v>1004</v>
      </c>
      <c r="L416">
        <v>61440</v>
      </c>
      <c r="M416">
        <v>0</v>
      </c>
    </row>
    <row r="417" spans="1:13">
      <c r="A417">
        <v>415</v>
      </c>
      <c r="B417" t="s">
        <v>201</v>
      </c>
      <c r="C417" t="s">
        <v>78</v>
      </c>
      <c r="D417" t="s">
        <v>79</v>
      </c>
      <c r="E417" t="s">
        <v>212</v>
      </c>
      <c r="F417">
        <v>1280</v>
      </c>
      <c r="G417">
        <f>MAX(I414,I416)</f>
        <v>1195268</v>
      </c>
      <c r="H417">
        <f>CEILING((dram_access_latency+F417/dram_bandwidth)*frequency,1)</f>
        <v>119</v>
      </c>
      <c r="I417">
        <f>G417+H417</f>
        <v>1195387</v>
      </c>
      <c r="J417">
        <f>IF(AND(D417&lt;&gt;"dram",D417&lt;&gt;"control"),H417,0)</f>
        <v>0</v>
      </c>
      <c r="K417">
        <f>IF(D417="dram",H417,0)</f>
        <v>119</v>
      </c>
      <c r="L417">
        <v>1280</v>
      </c>
      <c r="M417">
        <v>0</v>
      </c>
    </row>
    <row r="418" spans="1:13">
      <c r="A418">
        <v>416</v>
      </c>
      <c r="B418" t="s">
        <v>202</v>
      </c>
      <c r="C418" t="s">
        <v>78</v>
      </c>
      <c r="D418" t="s">
        <v>79</v>
      </c>
      <c r="E418" t="s">
        <v>212</v>
      </c>
      <c r="F418">
        <v>96</v>
      </c>
      <c r="G418">
        <f>MAX(I414,I417)</f>
        <v>1195387</v>
      </c>
      <c r="H418">
        <f>CEILING((dram_access_latency+F418/dram_bandwidth)*frequency,1)</f>
        <v>102</v>
      </c>
      <c r="I418">
        <f>G418+H418</f>
        <v>1195489</v>
      </c>
      <c r="J418">
        <f>IF(AND(D418&lt;&gt;"dram",D418&lt;&gt;"control"),H418,0)</f>
        <v>0</v>
      </c>
      <c r="K418">
        <f>IF(D418="dram",H418,0)</f>
        <v>102</v>
      </c>
      <c r="L418">
        <v>96</v>
      </c>
      <c r="M418">
        <v>0</v>
      </c>
    </row>
    <row r="419" spans="1:13">
      <c r="A419">
        <v>417</v>
      </c>
      <c r="B419" t="s">
        <v>203</v>
      </c>
      <c r="C419" t="s">
        <v>78</v>
      </c>
      <c r="D419" t="s">
        <v>79</v>
      </c>
      <c r="E419" t="s">
        <v>212</v>
      </c>
      <c r="F419">
        <v>2</v>
      </c>
      <c r="G419">
        <f>MAX(I414,I418)</f>
        <v>1195489</v>
      </c>
      <c r="H419">
        <f>CEILING((dram_access_latency+F419/dram_bandwidth)*frequency,1)</f>
        <v>101</v>
      </c>
      <c r="I419">
        <f>G419+H419</f>
        <v>1195590</v>
      </c>
      <c r="J419">
        <f>IF(AND(D419&lt;&gt;"dram",D419&lt;&gt;"control"),H419,0)</f>
        <v>0</v>
      </c>
      <c r="K419">
        <f>IF(D419="dram",H419,0)</f>
        <v>101</v>
      </c>
      <c r="L419">
        <v>2</v>
      </c>
      <c r="M419">
        <v>0</v>
      </c>
    </row>
    <row r="420" spans="1:13">
      <c r="A420">
        <v>418</v>
      </c>
      <c r="B420" t="s">
        <v>36</v>
      </c>
      <c r="C420" t="s">
        <v>85</v>
      </c>
      <c r="D420" t="s">
        <v>17</v>
      </c>
      <c r="E420" t="s">
        <v>212</v>
      </c>
      <c r="F420">
        <v>0</v>
      </c>
      <c r="G420">
        <f>MAX(I413,I263,I416,I417,I418,I419,I415)</f>
        <v>1195590</v>
      </c>
      <c r="H420">
        <f>'Operations'!I14</f>
        <v>1280</v>
      </c>
      <c r="I420">
        <f>G420+H420</f>
        <v>1196870</v>
      </c>
      <c r="J420">
        <f>IF(AND(D420&lt;&gt;"dram",D420&lt;&gt;"control"),H420,0)</f>
        <v>1280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204</v>
      </c>
      <c r="C421" t="s">
        <v>82</v>
      </c>
      <c r="D421" t="s">
        <v>83</v>
      </c>
      <c r="E421" t="s">
        <v>212</v>
      </c>
      <c r="F421">
        <v>0</v>
      </c>
      <c r="G421">
        <f>MAX(I414,I413)</f>
        <v>1193998</v>
      </c>
      <c r="H421">
        <f>0</f>
        <v>1436</v>
      </c>
      <c r="I421">
        <f>G421+H421</f>
        <v>1195434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205</v>
      </c>
      <c r="C422" t="s">
        <v>87</v>
      </c>
      <c r="D422" t="s">
        <v>79</v>
      </c>
      <c r="E422" t="s">
        <v>212</v>
      </c>
      <c r="F422">
        <v>640</v>
      </c>
      <c r="G422">
        <f>MAX(I421,I419)</f>
        <v>1195590</v>
      </c>
      <c r="H422">
        <f>CEILING((dram_access_latency+F422/dram_bandwidth)*frequency,1)</f>
        <v>110</v>
      </c>
      <c r="I422">
        <f>G422+H422</f>
        <v>1195700</v>
      </c>
      <c r="J422">
        <f>IF(AND(D422&lt;&gt;"dram",D422&lt;&gt;"control"),H422,0)</f>
        <v>0</v>
      </c>
      <c r="K422">
        <f>IF(D422="dram",H422,0)</f>
        <v>110</v>
      </c>
      <c r="L422">
        <v>0</v>
      </c>
      <c r="M422">
        <v>640</v>
      </c>
    </row>
    <row r="423" spans="1:13">
      <c r="A423">
        <v>421</v>
      </c>
      <c r="B423" t="s">
        <v>200</v>
      </c>
      <c r="C423" t="s">
        <v>78</v>
      </c>
      <c r="D423" t="s">
        <v>79</v>
      </c>
      <c r="E423" t="s">
        <v>213</v>
      </c>
      <c r="F423">
        <v>61440</v>
      </c>
      <c r="G423">
        <f>MAX(I421,I422)</f>
        <v>1195700</v>
      </c>
      <c r="H423">
        <f>CEILING((dram_access_latency+F423/dram_bandwidth)*frequency,1)</f>
        <v>1004</v>
      </c>
      <c r="I423">
        <f>G423+H423</f>
        <v>1196704</v>
      </c>
      <c r="J423">
        <f>IF(AND(D423&lt;&gt;"dram",D423&lt;&gt;"control"),H423,0)</f>
        <v>0</v>
      </c>
      <c r="K423">
        <f>IF(D423="dram",H423,0)</f>
        <v>1004</v>
      </c>
      <c r="L423">
        <v>61440</v>
      </c>
      <c r="M423">
        <v>0</v>
      </c>
    </row>
    <row r="424" spans="1:13">
      <c r="A424">
        <v>422</v>
      </c>
      <c r="B424" t="s">
        <v>201</v>
      </c>
      <c r="C424" t="s">
        <v>78</v>
      </c>
      <c r="D424" t="s">
        <v>79</v>
      </c>
      <c r="E424" t="s">
        <v>213</v>
      </c>
      <c r="F424">
        <v>1280</v>
      </c>
      <c r="G424">
        <f>MAX(I421,I423)</f>
        <v>1196704</v>
      </c>
      <c r="H424">
        <f>CEILING((dram_access_latency+F424/dram_bandwidth)*frequency,1)</f>
        <v>119</v>
      </c>
      <c r="I424">
        <f>G424+H424</f>
        <v>1196823</v>
      </c>
      <c r="J424">
        <f>IF(AND(D424&lt;&gt;"dram",D424&lt;&gt;"control"),H424,0)</f>
        <v>0</v>
      </c>
      <c r="K424">
        <f>IF(D424="dram",H424,0)</f>
        <v>119</v>
      </c>
      <c r="L424">
        <v>1280</v>
      </c>
      <c r="M424">
        <v>0</v>
      </c>
    </row>
    <row r="425" spans="1:13">
      <c r="A425">
        <v>423</v>
      </c>
      <c r="B425" t="s">
        <v>202</v>
      </c>
      <c r="C425" t="s">
        <v>78</v>
      </c>
      <c r="D425" t="s">
        <v>79</v>
      </c>
      <c r="E425" t="s">
        <v>213</v>
      </c>
      <c r="F425">
        <v>96</v>
      </c>
      <c r="G425">
        <f>MAX(I421,I424)</f>
        <v>1196823</v>
      </c>
      <c r="H425">
        <f>CEILING((dram_access_latency+F425/dram_bandwidth)*frequency,1)</f>
        <v>102</v>
      </c>
      <c r="I425">
        <f>G425+H425</f>
        <v>1196925</v>
      </c>
      <c r="J425">
        <f>IF(AND(D425&lt;&gt;"dram",D425&lt;&gt;"control"),H425,0)</f>
        <v>0</v>
      </c>
      <c r="K425">
        <f>IF(D425="dram",H425,0)</f>
        <v>102</v>
      </c>
      <c r="L425">
        <v>96</v>
      </c>
      <c r="M425">
        <v>0</v>
      </c>
    </row>
    <row r="426" spans="1:13">
      <c r="A426">
        <v>424</v>
      </c>
      <c r="B426" t="s">
        <v>203</v>
      </c>
      <c r="C426" t="s">
        <v>78</v>
      </c>
      <c r="D426" t="s">
        <v>79</v>
      </c>
      <c r="E426" t="s">
        <v>213</v>
      </c>
      <c r="F426">
        <v>2</v>
      </c>
      <c r="G426">
        <f>MAX(I421,I425)</f>
        <v>1196925</v>
      </c>
      <c r="H426">
        <f>CEILING((dram_access_latency+F426/dram_bandwidth)*frequency,1)</f>
        <v>101</v>
      </c>
      <c r="I426">
        <f>G426+H426</f>
        <v>1197026</v>
      </c>
      <c r="J426">
        <f>IF(AND(D426&lt;&gt;"dram",D426&lt;&gt;"control"),H426,0)</f>
        <v>0</v>
      </c>
      <c r="K426">
        <f>IF(D426="dram",H426,0)</f>
        <v>101</v>
      </c>
      <c r="L426">
        <v>2</v>
      </c>
      <c r="M426">
        <v>0</v>
      </c>
    </row>
    <row r="427" spans="1:13">
      <c r="A427">
        <v>425</v>
      </c>
      <c r="B427" t="s">
        <v>36</v>
      </c>
      <c r="C427" t="s">
        <v>85</v>
      </c>
      <c r="D427" t="s">
        <v>17</v>
      </c>
      <c r="E427" t="s">
        <v>213</v>
      </c>
      <c r="F427">
        <v>0</v>
      </c>
      <c r="G427">
        <f>MAX(I420,I263,I423,I424,I425,I426,I422)</f>
        <v>1197026</v>
      </c>
      <c r="H427">
        <f>'Operations'!I14</f>
        <v>1280</v>
      </c>
      <c r="I427">
        <f>G427+H427</f>
        <v>1198306</v>
      </c>
      <c r="J427">
        <f>IF(AND(D427&lt;&gt;"dram",D427&lt;&gt;"control"),H427,0)</f>
        <v>1280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204</v>
      </c>
      <c r="C428" t="s">
        <v>82</v>
      </c>
      <c r="D428" t="s">
        <v>83</v>
      </c>
      <c r="E428" t="s">
        <v>213</v>
      </c>
      <c r="F428">
        <v>0</v>
      </c>
      <c r="G428">
        <f>MAX(I421,I420)</f>
        <v>1195434</v>
      </c>
      <c r="H428">
        <f>0</f>
        <v>1436</v>
      </c>
      <c r="I428">
        <f>G428+H428</f>
        <v>1196870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205</v>
      </c>
      <c r="C429" t="s">
        <v>87</v>
      </c>
      <c r="D429" t="s">
        <v>79</v>
      </c>
      <c r="E429" t="s">
        <v>213</v>
      </c>
      <c r="F429">
        <v>640</v>
      </c>
      <c r="G429">
        <f>MAX(I428,I426)</f>
        <v>1197026</v>
      </c>
      <c r="H429">
        <f>CEILING((dram_access_latency+F429/dram_bandwidth)*frequency,1)</f>
        <v>110</v>
      </c>
      <c r="I429">
        <f>G429+H429</f>
        <v>1197136</v>
      </c>
      <c r="J429">
        <f>IF(AND(D429&lt;&gt;"dram",D429&lt;&gt;"control"),H429,0)</f>
        <v>0</v>
      </c>
      <c r="K429">
        <f>IF(D429="dram",H429,0)</f>
        <v>110</v>
      </c>
      <c r="L429">
        <v>0</v>
      </c>
      <c r="M429">
        <v>640</v>
      </c>
    </row>
    <row r="430" spans="1:13">
      <c r="A430">
        <v>428</v>
      </c>
      <c r="B430" t="s">
        <v>200</v>
      </c>
      <c r="C430" t="s">
        <v>78</v>
      </c>
      <c r="D430" t="s">
        <v>79</v>
      </c>
      <c r="E430" t="s">
        <v>214</v>
      </c>
      <c r="F430">
        <v>61440</v>
      </c>
      <c r="G430">
        <f>MAX(I428,I429)</f>
        <v>1197136</v>
      </c>
      <c r="H430">
        <f>CEILING((dram_access_latency+F430/dram_bandwidth)*frequency,1)</f>
        <v>1004</v>
      </c>
      <c r="I430">
        <f>G430+H430</f>
        <v>1198140</v>
      </c>
      <c r="J430">
        <f>IF(AND(D430&lt;&gt;"dram",D430&lt;&gt;"control"),H430,0)</f>
        <v>0</v>
      </c>
      <c r="K430">
        <f>IF(D430="dram",H430,0)</f>
        <v>1004</v>
      </c>
      <c r="L430">
        <v>61440</v>
      </c>
      <c r="M430">
        <v>0</v>
      </c>
    </row>
    <row r="431" spans="1:13">
      <c r="A431">
        <v>429</v>
      </c>
      <c r="B431" t="s">
        <v>201</v>
      </c>
      <c r="C431" t="s">
        <v>78</v>
      </c>
      <c r="D431" t="s">
        <v>79</v>
      </c>
      <c r="E431" t="s">
        <v>214</v>
      </c>
      <c r="F431">
        <v>1280</v>
      </c>
      <c r="G431">
        <f>MAX(I428,I430)</f>
        <v>1198140</v>
      </c>
      <c r="H431">
        <f>CEILING((dram_access_latency+F431/dram_bandwidth)*frequency,1)</f>
        <v>119</v>
      </c>
      <c r="I431">
        <f>G431+H431</f>
        <v>1198259</v>
      </c>
      <c r="J431">
        <f>IF(AND(D431&lt;&gt;"dram",D431&lt;&gt;"control"),H431,0)</f>
        <v>0</v>
      </c>
      <c r="K431">
        <f>IF(D431="dram",H431,0)</f>
        <v>119</v>
      </c>
      <c r="L431">
        <v>1280</v>
      </c>
      <c r="M431">
        <v>0</v>
      </c>
    </row>
    <row r="432" spans="1:13">
      <c r="A432">
        <v>430</v>
      </c>
      <c r="B432" t="s">
        <v>202</v>
      </c>
      <c r="C432" t="s">
        <v>78</v>
      </c>
      <c r="D432" t="s">
        <v>79</v>
      </c>
      <c r="E432" t="s">
        <v>214</v>
      </c>
      <c r="F432">
        <v>96</v>
      </c>
      <c r="G432">
        <f>MAX(I428,I431)</f>
        <v>1198259</v>
      </c>
      <c r="H432">
        <f>CEILING((dram_access_latency+F432/dram_bandwidth)*frequency,1)</f>
        <v>102</v>
      </c>
      <c r="I432">
        <f>G432+H432</f>
        <v>1198361</v>
      </c>
      <c r="J432">
        <f>IF(AND(D432&lt;&gt;"dram",D432&lt;&gt;"control"),H432,0)</f>
        <v>0</v>
      </c>
      <c r="K432">
        <f>IF(D432="dram",H432,0)</f>
        <v>102</v>
      </c>
      <c r="L432">
        <v>96</v>
      </c>
      <c r="M432">
        <v>0</v>
      </c>
    </row>
    <row r="433" spans="1:13">
      <c r="A433">
        <v>431</v>
      </c>
      <c r="B433" t="s">
        <v>203</v>
      </c>
      <c r="C433" t="s">
        <v>78</v>
      </c>
      <c r="D433" t="s">
        <v>79</v>
      </c>
      <c r="E433" t="s">
        <v>214</v>
      </c>
      <c r="F433">
        <v>2</v>
      </c>
      <c r="G433">
        <f>MAX(I428,I432)</f>
        <v>1198361</v>
      </c>
      <c r="H433">
        <f>CEILING((dram_access_latency+F433/dram_bandwidth)*frequency,1)</f>
        <v>101</v>
      </c>
      <c r="I433">
        <f>G433+H433</f>
        <v>1198462</v>
      </c>
      <c r="J433">
        <f>IF(AND(D433&lt;&gt;"dram",D433&lt;&gt;"control"),H433,0)</f>
        <v>0</v>
      </c>
      <c r="K433">
        <f>IF(D433="dram",H433,0)</f>
        <v>101</v>
      </c>
      <c r="L433">
        <v>2</v>
      </c>
      <c r="M433">
        <v>0</v>
      </c>
    </row>
    <row r="434" spans="1:13">
      <c r="A434">
        <v>432</v>
      </c>
      <c r="B434" t="s">
        <v>36</v>
      </c>
      <c r="C434" t="s">
        <v>85</v>
      </c>
      <c r="D434" t="s">
        <v>17</v>
      </c>
      <c r="E434" t="s">
        <v>214</v>
      </c>
      <c r="F434">
        <v>0</v>
      </c>
      <c r="G434">
        <f>MAX(I427,I263,I430,I431,I432,I433,I429)</f>
        <v>1198462</v>
      </c>
      <c r="H434">
        <f>'Operations'!I14</f>
        <v>1280</v>
      </c>
      <c r="I434">
        <f>G434+H434</f>
        <v>1199742</v>
      </c>
      <c r="J434">
        <f>IF(AND(D434&lt;&gt;"dram",D434&lt;&gt;"control"),H434,0)</f>
        <v>1280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204</v>
      </c>
      <c r="C435" t="s">
        <v>82</v>
      </c>
      <c r="D435" t="s">
        <v>83</v>
      </c>
      <c r="E435" t="s">
        <v>214</v>
      </c>
      <c r="F435">
        <v>0</v>
      </c>
      <c r="G435">
        <f>MAX(I428,I427)</f>
        <v>1196870</v>
      </c>
      <c r="H435">
        <f>0</f>
        <v>1436</v>
      </c>
      <c r="I435">
        <f>G435+H435</f>
        <v>1198306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205</v>
      </c>
      <c r="C436" t="s">
        <v>87</v>
      </c>
      <c r="D436" t="s">
        <v>79</v>
      </c>
      <c r="E436" t="s">
        <v>214</v>
      </c>
      <c r="F436">
        <v>640</v>
      </c>
      <c r="G436">
        <f>MAX(I435,I433)</f>
        <v>1198462</v>
      </c>
      <c r="H436">
        <f>CEILING((dram_access_latency+F436/dram_bandwidth)*frequency,1)</f>
        <v>110</v>
      </c>
      <c r="I436">
        <f>G436+H436</f>
        <v>1198572</v>
      </c>
      <c r="J436">
        <f>IF(AND(D436&lt;&gt;"dram",D436&lt;&gt;"control"),H436,0)</f>
        <v>0</v>
      </c>
      <c r="K436">
        <f>IF(D436="dram",H436,0)</f>
        <v>110</v>
      </c>
      <c r="L436">
        <v>0</v>
      </c>
      <c r="M436">
        <v>640</v>
      </c>
    </row>
    <row r="437" spans="1:13">
      <c r="A437">
        <v>435</v>
      </c>
      <c r="B437" t="s">
        <v>200</v>
      </c>
      <c r="C437" t="s">
        <v>78</v>
      </c>
      <c r="D437" t="s">
        <v>79</v>
      </c>
      <c r="E437" t="s">
        <v>215</v>
      </c>
      <c r="F437">
        <v>61440</v>
      </c>
      <c r="G437">
        <f>MAX(I435,I436)</f>
        <v>1198572</v>
      </c>
      <c r="H437">
        <f>CEILING((dram_access_latency+F437/dram_bandwidth)*frequency,1)</f>
        <v>1004</v>
      </c>
      <c r="I437">
        <f>G437+H437</f>
        <v>1199576</v>
      </c>
      <c r="J437">
        <f>IF(AND(D437&lt;&gt;"dram",D437&lt;&gt;"control"),H437,0)</f>
        <v>0</v>
      </c>
      <c r="K437">
        <f>IF(D437="dram",H437,0)</f>
        <v>1004</v>
      </c>
      <c r="L437">
        <v>61440</v>
      </c>
      <c r="M437">
        <v>0</v>
      </c>
    </row>
    <row r="438" spans="1:13">
      <c r="A438">
        <v>436</v>
      </c>
      <c r="B438" t="s">
        <v>201</v>
      </c>
      <c r="C438" t="s">
        <v>78</v>
      </c>
      <c r="D438" t="s">
        <v>79</v>
      </c>
      <c r="E438" t="s">
        <v>215</v>
      </c>
      <c r="F438">
        <v>1280</v>
      </c>
      <c r="G438">
        <f>MAX(I435,I437)</f>
        <v>1199576</v>
      </c>
      <c r="H438">
        <f>CEILING((dram_access_latency+F438/dram_bandwidth)*frequency,1)</f>
        <v>119</v>
      </c>
      <c r="I438">
        <f>G438+H438</f>
        <v>1199695</v>
      </c>
      <c r="J438">
        <f>IF(AND(D438&lt;&gt;"dram",D438&lt;&gt;"control"),H438,0)</f>
        <v>0</v>
      </c>
      <c r="K438">
        <f>IF(D438="dram",H438,0)</f>
        <v>119</v>
      </c>
      <c r="L438">
        <v>1280</v>
      </c>
      <c r="M438">
        <v>0</v>
      </c>
    </row>
    <row r="439" spans="1:13">
      <c r="A439">
        <v>437</v>
      </c>
      <c r="B439" t="s">
        <v>202</v>
      </c>
      <c r="C439" t="s">
        <v>78</v>
      </c>
      <c r="D439" t="s">
        <v>79</v>
      </c>
      <c r="E439" t="s">
        <v>215</v>
      </c>
      <c r="F439">
        <v>96</v>
      </c>
      <c r="G439">
        <f>MAX(I435,I438)</f>
        <v>1199695</v>
      </c>
      <c r="H439">
        <f>CEILING((dram_access_latency+F439/dram_bandwidth)*frequency,1)</f>
        <v>102</v>
      </c>
      <c r="I439">
        <f>G439+H439</f>
        <v>1199797</v>
      </c>
      <c r="J439">
        <f>IF(AND(D439&lt;&gt;"dram",D439&lt;&gt;"control"),H439,0)</f>
        <v>0</v>
      </c>
      <c r="K439">
        <f>IF(D439="dram",H439,0)</f>
        <v>102</v>
      </c>
      <c r="L439">
        <v>96</v>
      </c>
      <c r="M439">
        <v>0</v>
      </c>
    </row>
    <row r="440" spans="1:13">
      <c r="A440">
        <v>438</v>
      </c>
      <c r="B440" t="s">
        <v>203</v>
      </c>
      <c r="C440" t="s">
        <v>78</v>
      </c>
      <c r="D440" t="s">
        <v>79</v>
      </c>
      <c r="E440" t="s">
        <v>215</v>
      </c>
      <c r="F440">
        <v>2</v>
      </c>
      <c r="G440">
        <f>MAX(I435,I439)</f>
        <v>1199797</v>
      </c>
      <c r="H440">
        <f>CEILING((dram_access_latency+F440/dram_bandwidth)*frequency,1)</f>
        <v>101</v>
      </c>
      <c r="I440">
        <f>G440+H440</f>
        <v>1199898</v>
      </c>
      <c r="J440">
        <f>IF(AND(D440&lt;&gt;"dram",D440&lt;&gt;"control"),H440,0)</f>
        <v>0</v>
      </c>
      <c r="K440">
        <f>IF(D440="dram",H440,0)</f>
        <v>101</v>
      </c>
      <c r="L440">
        <v>2</v>
      </c>
      <c r="M440">
        <v>0</v>
      </c>
    </row>
    <row r="441" spans="1:13">
      <c r="A441">
        <v>439</v>
      </c>
      <c r="B441" t="s">
        <v>36</v>
      </c>
      <c r="C441" t="s">
        <v>85</v>
      </c>
      <c r="D441" t="s">
        <v>17</v>
      </c>
      <c r="E441" t="s">
        <v>215</v>
      </c>
      <c r="F441">
        <v>0</v>
      </c>
      <c r="G441">
        <f>MAX(I434,I263,I437,I438,I439,I440,I436)</f>
        <v>1199898</v>
      </c>
      <c r="H441">
        <f>'Operations'!I14</f>
        <v>1280</v>
      </c>
      <c r="I441">
        <f>G441+H441</f>
        <v>1201178</v>
      </c>
      <c r="J441">
        <f>IF(AND(D441&lt;&gt;"dram",D441&lt;&gt;"control"),H441,0)</f>
        <v>1280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204</v>
      </c>
      <c r="C442" t="s">
        <v>82</v>
      </c>
      <c r="D442" t="s">
        <v>83</v>
      </c>
      <c r="E442" t="s">
        <v>215</v>
      </c>
      <c r="F442">
        <v>0</v>
      </c>
      <c r="G442">
        <f>MAX(I435,I434)</f>
        <v>1198306</v>
      </c>
      <c r="H442">
        <f>0</f>
        <v>1436</v>
      </c>
      <c r="I442">
        <f>G442+H442</f>
        <v>1199742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205</v>
      </c>
      <c r="C443" t="s">
        <v>87</v>
      </c>
      <c r="D443" t="s">
        <v>79</v>
      </c>
      <c r="E443" t="s">
        <v>215</v>
      </c>
      <c r="F443">
        <v>640</v>
      </c>
      <c r="G443">
        <f>MAX(I442,I440)</f>
        <v>1199898</v>
      </c>
      <c r="H443">
        <f>CEILING((dram_access_latency+F443/dram_bandwidth)*frequency,1)</f>
        <v>110</v>
      </c>
      <c r="I443">
        <f>G443+H443</f>
        <v>1200008</v>
      </c>
      <c r="J443">
        <f>IF(AND(D443&lt;&gt;"dram",D443&lt;&gt;"control"),H443,0)</f>
        <v>0</v>
      </c>
      <c r="K443">
        <f>IF(D443="dram",H443,0)</f>
        <v>110</v>
      </c>
      <c r="L443">
        <v>0</v>
      </c>
      <c r="M443">
        <v>640</v>
      </c>
    </row>
    <row r="444" spans="1:13">
      <c r="A444">
        <v>442</v>
      </c>
      <c r="B444" t="s">
        <v>200</v>
      </c>
      <c r="C444" t="s">
        <v>78</v>
      </c>
      <c r="D444" t="s">
        <v>79</v>
      </c>
      <c r="E444" t="s">
        <v>216</v>
      </c>
      <c r="F444">
        <v>61440</v>
      </c>
      <c r="G444">
        <f>MAX(I442,I443)</f>
        <v>1200008</v>
      </c>
      <c r="H444">
        <f>CEILING((dram_access_latency+F444/dram_bandwidth)*frequency,1)</f>
        <v>1004</v>
      </c>
      <c r="I444">
        <f>G444+H444</f>
        <v>1201012</v>
      </c>
      <c r="J444">
        <f>IF(AND(D444&lt;&gt;"dram",D444&lt;&gt;"control"),H444,0)</f>
        <v>0</v>
      </c>
      <c r="K444">
        <f>IF(D444="dram",H444,0)</f>
        <v>1004</v>
      </c>
      <c r="L444">
        <v>61440</v>
      </c>
      <c r="M444">
        <v>0</v>
      </c>
    </row>
    <row r="445" spans="1:13">
      <c r="A445">
        <v>443</v>
      </c>
      <c r="B445" t="s">
        <v>201</v>
      </c>
      <c r="C445" t="s">
        <v>78</v>
      </c>
      <c r="D445" t="s">
        <v>79</v>
      </c>
      <c r="E445" t="s">
        <v>216</v>
      </c>
      <c r="F445">
        <v>1280</v>
      </c>
      <c r="G445">
        <f>MAX(I442,I444)</f>
        <v>1201012</v>
      </c>
      <c r="H445">
        <f>CEILING((dram_access_latency+F445/dram_bandwidth)*frequency,1)</f>
        <v>119</v>
      </c>
      <c r="I445">
        <f>G445+H445</f>
        <v>1201131</v>
      </c>
      <c r="J445">
        <f>IF(AND(D445&lt;&gt;"dram",D445&lt;&gt;"control"),H445,0)</f>
        <v>0</v>
      </c>
      <c r="K445">
        <f>IF(D445="dram",H445,0)</f>
        <v>119</v>
      </c>
      <c r="L445">
        <v>1280</v>
      </c>
      <c r="M445">
        <v>0</v>
      </c>
    </row>
    <row r="446" spans="1:13">
      <c r="A446">
        <v>444</v>
      </c>
      <c r="B446" t="s">
        <v>202</v>
      </c>
      <c r="C446" t="s">
        <v>78</v>
      </c>
      <c r="D446" t="s">
        <v>79</v>
      </c>
      <c r="E446" t="s">
        <v>216</v>
      </c>
      <c r="F446">
        <v>96</v>
      </c>
      <c r="G446">
        <f>MAX(I442,I445)</f>
        <v>1201131</v>
      </c>
      <c r="H446">
        <f>CEILING((dram_access_latency+F446/dram_bandwidth)*frequency,1)</f>
        <v>102</v>
      </c>
      <c r="I446">
        <f>G446+H446</f>
        <v>1201233</v>
      </c>
      <c r="J446">
        <f>IF(AND(D446&lt;&gt;"dram",D446&lt;&gt;"control"),H446,0)</f>
        <v>0</v>
      </c>
      <c r="K446">
        <f>IF(D446="dram",H446,0)</f>
        <v>102</v>
      </c>
      <c r="L446">
        <v>96</v>
      </c>
      <c r="M446">
        <v>0</v>
      </c>
    </row>
    <row r="447" spans="1:13">
      <c r="A447">
        <v>445</v>
      </c>
      <c r="B447" t="s">
        <v>203</v>
      </c>
      <c r="C447" t="s">
        <v>78</v>
      </c>
      <c r="D447" t="s">
        <v>79</v>
      </c>
      <c r="E447" t="s">
        <v>216</v>
      </c>
      <c r="F447">
        <v>2</v>
      </c>
      <c r="G447">
        <f>MAX(I442,I446)</f>
        <v>1201233</v>
      </c>
      <c r="H447">
        <f>CEILING((dram_access_latency+F447/dram_bandwidth)*frequency,1)</f>
        <v>101</v>
      </c>
      <c r="I447">
        <f>G447+H447</f>
        <v>1201334</v>
      </c>
      <c r="J447">
        <f>IF(AND(D447&lt;&gt;"dram",D447&lt;&gt;"control"),H447,0)</f>
        <v>0</v>
      </c>
      <c r="K447">
        <f>IF(D447="dram",H447,0)</f>
        <v>101</v>
      </c>
      <c r="L447">
        <v>2</v>
      </c>
      <c r="M447">
        <v>0</v>
      </c>
    </row>
    <row r="448" spans="1:13">
      <c r="A448">
        <v>446</v>
      </c>
      <c r="B448" t="s">
        <v>36</v>
      </c>
      <c r="C448" t="s">
        <v>85</v>
      </c>
      <c r="D448" t="s">
        <v>17</v>
      </c>
      <c r="E448" t="s">
        <v>216</v>
      </c>
      <c r="F448">
        <v>0</v>
      </c>
      <c r="G448">
        <f>MAX(I441,I263,I444,I445,I446,I447,I443)</f>
        <v>1201334</v>
      </c>
      <c r="H448">
        <f>'Operations'!I14</f>
        <v>1280</v>
      </c>
      <c r="I448">
        <f>G448+H448</f>
        <v>1202614</v>
      </c>
      <c r="J448">
        <f>IF(AND(D448&lt;&gt;"dram",D448&lt;&gt;"control"),H448,0)</f>
        <v>1280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204</v>
      </c>
      <c r="C449" t="s">
        <v>82</v>
      </c>
      <c r="D449" t="s">
        <v>83</v>
      </c>
      <c r="E449" t="s">
        <v>216</v>
      </c>
      <c r="F449">
        <v>0</v>
      </c>
      <c r="G449">
        <f>MAX(I442,I441)</f>
        <v>1199742</v>
      </c>
      <c r="H449">
        <f>0</f>
        <v>1436</v>
      </c>
      <c r="I449">
        <f>G449+H449</f>
        <v>1201178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205</v>
      </c>
      <c r="C450" t="s">
        <v>87</v>
      </c>
      <c r="D450" t="s">
        <v>79</v>
      </c>
      <c r="E450" t="s">
        <v>216</v>
      </c>
      <c r="F450">
        <v>640</v>
      </c>
      <c r="G450">
        <f>MAX(I449,I447)</f>
        <v>1201334</v>
      </c>
      <c r="H450">
        <f>CEILING((dram_access_latency+F450/dram_bandwidth)*frequency,1)</f>
        <v>110</v>
      </c>
      <c r="I450">
        <f>G450+H450</f>
        <v>1201444</v>
      </c>
      <c r="J450">
        <f>IF(AND(D450&lt;&gt;"dram",D450&lt;&gt;"control"),H450,0)</f>
        <v>0</v>
      </c>
      <c r="K450">
        <f>IF(D450="dram",H450,0)</f>
        <v>110</v>
      </c>
      <c r="L450">
        <v>0</v>
      </c>
      <c r="M450">
        <v>640</v>
      </c>
    </row>
    <row r="451" spans="1:13">
      <c r="A451">
        <v>449</v>
      </c>
      <c r="B451" t="s">
        <v>200</v>
      </c>
      <c r="C451" t="s">
        <v>78</v>
      </c>
      <c r="D451" t="s">
        <v>79</v>
      </c>
      <c r="E451" t="s">
        <v>217</v>
      </c>
      <c r="F451">
        <v>61440</v>
      </c>
      <c r="G451">
        <f>MAX(I449,I450)</f>
        <v>1201444</v>
      </c>
      <c r="H451">
        <f>CEILING((dram_access_latency+F451/dram_bandwidth)*frequency,1)</f>
        <v>1004</v>
      </c>
      <c r="I451">
        <f>G451+H451</f>
        <v>1202448</v>
      </c>
      <c r="J451">
        <f>IF(AND(D451&lt;&gt;"dram",D451&lt;&gt;"control"),H451,0)</f>
        <v>0</v>
      </c>
      <c r="K451">
        <f>IF(D451="dram",H451,0)</f>
        <v>1004</v>
      </c>
      <c r="L451">
        <v>61440</v>
      </c>
      <c r="M451">
        <v>0</v>
      </c>
    </row>
    <row r="452" spans="1:13">
      <c r="A452">
        <v>450</v>
      </c>
      <c r="B452" t="s">
        <v>201</v>
      </c>
      <c r="C452" t="s">
        <v>78</v>
      </c>
      <c r="D452" t="s">
        <v>79</v>
      </c>
      <c r="E452" t="s">
        <v>217</v>
      </c>
      <c r="F452">
        <v>1280</v>
      </c>
      <c r="G452">
        <f>MAX(I449,I451)</f>
        <v>1202448</v>
      </c>
      <c r="H452">
        <f>CEILING((dram_access_latency+F452/dram_bandwidth)*frequency,1)</f>
        <v>119</v>
      </c>
      <c r="I452">
        <f>G452+H452</f>
        <v>1202567</v>
      </c>
      <c r="J452">
        <f>IF(AND(D452&lt;&gt;"dram",D452&lt;&gt;"control"),H452,0)</f>
        <v>0</v>
      </c>
      <c r="K452">
        <f>IF(D452="dram",H452,0)</f>
        <v>119</v>
      </c>
      <c r="L452">
        <v>1280</v>
      </c>
      <c r="M452">
        <v>0</v>
      </c>
    </row>
    <row r="453" spans="1:13">
      <c r="A453">
        <v>451</v>
      </c>
      <c r="B453" t="s">
        <v>202</v>
      </c>
      <c r="C453" t="s">
        <v>78</v>
      </c>
      <c r="D453" t="s">
        <v>79</v>
      </c>
      <c r="E453" t="s">
        <v>217</v>
      </c>
      <c r="F453">
        <v>96</v>
      </c>
      <c r="G453">
        <f>MAX(I449,I452)</f>
        <v>1202567</v>
      </c>
      <c r="H453">
        <f>CEILING((dram_access_latency+F453/dram_bandwidth)*frequency,1)</f>
        <v>102</v>
      </c>
      <c r="I453">
        <f>G453+H453</f>
        <v>1202669</v>
      </c>
      <c r="J453">
        <f>IF(AND(D453&lt;&gt;"dram",D453&lt;&gt;"control"),H453,0)</f>
        <v>0</v>
      </c>
      <c r="K453">
        <f>IF(D453="dram",H453,0)</f>
        <v>102</v>
      </c>
      <c r="L453">
        <v>96</v>
      </c>
      <c r="M453">
        <v>0</v>
      </c>
    </row>
    <row r="454" spans="1:13">
      <c r="A454">
        <v>452</v>
      </c>
      <c r="B454" t="s">
        <v>203</v>
      </c>
      <c r="C454" t="s">
        <v>78</v>
      </c>
      <c r="D454" t="s">
        <v>79</v>
      </c>
      <c r="E454" t="s">
        <v>217</v>
      </c>
      <c r="F454">
        <v>2</v>
      </c>
      <c r="G454">
        <f>MAX(I449,I453)</f>
        <v>1202669</v>
      </c>
      <c r="H454">
        <f>CEILING((dram_access_latency+F454/dram_bandwidth)*frequency,1)</f>
        <v>101</v>
      </c>
      <c r="I454">
        <f>G454+H454</f>
        <v>1202770</v>
      </c>
      <c r="J454">
        <f>IF(AND(D454&lt;&gt;"dram",D454&lt;&gt;"control"),H454,0)</f>
        <v>0</v>
      </c>
      <c r="K454">
        <f>IF(D454="dram",H454,0)</f>
        <v>101</v>
      </c>
      <c r="L454">
        <v>2</v>
      </c>
      <c r="M454">
        <v>0</v>
      </c>
    </row>
    <row r="455" spans="1:13">
      <c r="A455">
        <v>453</v>
      </c>
      <c r="B455" t="s">
        <v>36</v>
      </c>
      <c r="C455" t="s">
        <v>85</v>
      </c>
      <c r="D455" t="s">
        <v>17</v>
      </c>
      <c r="E455" t="s">
        <v>217</v>
      </c>
      <c r="F455">
        <v>0</v>
      </c>
      <c r="G455">
        <f>MAX(I448,I263,I451,I452,I453,I454,I450)</f>
        <v>1202770</v>
      </c>
      <c r="H455">
        <f>'Operations'!I14</f>
        <v>1280</v>
      </c>
      <c r="I455">
        <f>G455+H455</f>
        <v>1204050</v>
      </c>
      <c r="J455">
        <f>IF(AND(D455&lt;&gt;"dram",D455&lt;&gt;"control"),H455,0)</f>
        <v>1280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204</v>
      </c>
      <c r="C456" t="s">
        <v>82</v>
      </c>
      <c r="D456" t="s">
        <v>83</v>
      </c>
      <c r="E456" t="s">
        <v>217</v>
      </c>
      <c r="F456">
        <v>0</v>
      </c>
      <c r="G456">
        <f>MAX(I449,I448)</f>
        <v>1201178</v>
      </c>
      <c r="H456">
        <f>0</f>
        <v>1436</v>
      </c>
      <c r="I456">
        <f>G456+H456</f>
        <v>1202614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205</v>
      </c>
      <c r="C457" t="s">
        <v>87</v>
      </c>
      <c r="D457" t="s">
        <v>79</v>
      </c>
      <c r="E457" t="s">
        <v>217</v>
      </c>
      <c r="F457">
        <v>640</v>
      </c>
      <c r="G457">
        <f>MAX(I456,I454)</f>
        <v>1202770</v>
      </c>
      <c r="H457">
        <f>CEILING((dram_access_latency+F457/dram_bandwidth)*frequency,1)</f>
        <v>110</v>
      </c>
      <c r="I457">
        <f>G457+H457</f>
        <v>1202880</v>
      </c>
      <c r="J457">
        <f>IF(AND(D457&lt;&gt;"dram",D457&lt;&gt;"control"),H457,0)</f>
        <v>0</v>
      </c>
      <c r="K457">
        <f>IF(D457="dram",H457,0)</f>
        <v>110</v>
      </c>
      <c r="L457">
        <v>0</v>
      </c>
      <c r="M457">
        <v>640</v>
      </c>
    </row>
    <row r="458" spans="1:13">
      <c r="A458">
        <v>456</v>
      </c>
      <c r="B458" t="s">
        <v>200</v>
      </c>
      <c r="C458" t="s">
        <v>78</v>
      </c>
      <c r="D458" t="s">
        <v>79</v>
      </c>
      <c r="E458" t="s">
        <v>218</v>
      </c>
      <c r="F458">
        <v>61440</v>
      </c>
      <c r="G458">
        <f>MAX(I456,I457)</f>
        <v>1202880</v>
      </c>
      <c r="H458">
        <f>CEILING((dram_access_latency+F458/dram_bandwidth)*frequency,1)</f>
        <v>1004</v>
      </c>
      <c r="I458">
        <f>G458+H458</f>
        <v>1203884</v>
      </c>
      <c r="J458">
        <f>IF(AND(D458&lt;&gt;"dram",D458&lt;&gt;"control"),H458,0)</f>
        <v>0</v>
      </c>
      <c r="K458">
        <f>IF(D458="dram",H458,0)</f>
        <v>1004</v>
      </c>
      <c r="L458">
        <v>61440</v>
      </c>
      <c r="M458">
        <v>0</v>
      </c>
    </row>
    <row r="459" spans="1:13">
      <c r="A459">
        <v>457</v>
      </c>
      <c r="B459" t="s">
        <v>201</v>
      </c>
      <c r="C459" t="s">
        <v>78</v>
      </c>
      <c r="D459" t="s">
        <v>79</v>
      </c>
      <c r="E459" t="s">
        <v>218</v>
      </c>
      <c r="F459">
        <v>1280</v>
      </c>
      <c r="G459">
        <f>MAX(I456,I458)</f>
        <v>1203884</v>
      </c>
      <c r="H459">
        <f>CEILING((dram_access_latency+F459/dram_bandwidth)*frequency,1)</f>
        <v>119</v>
      </c>
      <c r="I459">
        <f>G459+H459</f>
        <v>1204003</v>
      </c>
      <c r="J459">
        <f>IF(AND(D459&lt;&gt;"dram",D459&lt;&gt;"control"),H459,0)</f>
        <v>0</v>
      </c>
      <c r="K459">
        <f>IF(D459="dram",H459,0)</f>
        <v>119</v>
      </c>
      <c r="L459">
        <v>1280</v>
      </c>
      <c r="M459">
        <v>0</v>
      </c>
    </row>
    <row r="460" spans="1:13">
      <c r="A460">
        <v>458</v>
      </c>
      <c r="B460" t="s">
        <v>202</v>
      </c>
      <c r="C460" t="s">
        <v>78</v>
      </c>
      <c r="D460" t="s">
        <v>79</v>
      </c>
      <c r="E460" t="s">
        <v>218</v>
      </c>
      <c r="F460">
        <v>96</v>
      </c>
      <c r="G460">
        <f>MAX(I456,I459)</f>
        <v>1204003</v>
      </c>
      <c r="H460">
        <f>CEILING((dram_access_latency+F460/dram_bandwidth)*frequency,1)</f>
        <v>102</v>
      </c>
      <c r="I460">
        <f>G460+H460</f>
        <v>1204105</v>
      </c>
      <c r="J460">
        <f>IF(AND(D460&lt;&gt;"dram",D460&lt;&gt;"control"),H460,0)</f>
        <v>0</v>
      </c>
      <c r="K460">
        <f>IF(D460="dram",H460,0)</f>
        <v>102</v>
      </c>
      <c r="L460">
        <v>96</v>
      </c>
      <c r="M460">
        <v>0</v>
      </c>
    </row>
    <row r="461" spans="1:13">
      <c r="A461">
        <v>459</v>
      </c>
      <c r="B461" t="s">
        <v>203</v>
      </c>
      <c r="C461" t="s">
        <v>78</v>
      </c>
      <c r="D461" t="s">
        <v>79</v>
      </c>
      <c r="E461" t="s">
        <v>218</v>
      </c>
      <c r="F461">
        <v>2</v>
      </c>
      <c r="G461">
        <f>MAX(I456,I460)</f>
        <v>1204105</v>
      </c>
      <c r="H461">
        <f>CEILING((dram_access_latency+F461/dram_bandwidth)*frequency,1)</f>
        <v>101</v>
      </c>
      <c r="I461">
        <f>G461+H461</f>
        <v>1204206</v>
      </c>
      <c r="J461">
        <f>IF(AND(D461&lt;&gt;"dram",D461&lt;&gt;"control"),H461,0)</f>
        <v>0</v>
      </c>
      <c r="K461">
        <f>IF(D461="dram",H461,0)</f>
        <v>101</v>
      </c>
      <c r="L461">
        <v>2</v>
      </c>
      <c r="M461">
        <v>0</v>
      </c>
    </row>
    <row r="462" spans="1:13">
      <c r="A462">
        <v>460</v>
      </c>
      <c r="B462" t="s">
        <v>36</v>
      </c>
      <c r="C462" t="s">
        <v>85</v>
      </c>
      <c r="D462" t="s">
        <v>17</v>
      </c>
      <c r="E462" t="s">
        <v>218</v>
      </c>
      <c r="F462">
        <v>0</v>
      </c>
      <c r="G462">
        <f>MAX(I455,I263,I458,I459,I460,I461,I457)</f>
        <v>1204206</v>
      </c>
      <c r="H462">
        <f>'Operations'!I14</f>
        <v>1280</v>
      </c>
      <c r="I462">
        <f>G462+H462</f>
        <v>1205486</v>
      </c>
      <c r="J462">
        <f>IF(AND(D462&lt;&gt;"dram",D462&lt;&gt;"control"),H462,0)</f>
        <v>1280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204</v>
      </c>
      <c r="C463" t="s">
        <v>82</v>
      </c>
      <c r="D463" t="s">
        <v>83</v>
      </c>
      <c r="E463" t="s">
        <v>218</v>
      </c>
      <c r="F463">
        <v>0</v>
      </c>
      <c r="G463">
        <f>MAX(I456,I455)</f>
        <v>1202614</v>
      </c>
      <c r="H463">
        <f>0</f>
        <v>1436</v>
      </c>
      <c r="I463">
        <f>G463+H463</f>
        <v>1204050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205</v>
      </c>
      <c r="C464" t="s">
        <v>87</v>
      </c>
      <c r="D464" t="s">
        <v>79</v>
      </c>
      <c r="E464" t="s">
        <v>218</v>
      </c>
      <c r="F464">
        <v>640</v>
      </c>
      <c r="G464">
        <f>MAX(I463,I461)</f>
        <v>1204206</v>
      </c>
      <c r="H464">
        <f>CEILING((dram_access_latency+F464/dram_bandwidth)*frequency,1)</f>
        <v>110</v>
      </c>
      <c r="I464">
        <f>G464+H464</f>
        <v>1204316</v>
      </c>
      <c r="J464">
        <f>IF(AND(D464&lt;&gt;"dram",D464&lt;&gt;"control"),H464,0)</f>
        <v>0</v>
      </c>
      <c r="K464">
        <f>IF(D464="dram",H464,0)</f>
        <v>110</v>
      </c>
      <c r="L464">
        <v>0</v>
      </c>
      <c r="M464">
        <v>640</v>
      </c>
    </row>
    <row r="465" spans="1:13">
      <c r="A465">
        <v>463</v>
      </c>
      <c r="B465" t="s">
        <v>200</v>
      </c>
      <c r="C465" t="s">
        <v>78</v>
      </c>
      <c r="D465" t="s">
        <v>79</v>
      </c>
      <c r="E465" t="s">
        <v>219</v>
      </c>
      <c r="F465">
        <v>61440</v>
      </c>
      <c r="G465">
        <f>MAX(I463,I464)</f>
        <v>1204316</v>
      </c>
      <c r="H465">
        <f>CEILING((dram_access_latency+F465/dram_bandwidth)*frequency,1)</f>
        <v>1004</v>
      </c>
      <c r="I465">
        <f>G465+H465</f>
        <v>1205320</v>
      </c>
      <c r="J465">
        <f>IF(AND(D465&lt;&gt;"dram",D465&lt;&gt;"control"),H465,0)</f>
        <v>0</v>
      </c>
      <c r="K465">
        <f>IF(D465="dram",H465,0)</f>
        <v>1004</v>
      </c>
      <c r="L465">
        <v>61440</v>
      </c>
      <c r="M465">
        <v>0</v>
      </c>
    </row>
    <row r="466" spans="1:13">
      <c r="A466">
        <v>464</v>
      </c>
      <c r="B466" t="s">
        <v>201</v>
      </c>
      <c r="C466" t="s">
        <v>78</v>
      </c>
      <c r="D466" t="s">
        <v>79</v>
      </c>
      <c r="E466" t="s">
        <v>219</v>
      </c>
      <c r="F466">
        <v>1280</v>
      </c>
      <c r="G466">
        <f>MAX(I463,I465)</f>
        <v>1205320</v>
      </c>
      <c r="H466">
        <f>CEILING((dram_access_latency+F466/dram_bandwidth)*frequency,1)</f>
        <v>119</v>
      </c>
      <c r="I466">
        <f>G466+H466</f>
        <v>1205439</v>
      </c>
      <c r="J466">
        <f>IF(AND(D466&lt;&gt;"dram",D466&lt;&gt;"control"),H466,0)</f>
        <v>0</v>
      </c>
      <c r="K466">
        <f>IF(D466="dram",H466,0)</f>
        <v>119</v>
      </c>
      <c r="L466">
        <v>1280</v>
      </c>
      <c r="M466">
        <v>0</v>
      </c>
    </row>
    <row r="467" spans="1:13">
      <c r="A467">
        <v>465</v>
      </c>
      <c r="B467" t="s">
        <v>202</v>
      </c>
      <c r="C467" t="s">
        <v>78</v>
      </c>
      <c r="D467" t="s">
        <v>79</v>
      </c>
      <c r="E467" t="s">
        <v>219</v>
      </c>
      <c r="F467">
        <v>96</v>
      </c>
      <c r="G467">
        <f>MAX(I463,I466)</f>
        <v>1205439</v>
      </c>
      <c r="H467">
        <f>CEILING((dram_access_latency+F467/dram_bandwidth)*frequency,1)</f>
        <v>102</v>
      </c>
      <c r="I467">
        <f>G467+H467</f>
        <v>1205541</v>
      </c>
      <c r="J467">
        <f>IF(AND(D467&lt;&gt;"dram",D467&lt;&gt;"control"),H467,0)</f>
        <v>0</v>
      </c>
      <c r="K467">
        <f>IF(D467="dram",H467,0)</f>
        <v>102</v>
      </c>
      <c r="L467">
        <v>96</v>
      </c>
      <c r="M467">
        <v>0</v>
      </c>
    </row>
    <row r="468" spans="1:13">
      <c r="A468">
        <v>466</v>
      </c>
      <c r="B468" t="s">
        <v>203</v>
      </c>
      <c r="C468" t="s">
        <v>78</v>
      </c>
      <c r="D468" t="s">
        <v>79</v>
      </c>
      <c r="E468" t="s">
        <v>219</v>
      </c>
      <c r="F468">
        <v>2</v>
      </c>
      <c r="G468">
        <f>MAX(I463,I467)</f>
        <v>1205541</v>
      </c>
      <c r="H468">
        <f>CEILING((dram_access_latency+F468/dram_bandwidth)*frequency,1)</f>
        <v>101</v>
      </c>
      <c r="I468">
        <f>G468+H468</f>
        <v>1205642</v>
      </c>
      <c r="J468">
        <f>IF(AND(D468&lt;&gt;"dram",D468&lt;&gt;"control"),H468,0)</f>
        <v>0</v>
      </c>
      <c r="K468">
        <f>IF(D468="dram",H468,0)</f>
        <v>101</v>
      </c>
      <c r="L468">
        <v>2</v>
      </c>
      <c r="M468">
        <v>0</v>
      </c>
    </row>
    <row r="469" spans="1:13">
      <c r="A469">
        <v>467</v>
      </c>
      <c r="B469" t="s">
        <v>36</v>
      </c>
      <c r="C469" t="s">
        <v>85</v>
      </c>
      <c r="D469" t="s">
        <v>17</v>
      </c>
      <c r="E469" t="s">
        <v>219</v>
      </c>
      <c r="F469">
        <v>0</v>
      </c>
      <c r="G469">
        <f>MAX(I462,I263,I465,I466,I467,I468,I464)</f>
        <v>1205642</v>
      </c>
      <c r="H469">
        <f>'Operations'!I14</f>
        <v>1280</v>
      </c>
      <c r="I469">
        <f>G469+H469</f>
        <v>1206922</v>
      </c>
      <c r="J469">
        <f>IF(AND(D469&lt;&gt;"dram",D469&lt;&gt;"control"),H469,0)</f>
        <v>1280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204</v>
      </c>
      <c r="C470" t="s">
        <v>82</v>
      </c>
      <c r="D470" t="s">
        <v>83</v>
      </c>
      <c r="E470" t="s">
        <v>219</v>
      </c>
      <c r="F470">
        <v>0</v>
      </c>
      <c r="G470">
        <f>MAX(I463,I462)</f>
        <v>1204050</v>
      </c>
      <c r="H470">
        <f>0</f>
        <v>1436</v>
      </c>
      <c r="I470">
        <f>G470+H470</f>
        <v>1205486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205</v>
      </c>
      <c r="C471" t="s">
        <v>87</v>
      </c>
      <c r="D471" t="s">
        <v>79</v>
      </c>
      <c r="E471" t="s">
        <v>219</v>
      </c>
      <c r="F471">
        <v>640</v>
      </c>
      <c r="G471">
        <f>MAX(I470,I468)</f>
        <v>1205642</v>
      </c>
      <c r="H471">
        <f>CEILING((dram_access_latency+F471/dram_bandwidth)*frequency,1)</f>
        <v>110</v>
      </c>
      <c r="I471">
        <f>G471+H471</f>
        <v>1205752</v>
      </c>
      <c r="J471">
        <f>IF(AND(D471&lt;&gt;"dram",D471&lt;&gt;"control"),H471,0)</f>
        <v>0</v>
      </c>
      <c r="K471">
        <f>IF(D471="dram",H471,0)</f>
        <v>110</v>
      </c>
      <c r="L471">
        <v>0</v>
      </c>
      <c r="M471">
        <v>640</v>
      </c>
    </row>
    <row r="472" spans="1:13">
      <c r="A472">
        <v>470</v>
      </c>
      <c r="B472" t="s">
        <v>200</v>
      </c>
      <c r="C472" t="s">
        <v>78</v>
      </c>
      <c r="D472" t="s">
        <v>79</v>
      </c>
      <c r="E472" t="s">
        <v>220</v>
      </c>
      <c r="F472">
        <v>61440</v>
      </c>
      <c r="G472">
        <f>MAX(I470,I471)</f>
        <v>1205752</v>
      </c>
      <c r="H472">
        <f>CEILING((dram_access_latency+F472/dram_bandwidth)*frequency,1)</f>
        <v>1004</v>
      </c>
      <c r="I472">
        <f>G472+H472</f>
        <v>1206756</v>
      </c>
      <c r="J472">
        <f>IF(AND(D472&lt;&gt;"dram",D472&lt;&gt;"control"),H472,0)</f>
        <v>0</v>
      </c>
      <c r="K472">
        <f>IF(D472="dram",H472,0)</f>
        <v>1004</v>
      </c>
      <c r="L472">
        <v>61440</v>
      </c>
      <c r="M472">
        <v>0</v>
      </c>
    </row>
    <row r="473" spans="1:13">
      <c r="A473">
        <v>471</v>
      </c>
      <c r="B473" t="s">
        <v>201</v>
      </c>
      <c r="C473" t="s">
        <v>78</v>
      </c>
      <c r="D473" t="s">
        <v>79</v>
      </c>
      <c r="E473" t="s">
        <v>220</v>
      </c>
      <c r="F473">
        <v>1280</v>
      </c>
      <c r="G473">
        <f>MAX(I470,I472)</f>
        <v>1206756</v>
      </c>
      <c r="H473">
        <f>CEILING((dram_access_latency+F473/dram_bandwidth)*frequency,1)</f>
        <v>119</v>
      </c>
      <c r="I473">
        <f>G473+H473</f>
        <v>1206875</v>
      </c>
      <c r="J473">
        <f>IF(AND(D473&lt;&gt;"dram",D473&lt;&gt;"control"),H473,0)</f>
        <v>0</v>
      </c>
      <c r="K473">
        <f>IF(D473="dram",H473,0)</f>
        <v>119</v>
      </c>
      <c r="L473">
        <v>1280</v>
      </c>
      <c r="M473">
        <v>0</v>
      </c>
    </row>
    <row r="474" spans="1:13">
      <c r="A474">
        <v>472</v>
      </c>
      <c r="B474" t="s">
        <v>202</v>
      </c>
      <c r="C474" t="s">
        <v>78</v>
      </c>
      <c r="D474" t="s">
        <v>79</v>
      </c>
      <c r="E474" t="s">
        <v>220</v>
      </c>
      <c r="F474">
        <v>96</v>
      </c>
      <c r="G474">
        <f>MAX(I470,I473)</f>
        <v>1206875</v>
      </c>
      <c r="H474">
        <f>CEILING((dram_access_latency+F474/dram_bandwidth)*frequency,1)</f>
        <v>102</v>
      </c>
      <c r="I474">
        <f>G474+H474</f>
        <v>1206977</v>
      </c>
      <c r="J474">
        <f>IF(AND(D474&lt;&gt;"dram",D474&lt;&gt;"control"),H474,0)</f>
        <v>0</v>
      </c>
      <c r="K474">
        <f>IF(D474="dram",H474,0)</f>
        <v>102</v>
      </c>
      <c r="L474">
        <v>96</v>
      </c>
      <c r="M474">
        <v>0</v>
      </c>
    </row>
    <row r="475" spans="1:13">
      <c r="A475">
        <v>473</v>
      </c>
      <c r="B475" t="s">
        <v>203</v>
      </c>
      <c r="C475" t="s">
        <v>78</v>
      </c>
      <c r="D475" t="s">
        <v>79</v>
      </c>
      <c r="E475" t="s">
        <v>220</v>
      </c>
      <c r="F475">
        <v>2</v>
      </c>
      <c r="G475">
        <f>MAX(I470,I474)</f>
        <v>1206977</v>
      </c>
      <c r="H475">
        <f>CEILING((dram_access_latency+F475/dram_bandwidth)*frequency,1)</f>
        <v>101</v>
      </c>
      <c r="I475">
        <f>G475+H475</f>
        <v>1207078</v>
      </c>
      <c r="J475">
        <f>IF(AND(D475&lt;&gt;"dram",D475&lt;&gt;"control"),H475,0)</f>
        <v>0</v>
      </c>
      <c r="K475">
        <f>IF(D475="dram",H475,0)</f>
        <v>101</v>
      </c>
      <c r="L475">
        <v>2</v>
      </c>
      <c r="M475">
        <v>0</v>
      </c>
    </row>
    <row r="476" spans="1:13">
      <c r="A476">
        <v>474</v>
      </c>
      <c r="B476" t="s">
        <v>36</v>
      </c>
      <c r="C476" t="s">
        <v>85</v>
      </c>
      <c r="D476" t="s">
        <v>17</v>
      </c>
      <c r="E476" t="s">
        <v>220</v>
      </c>
      <c r="F476">
        <v>0</v>
      </c>
      <c r="G476">
        <f>MAX(I469,I263,I472,I473,I474,I475,I471)</f>
        <v>1207078</v>
      </c>
      <c r="H476">
        <f>'Operations'!I14</f>
        <v>1280</v>
      </c>
      <c r="I476">
        <f>G476+H476</f>
        <v>1208358</v>
      </c>
      <c r="J476">
        <f>IF(AND(D476&lt;&gt;"dram",D476&lt;&gt;"control"),H476,0)</f>
        <v>1280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204</v>
      </c>
      <c r="C477" t="s">
        <v>82</v>
      </c>
      <c r="D477" t="s">
        <v>83</v>
      </c>
      <c r="E477" t="s">
        <v>220</v>
      </c>
      <c r="F477">
        <v>0</v>
      </c>
      <c r="G477">
        <f>MAX(I470,I469)</f>
        <v>1205486</v>
      </c>
      <c r="H477">
        <f>0</f>
        <v>1436</v>
      </c>
      <c r="I477">
        <f>G477+H477</f>
        <v>1206922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205</v>
      </c>
      <c r="C478" t="s">
        <v>87</v>
      </c>
      <c r="D478" t="s">
        <v>79</v>
      </c>
      <c r="E478" t="s">
        <v>220</v>
      </c>
      <c r="F478">
        <v>640</v>
      </c>
      <c r="G478">
        <f>MAX(I477,I475)</f>
        <v>1207078</v>
      </c>
      <c r="H478">
        <f>CEILING((dram_access_latency+F478/dram_bandwidth)*frequency,1)</f>
        <v>110</v>
      </c>
      <c r="I478">
        <f>G478+H478</f>
        <v>1207188</v>
      </c>
      <c r="J478">
        <f>IF(AND(D478&lt;&gt;"dram",D478&lt;&gt;"control"),H478,0)</f>
        <v>0</v>
      </c>
      <c r="K478">
        <f>IF(D478="dram",H478,0)</f>
        <v>110</v>
      </c>
      <c r="L478">
        <v>0</v>
      </c>
      <c r="M478">
        <v>640</v>
      </c>
    </row>
    <row r="479" spans="1:13">
      <c r="A479">
        <v>477</v>
      </c>
      <c r="B479" t="s">
        <v>200</v>
      </c>
      <c r="C479" t="s">
        <v>78</v>
      </c>
      <c r="D479" t="s">
        <v>79</v>
      </c>
      <c r="E479" t="s">
        <v>221</v>
      </c>
      <c r="F479">
        <v>61440</v>
      </c>
      <c r="G479">
        <f>MAX(I477,I478)</f>
        <v>1207188</v>
      </c>
      <c r="H479">
        <f>CEILING((dram_access_latency+F479/dram_bandwidth)*frequency,1)</f>
        <v>1004</v>
      </c>
      <c r="I479">
        <f>G479+H479</f>
        <v>1208192</v>
      </c>
      <c r="J479">
        <f>IF(AND(D479&lt;&gt;"dram",D479&lt;&gt;"control"),H479,0)</f>
        <v>0</v>
      </c>
      <c r="K479">
        <f>IF(D479="dram",H479,0)</f>
        <v>1004</v>
      </c>
      <c r="L479">
        <v>61440</v>
      </c>
      <c r="M479">
        <v>0</v>
      </c>
    </row>
    <row r="480" spans="1:13">
      <c r="A480">
        <v>478</v>
      </c>
      <c r="B480" t="s">
        <v>201</v>
      </c>
      <c r="C480" t="s">
        <v>78</v>
      </c>
      <c r="D480" t="s">
        <v>79</v>
      </c>
      <c r="E480" t="s">
        <v>221</v>
      </c>
      <c r="F480">
        <v>1280</v>
      </c>
      <c r="G480">
        <f>MAX(I477,I479)</f>
        <v>1208192</v>
      </c>
      <c r="H480">
        <f>CEILING((dram_access_latency+F480/dram_bandwidth)*frequency,1)</f>
        <v>119</v>
      </c>
      <c r="I480">
        <f>G480+H480</f>
        <v>1208311</v>
      </c>
      <c r="J480">
        <f>IF(AND(D480&lt;&gt;"dram",D480&lt;&gt;"control"),H480,0)</f>
        <v>0</v>
      </c>
      <c r="K480">
        <f>IF(D480="dram",H480,0)</f>
        <v>119</v>
      </c>
      <c r="L480">
        <v>1280</v>
      </c>
      <c r="M480">
        <v>0</v>
      </c>
    </row>
    <row r="481" spans="1:13">
      <c r="A481">
        <v>479</v>
      </c>
      <c r="B481" t="s">
        <v>202</v>
      </c>
      <c r="C481" t="s">
        <v>78</v>
      </c>
      <c r="D481" t="s">
        <v>79</v>
      </c>
      <c r="E481" t="s">
        <v>221</v>
      </c>
      <c r="F481">
        <v>96</v>
      </c>
      <c r="G481">
        <f>MAX(I477,I480)</f>
        <v>1208311</v>
      </c>
      <c r="H481">
        <f>CEILING((dram_access_latency+F481/dram_bandwidth)*frequency,1)</f>
        <v>102</v>
      </c>
      <c r="I481">
        <f>G481+H481</f>
        <v>1208413</v>
      </c>
      <c r="J481">
        <f>IF(AND(D481&lt;&gt;"dram",D481&lt;&gt;"control"),H481,0)</f>
        <v>0</v>
      </c>
      <c r="K481">
        <f>IF(D481="dram",H481,0)</f>
        <v>102</v>
      </c>
      <c r="L481">
        <v>96</v>
      </c>
      <c r="M481">
        <v>0</v>
      </c>
    </row>
    <row r="482" spans="1:13">
      <c r="A482">
        <v>480</v>
      </c>
      <c r="B482" t="s">
        <v>203</v>
      </c>
      <c r="C482" t="s">
        <v>78</v>
      </c>
      <c r="D482" t="s">
        <v>79</v>
      </c>
      <c r="E482" t="s">
        <v>221</v>
      </c>
      <c r="F482">
        <v>2</v>
      </c>
      <c r="G482">
        <f>MAX(I477,I481)</f>
        <v>1208413</v>
      </c>
      <c r="H482">
        <f>CEILING((dram_access_latency+F482/dram_bandwidth)*frequency,1)</f>
        <v>101</v>
      </c>
      <c r="I482">
        <f>G482+H482</f>
        <v>1208514</v>
      </c>
      <c r="J482">
        <f>IF(AND(D482&lt;&gt;"dram",D482&lt;&gt;"control"),H482,0)</f>
        <v>0</v>
      </c>
      <c r="K482">
        <f>IF(D482="dram",H482,0)</f>
        <v>101</v>
      </c>
      <c r="L482">
        <v>2</v>
      </c>
      <c r="M482">
        <v>0</v>
      </c>
    </row>
    <row r="483" spans="1:13">
      <c r="A483">
        <v>481</v>
      </c>
      <c r="B483" t="s">
        <v>36</v>
      </c>
      <c r="C483" t="s">
        <v>85</v>
      </c>
      <c r="D483" t="s">
        <v>17</v>
      </c>
      <c r="E483" t="s">
        <v>221</v>
      </c>
      <c r="F483">
        <v>0</v>
      </c>
      <c r="G483">
        <f>MAX(I476,I263,I479,I480,I481,I482,I478)</f>
        <v>1208514</v>
      </c>
      <c r="H483">
        <f>'Operations'!I14</f>
        <v>1280</v>
      </c>
      <c r="I483">
        <f>G483+H483</f>
        <v>1209794</v>
      </c>
      <c r="J483">
        <f>IF(AND(D483&lt;&gt;"dram",D483&lt;&gt;"control"),H483,0)</f>
        <v>1280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204</v>
      </c>
      <c r="C484" t="s">
        <v>82</v>
      </c>
      <c r="D484" t="s">
        <v>83</v>
      </c>
      <c r="E484" t="s">
        <v>221</v>
      </c>
      <c r="F484">
        <v>0</v>
      </c>
      <c r="G484">
        <f>MAX(I477,I476)</f>
        <v>1206922</v>
      </c>
      <c r="H484">
        <f>0</f>
        <v>1436</v>
      </c>
      <c r="I484">
        <f>G484+H484</f>
        <v>1208358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205</v>
      </c>
      <c r="C485" t="s">
        <v>87</v>
      </c>
      <c r="D485" t="s">
        <v>79</v>
      </c>
      <c r="E485" t="s">
        <v>221</v>
      </c>
      <c r="F485">
        <v>640</v>
      </c>
      <c r="G485">
        <f>MAX(I484,I482)</f>
        <v>1208514</v>
      </c>
      <c r="H485">
        <f>CEILING((dram_access_latency+F485/dram_bandwidth)*frequency,1)</f>
        <v>110</v>
      </c>
      <c r="I485">
        <f>G485+H485</f>
        <v>1208624</v>
      </c>
      <c r="J485">
        <f>IF(AND(D485&lt;&gt;"dram",D485&lt;&gt;"control"),H485,0)</f>
        <v>0</v>
      </c>
      <c r="K485">
        <f>IF(D485="dram",H485,0)</f>
        <v>110</v>
      </c>
      <c r="L485">
        <v>0</v>
      </c>
      <c r="M485">
        <v>640</v>
      </c>
    </row>
    <row r="486" spans="1:13">
      <c r="A486">
        <v>484</v>
      </c>
      <c r="B486" t="s">
        <v>222</v>
      </c>
      <c r="C486" t="s">
        <v>82</v>
      </c>
      <c r="D486" t="s">
        <v>83</v>
      </c>
      <c r="E486" t="s">
        <v>80</v>
      </c>
      <c r="F486">
        <v>0</v>
      </c>
      <c r="G486">
        <f>MAX(I484,I483)</f>
        <v>1208358</v>
      </c>
      <c r="H486">
        <f>0</f>
        <v>1436</v>
      </c>
      <c r="I486">
        <f>G486+H486</f>
        <v>1209794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223</v>
      </c>
      <c r="C487" t="s">
        <v>87</v>
      </c>
      <c r="D487" t="s">
        <v>79</v>
      </c>
      <c r="E487" t="s">
        <v>80</v>
      </c>
      <c r="F487">
        <v>640</v>
      </c>
      <c r="G487">
        <f>MAX(I486,I485)</f>
        <v>1209794</v>
      </c>
      <c r="H487">
        <f>CEILING((dram_access_latency+F487/dram_bandwidth)*frequency,1)</f>
        <v>110</v>
      </c>
      <c r="I487">
        <f>G487+H487</f>
        <v>1209904</v>
      </c>
      <c r="J487">
        <f>IF(AND(D487&lt;&gt;"dram",D487&lt;&gt;"control"),H487,0)</f>
        <v>0</v>
      </c>
      <c r="K487">
        <f>IF(D487="dram",H487,0)</f>
        <v>110</v>
      </c>
      <c r="L487">
        <v>0</v>
      </c>
      <c r="M487">
        <v>640</v>
      </c>
    </row>
    <row r="488" spans="1:13">
      <c r="A488">
        <v>486</v>
      </c>
      <c r="B488" t="s">
        <v>224</v>
      </c>
      <c r="C488" t="s">
        <v>82</v>
      </c>
      <c r="D488" t="s">
        <v>83</v>
      </c>
      <c r="E488" t="s">
        <v>80</v>
      </c>
      <c r="F488">
        <v>0</v>
      </c>
      <c r="G488">
        <f>MAX(I486,I485)</f>
        <v>1209794</v>
      </c>
      <c r="H488">
        <f>0</f>
        <v>0</v>
      </c>
      <c r="I488">
        <f>G488+H488</f>
        <v>1209794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225</v>
      </c>
      <c r="C489" t="s">
        <v>82</v>
      </c>
      <c r="D489" t="s">
        <v>83</v>
      </c>
      <c r="E489" t="s">
        <v>80</v>
      </c>
      <c r="F489">
        <v>0</v>
      </c>
      <c r="G489">
        <f>MAX(I488,I487)</f>
        <v>1209794</v>
      </c>
      <c r="H489">
        <f>0</f>
        <v>110</v>
      </c>
      <c r="I489">
        <f>G489+H489</f>
        <v>1209904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226</v>
      </c>
      <c r="C490" t="s">
        <v>78</v>
      </c>
      <c r="D490" t="s">
        <v>79</v>
      </c>
      <c r="E490" t="s">
        <v>80</v>
      </c>
      <c r="F490">
        <v>5120</v>
      </c>
      <c r="G490">
        <f>MAX(I489,I487)</f>
        <v>1209904</v>
      </c>
      <c r="H490">
        <f>CEILING((dram_access_latency+F490/dram_bandwidth)*frequency,1)</f>
        <v>176</v>
      </c>
      <c r="I490">
        <f>G490+H490</f>
        <v>1210080</v>
      </c>
      <c r="J490">
        <f>IF(AND(D490&lt;&gt;"dram",D490&lt;&gt;"control"),H490,0)</f>
        <v>0</v>
      </c>
      <c r="K490">
        <f>IF(D490="dram",H490,0)</f>
        <v>176</v>
      </c>
      <c r="L490">
        <v>5120</v>
      </c>
      <c r="M490">
        <v>0</v>
      </c>
    </row>
    <row r="491" spans="1:13">
      <c r="A491">
        <v>489</v>
      </c>
      <c r="B491" t="s">
        <v>227</v>
      </c>
      <c r="C491" t="s">
        <v>78</v>
      </c>
      <c r="D491" t="s">
        <v>79</v>
      </c>
      <c r="E491" t="s">
        <v>84</v>
      </c>
      <c r="F491">
        <v>5120</v>
      </c>
      <c r="G491">
        <f>MAX(I489,I490)</f>
        <v>1210080</v>
      </c>
      <c r="H491">
        <f>CEILING((dram_access_latency+F491/dram_bandwidth)*frequency,1)</f>
        <v>176</v>
      </c>
      <c r="I491">
        <f>G491+H491</f>
        <v>1210256</v>
      </c>
      <c r="J491">
        <f>IF(AND(D491&lt;&gt;"dram",D491&lt;&gt;"control"),H491,0)</f>
        <v>0</v>
      </c>
      <c r="K491">
        <f>IF(D491="dram",H491,0)</f>
        <v>176</v>
      </c>
      <c r="L491">
        <v>5120</v>
      </c>
      <c r="M491">
        <v>0</v>
      </c>
    </row>
    <row r="492" spans="1:13">
      <c r="A492">
        <v>490</v>
      </c>
      <c r="B492" t="s">
        <v>228</v>
      </c>
      <c r="C492" t="s">
        <v>82</v>
      </c>
      <c r="D492" t="s">
        <v>83</v>
      </c>
      <c r="E492" t="s">
        <v>84</v>
      </c>
      <c r="F492">
        <v>0</v>
      </c>
      <c r="G492">
        <f>MAX(I489,I490)</f>
        <v>1209904</v>
      </c>
      <c r="H492">
        <f>0</f>
        <v>176</v>
      </c>
      <c r="I492">
        <f>G492+H492</f>
        <v>1210080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40</v>
      </c>
      <c r="C493" t="s">
        <v>85</v>
      </c>
      <c r="D493" t="s">
        <v>17</v>
      </c>
      <c r="E493" t="s">
        <v>84</v>
      </c>
      <c r="F493">
        <v>0</v>
      </c>
      <c r="G493">
        <f>MAX(I492,I483)</f>
        <v>1210080</v>
      </c>
      <c r="H493">
        <f>'Operations'!I15</f>
        <v>480</v>
      </c>
      <c r="I493">
        <f>G493+H493</f>
        <v>1210560</v>
      </c>
      <c r="J493">
        <f>IF(AND(D493&lt;&gt;"dram",D493&lt;&gt;"control"),H493,0)</f>
        <v>480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229</v>
      </c>
      <c r="C494" t="s">
        <v>87</v>
      </c>
      <c r="D494" t="s">
        <v>79</v>
      </c>
      <c r="E494" t="s">
        <v>84</v>
      </c>
      <c r="F494">
        <v>80</v>
      </c>
      <c r="G494">
        <f>MAX(I493,I491)</f>
        <v>1210560</v>
      </c>
      <c r="H494">
        <f>CEILING((dram_access_latency+F494/dram_bandwidth)*frequency,1)</f>
        <v>102</v>
      </c>
      <c r="I494">
        <f>G494+H494</f>
        <v>1210662</v>
      </c>
      <c r="J494">
        <f>IF(AND(D494&lt;&gt;"dram",D494&lt;&gt;"control"),H494,0)</f>
        <v>0</v>
      </c>
      <c r="K494">
        <f>IF(D494="dram",H494,0)</f>
        <v>102</v>
      </c>
      <c r="L494">
        <v>0</v>
      </c>
      <c r="M494">
        <v>80</v>
      </c>
    </row>
    <row r="495" spans="1:13">
      <c r="A495">
        <v>493</v>
      </c>
      <c r="B495" t="s">
        <v>230</v>
      </c>
      <c r="C495" t="s">
        <v>87</v>
      </c>
      <c r="D495" t="s">
        <v>79</v>
      </c>
      <c r="E495" t="s">
        <v>84</v>
      </c>
      <c r="F495">
        <v>3840</v>
      </c>
      <c r="G495">
        <f>MAX(I493,I494)</f>
        <v>1210662</v>
      </c>
      <c r="H495">
        <f>CEILING((dram_access_latency+F495/dram_bandwidth)*frequency,1)</f>
        <v>157</v>
      </c>
      <c r="I495">
        <f>G495+H495</f>
        <v>1210819</v>
      </c>
      <c r="J495">
        <f>IF(AND(D495&lt;&gt;"dram",D495&lt;&gt;"control"),H495,0)</f>
        <v>0</v>
      </c>
      <c r="K495">
        <f>IF(D495="dram",H495,0)</f>
        <v>157</v>
      </c>
      <c r="L495">
        <v>0</v>
      </c>
      <c r="M495">
        <v>3840</v>
      </c>
    </row>
    <row r="496" spans="1:13">
      <c r="A496">
        <v>494</v>
      </c>
      <c r="B496" t="s">
        <v>227</v>
      </c>
      <c r="C496" t="s">
        <v>78</v>
      </c>
      <c r="D496" t="s">
        <v>79</v>
      </c>
      <c r="E496" t="s">
        <v>101</v>
      </c>
      <c r="F496">
        <v>5120</v>
      </c>
      <c r="G496">
        <f>MAX(I493,I495)</f>
        <v>1210819</v>
      </c>
      <c r="H496">
        <f>CEILING((dram_access_latency+F496/dram_bandwidth)*frequency,1)</f>
        <v>176</v>
      </c>
      <c r="I496">
        <f>G496+H496</f>
        <v>1210995</v>
      </c>
      <c r="J496">
        <f>IF(AND(D496&lt;&gt;"dram",D496&lt;&gt;"control"),H496,0)</f>
        <v>0</v>
      </c>
      <c r="K496">
        <f>IF(D496="dram",H496,0)</f>
        <v>176</v>
      </c>
      <c r="L496">
        <v>5120</v>
      </c>
      <c r="M496">
        <v>0</v>
      </c>
    </row>
    <row r="497" spans="1:13">
      <c r="A497">
        <v>495</v>
      </c>
      <c r="B497" t="s">
        <v>228</v>
      </c>
      <c r="C497" t="s">
        <v>82</v>
      </c>
      <c r="D497" t="s">
        <v>83</v>
      </c>
      <c r="E497" t="s">
        <v>101</v>
      </c>
      <c r="F497">
        <v>0</v>
      </c>
      <c r="G497">
        <f>MAX(I493,I491)</f>
        <v>1210560</v>
      </c>
      <c r="H497">
        <f>0</f>
        <v>0</v>
      </c>
      <c r="I497">
        <f>G497+H497</f>
        <v>1210560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40</v>
      </c>
      <c r="C498" t="s">
        <v>85</v>
      </c>
      <c r="D498" t="s">
        <v>17</v>
      </c>
      <c r="E498" t="s">
        <v>101</v>
      </c>
      <c r="F498">
        <v>0</v>
      </c>
      <c r="G498">
        <f>MAX(I497,I493)</f>
        <v>1210560</v>
      </c>
      <c r="H498">
        <f>'Operations'!I15</f>
        <v>480</v>
      </c>
      <c r="I498">
        <f>G498+H498</f>
        <v>1211040</v>
      </c>
      <c r="J498">
        <f>IF(AND(D498&lt;&gt;"dram",D498&lt;&gt;"control"),H498,0)</f>
        <v>480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229</v>
      </c>
      <c r="C499" t="s">
        <v>87</v>
      </c>
      <c r="D499" t="s">
        <v>79</v>
      </c>
      <c r="E499" t="s">
        <v>101</v>
      </c>
      <c r="F499">
        <v>80</v>
      </c>
      <c r="G499">
        <f>MAX(I498,I496)</f>
        <v>1211040</v>
      </c>
      <c r="H499">
        <f>CEILING((dram_access_latency+F499/dram_bandwidth)*frequency,1)</f>
        <v>102</v>
      </c>
      <c r="I499">
        <f>G499+H499</f>
        <v>1211142</v>
      </c>
      <c r="J499">
        <f>IF(AND(D499&lt;&gt;"dram",D499&lt;&gt;"control"),H499,0)</f>
        <v>0</v>
      </c>
      <c r="K499">
        <f>IF(D499="dram",H499,0)</f>
        <v>102</v>
      </c>
      <c r="L499">
        <v>0</v>
      </c>
      <c r="M499">
        <v>80</v>
      </c>
    </row>
    <row r="500" spans="1:13">
      <c r="A500">
        <v>498</v>
      </c>
      <c r="B500" t="s">
        <v>230</v>
      </c>
      <c r="C500" t="s">
        <v>87</v>
      </c>
      <c r="D500" t="s">
        <v>79</v>
      </c>
      <c r="E500" t="s">
        <v>101</v>
      </c>
      <c r="F500">
        <v>3840</v>
      </c>
      <c r="G500">
        <f>MAX(I498,I499)</f>
        <v>1211142</v>
      </c>
      <c r="H500">
        <f>CEILING((dram_access_latency+F500/dram_bandwidth)*frequency,1)</f>
        <v>157</v>
      </c>
      <c r="I500">
        <f>G500+H500</f>
        <v>1211299</v>
      </c>
      <c r="J500">
        <f>IF(AND(D500&lt;&gt;"dram",D500&lt;&gt;"control"),H500,0)</f>
        <v>0</v>
      </c>
      <c r="K500">
        <f>IF(D500="dram",H500,0)</f>
        <v>157</v>
      </c>
      <c r="L500">
        <v>0</v>
      </c>
      <c r="M500">
        <v>3840</v>
      </c>
    </row>
    <row r="501" spans="1:13">
      <c r="A501">
        <v>499</v>
      </c>
      <c r="B501" t="s">
        <v>227</v>
      </c>
      <c r="C501" t="s">
        <v>78</v>
      </c>
      <c r="D501" t="s">
        <v>79</v>
      </c>
      <c r="E501" t="s">
        <v>104</v>
      </c>
      <c r="F501">
        <v>5120</v>
      </c>
      <c r="G501">
        <f>MAX(I498,I500)</f>
        <v>1211299</v>
      </c>
      <c r="H501">
        <f>CEILING((dram_access_latency+F501/dram_bandwidth)*frequency,1)</f>
        <v>176</v>
      </c>
      <c r="I501">
        <f>G501+H501</f>
        <v>1211475</v>
      </c>
      <c r="J501">
        <f>IF(AND(D501&lt;&gt;"dram",D501&lt;&gt;"control"),H501,0)</f>
        <v>0</v>
      </c>
      <c r="K501">
        <f>IF(D501="dram",H501,0)</f>
        <v>176</v>
      </c>
      <c r="L501">
        <v>5120</v>
      </c>
      <c r="M501">
        <v>0</v>
      </c>
    </row>
    <row r="502" spans="1:13">
      <c r="A502">
        <v>500</v>
      </c>
      <c r="B502" t="s">
        <v>228</v>
      </c>
      <c r="C502" t="s">
        <v>82</v>
      </c>
      <c r="D502" t="s">
        <v>83</v>
      </c>
      <c r="E502" t="s">
        <v>104</v>
      </c>
      <c r="F502">
        <v>0</v>
      </c>
      <c r="G502">
        <f>MAX(I498,I496)</f>
        <v>1211040</v>
      </c>
      <c r="H502">
        <f>0</f>
        <v>0</v>
      </c>
      <c r="I502">
        <f>G502+H502</f>
        <v>1211040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231</v>
      </c>
      <c r="C503" t="s">
        <v>82</v>
      </c>
      <c r="D503" t="s">
        <v>83</v>
      </c>
      <c r="E503" t="s">
        <v>104</v>
      </c>
      <c r="F503">
        <v>0</v>
      </c>
      <c r="G503">
        <f>MAX(I502,I494)</f>
        <v>1211040</v>
      </c>
      <c r="H503">
        <f>0</f>
        <v>0</v>
      </c>
      <c r="I503">
        <f>G503+H503</f>
        <v>1211040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232</v>
      </c>
      <c r="C504" t="s">
        <v>82</v>
      </c>
      <c r="D504" t="s">
        <v>83</v>
      </c>
      <c r="E504" t="s">
        <v>104</v>
      </c>
      <c r="F504">
        <v>0</v>
      </c>
      <c r="G504">
        <f>MAX(I503,I495)</f>
        <v>1211040</v>
      </c>
      <c r="H504">
        <f>0</f>
        <v>0</v>
      </c>
      <c r="I504">
        <f>G504+H504</f>
        <v>1211040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40</v>
      </c>
      <c r="C505" t="s">
        <v>85</v>
      </c>
      <c r="D505" t="s">
        <v>17</v>
      </c>
      <c r="E505" t="s">
        <v>104</v>
      </c>
      <c r="F505">
        <v>0</v>
      </c>
      <c r="G505">
        <f>MAX(I504,I498)</f>
        <v>1211040</v>
      </c>
      <c r="H505">
        <f>'Operations'!I15</f>
        <v>480</v>
      </c>
      <c r="I505">
        <f>G505+H505</f>
        <v>1211520</v>
      </c>
      <c r="J505">
        <f>IF(AND(D505&lt;&gt;"dram",D505&lt;&gt;"control"),H505,0)</f>
        <v>480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229</v>
      </c>
      <c r="C506" t="s">
        <v>87</v>
      </c>
      <c r="D506" t="s">
        <v>79</v>
      </c>
      <c r="E506" t="s">
        <v>104</v>
      </c>
      <c r="F506">
        <v>80</v>
      </c>
      <c r="G506">
        <f>MAX(I505,I501)</f>
        <v>1211520</v>
      </c>
      <c r="H506">
        <f>CEILING((dram_access_latency+F506/dram_bandwidth)*frequency,1)</f>
        <v>102</v>
      </c>
      <c r="I506">
        <f>G506+H506</f>
        <v>1211622</v>
      </c>
      <c r="J506">
        <f>IF(AND(D506&lt;&gt;"dram",D506&lt;&gt;"control"),H506,0)</f>
        <v>0</v>
      </c>
      <c r="K506">
        <f>IF(D506="dram",H506,0)</f>
        <v>102</v>
      </c>
      <c r="L506">
        <v>0</v>
      </c>
      <c r="M506">
        <v>80</v>
      </c>
    </row>
    <row r="507" spans="1:13">
      <c r="A507">
        <v>505</v>
      </c>
      <c r="B507" t="s">
        <v>230</v>
      </c>
      <c r="C507" t="s">
        <v>87</v>
      </c>
      <c r="D507" t="s">
        <v>79</v>
      </c>
      <c r="E507" t="s">
        <v>104</v>
      </c>
      <c r="F507">
        <v>3840</v>
      </c>
      <c r="G507">
        <f>MAX(I505,I506)</f>
        <v>1211622</v>
      </c>
      <c r="H507">
        <f>CEILING((dram_access_latency+F507/dram_bandwidth)*frequency,1)</f>
        <v>157</v>
      </c>
      <c r="I507">
        <f>G507+H507</f>
        <v>1211779</v>
      </c>
      <c r="J507">
        <f>IF(AND(D507&lt;&gt;"dram",D507&lt;&gt;"control"),H507,0)</f>
        <v>0</v>
      </c>
      <c r="K507">
        <f>IF(D507="dram",H507,0)</f>
        <v>157</v>
      </c>
      <c r="L507">
        <v>0</v>
      </c>
      <c r="M507">
        <v>3840</v>
      </c>
    </row>
    <row r="508" spans="1:13">
      <c r="A508">
        <v>506</v>
      </c>
      <c r="B508" t="s">
        <v>228</v>
      </c>
      <c r="C508" t="s">
        <v>82</v>
      </c>
      <c r="D508" t="s">
        <v>83</v>
      </c>
      <c r="E508" t="s">
        <v>105</v>
      </c>
      <c r="F508">
        <v>0</v>
      </c>
      <c r="G508">
        <f>MAX(I505,I501)</f>
        <v>1211520</v>
      </c>
      <c r="H508">
        <f>0</f>
        <v>0</v>
      </c>
      <c r="I508">
        <f>G508+H508</f>
        <v>1211520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231</v>
      </c>
      <c r="C509" t="s">
        <v>82</v>
      </c>
      <c r="D509" t="s">
        <v>83</v>
      </c>
      <c r="E509" t="s">
        <v>105</v>
      </c>
      <c r="F509">
        <v>0</v>
      </c>
      <c r="G509">
        <f>MAX(I508,I499)</f>
        <v>1211520</v>
      </c>
      <c r="H509">
        <f>0</f>
        <v>0</v>
      </c>
      <c r="I509">
        <f>G509+H509</f>
        <v>1211520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232</v>
      </c>
      <c r="C510" t="s">
        <v>82</v>
      </c>
      <c r="D510" t="s">
        <v>83</v>
      </c>
      <c r="E510" t="s">
        <v>105</v>
      </c>
      <c r="F510">
        <v>0</v>
      </c>
      <c r="G510">
        <f>MAX(I509,I500)</f>
        <v>1211520</v>
      </c>
      <c r="H510">
        <f>0</f>
        <v>0</v>
      </c>
      <c r="I510">
        <f>G510+H510</f>
        <v>1211520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40</v>
      </c>
      <c r="C511" t="s">
        <v>85</v>
      </c>
      <c r="D511" t="s">
        <v>17</v>
      </c>
      <c r="E511" t="s">
        <v>105</v>
      </c>
      <c r="F511">
        <v>0</v>
      </c>
      <c r="G511">
        <f>MAX(I510,I505)</f>
        <v>1211520</v>
      </c>
      <c r="H511">
        <f>'Operations'!I15</f>
        <v>480</v>
      </c>
      <c r="I511">
        <f>G511+H511</f>
        <v>1212000</v>
      </c>
      <c r="J511">
        <f>IF(AND(D511&lt;&gt;"dram",D511&lt;&gt;"control"),H511,0)</f>
        <v>480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229</v>
      </c>
      <c r="C512" t="s">
        <v>87</v>
      </c>
      <c r="D512" t="s">
        <v>79</v>
      </c>
      <c r="E512" t="s">
        <v>105</v>
      </c>
      <c r="F512">
        <v>80</v>
      </c>
      <c r="G512">
        <f>MAX(I511,I507)</f>
        <v>1212000</v>
      </c>
      <c r="H512">
        <f>CEILING((dram_access_latency+F512/dram_bandwidth)*frequency,1)</f>
        <v>102</v>
      </c>
      <c r="I512">
        <f>G512+H512</f>
        <v>1212102</v>
      </c>
      <c r="J512">
        <f>IF(AND(D512&lt;&gt;"dram",D512&lt;&gt;"control"),H512,0)</f>
        <v>0</v>
      </c>
      <c r="K512">
        <f>IF(D512="dram",H512,0)</f>
        <v>102</v>
      </c>
      <c r="L512">
        <v>0</v>
      </c>
      <c r="M512">
        <v>80</v>
      </c>
    </row>
    <row r="513" spans="1:13">
      <c r="A513">
        <v>511</v>
      </c>
      <c r="B513" t="s">
        <v>230</v>
      </c>
      <c r="C513" t="s">
        <v>87</v>
      </c>
      <c r="D513" t="s">
        <v>79</v>
      </c>
      <c r="E513" t="s">
        <v>105</v>
      </c>
      <c r="F513">
        <v>3840</v>
      </c>
      <c r="G513">
        <f>MAX(I511,I512)</f>
        <v>1212102</v>
      </c>
      <c r="H513">
        <f>CEILING((dram_access_latency+F513/dram_bandwidth)*frequency,1)</f>
        <v>157</v>
      </c>
      <c r="I513">
        <f>G513+H513</f>
        <v>1212259</v>
      </c>
      <c r="J513">
        <f>IF(AND(D513&lt;&gt;"dram",D513&lt;&gt;"control"),H513,0)</f>
        <v>0</v>
      </c>
      <c r="K513">
        <f>IF(D513="dram",H513,0)</f>
        <v>157</v>
      </c>
      <c r="L513">
        <v>0</v>
      </c>
      <c r="M513">
        <v>3840</v>
      </c>
    </row>
    <row r="514" spans="1:13">
      <c r="A514">
        <v>512</v>
      </c>
      <c r="B514" t="s">
        <v>233</v>
      </c>
      <c r="C514" t="s">
        <v>82</v>
      </c>
      <c r="D514" t="s">
        <v>83</v>
      </c>
      <c r="E514" t="s">
        <v>80</v>
      </c>
      <c r="F514">
        <v>0</v>
      </c>
      <c r="G514">
        <f>MAX(I511,I506)</f>
        <v>1212000</v>
      </c>
      <c r="H514">
        <f>0</f>
        <v>0</v>
      </c>
      <c r="I514">
        <f>G514+H514</f>
        <v>1212000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234</v>
      </c>
      <c r="C515" t="s">
        <v>82</v>
      </c>
      <c r="D515" t="s">
        <v>83</v>
      </c>
      <c r="E515" t="s">
        <v>80</v>
      </c>
      <c r="F515">
        <v>0</v>
      </c>
      <c r="G515">
        <f>MAX(I514,I512)</f>
        <v>1212000</v>
      </c>
      <c r="H515">
        <f>0</f>
        <v>102</v>
      </c>
      <c r="I515">
        <f>G515+H515</f>
        <v>1212102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235</v>
      </c>
      <c r="C516" t="s">
        <v>82</v>
      </c>
      <c r="D516" t="s">
        <v>83</v>
      </c>
      <c r="E516" t="s">
        <v>80</v>
      </c>
      <c r="F516">
        <v>0</v>
      </c>
      <c r="G516">
        <f>MAX(I515,I507)</f>
        <v>1212102</v>
      </c>
      <c r="H516">
        <f>0</f>
        <v>0</v>
      </c>
      <c r="I516">
        <f>G516+H516</f>
        <v>1212102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236</v>
      </c>
      <c r="C517" t="s">
        <v>82</v>
      </c>
      <c r="D517" t="s">
        <v>83</v>
      </c>
      <c r="E517" t="s">
        <v>80</v>
      </c>
      <c r="F517">
        <v>0</v>
      </c>
      <c r="G517">
        <f>MAX(I516,I513)</f>
        <v>1212102</v>
      </c>
      <c r="H517">
        <f>0</f>
        <v>157</v>
      </c>
      <c r="I517">
        <f>G517+H517</f>
        <v>1212259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42</v>
      </c>
      <c r="C518" t="s">
        <v>85</v>
      </c>
      <c r="D518" t="s">
        <v>17</v>
      </c>
      <c r="E518" t="s">
        <v>84</v>
      </c>
      <c r="F518">
        <v>0</v>
      </c>
      <c r="G518">
        <f>MAX(I517,I511)</f>
        <v>1212259</v>
      </c>
      <c r="H518">
        <f>'Operations'!I16</f>
        <v>8</v>
      </c>
      <c r="I518">
        <f>G518+H518</f>
        <v>1212267</v>
      </c>
      <c r="J518">
        <f>IF(AND(D518&lt;&gt;"dram",D518&lt;&gt;"control"),H518,0)</f>
        <v>8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237</v>
      </c>
      <c r="C519" t="s">
        <v>87</v>
      </c>
      <c r="D519" t="s">
        <v>79</v>
      </c>
      <c r="E519" t="s">
        <v>84</v>
      </c>
      <c r="F519">
        <v>8</v>
      </c>
      <c r="G519">
        <f>MAX(I518,I513)</f>
        <v>1212267</v>
      </c>
      <c r="H519">
        <f>CEILING((dram_access_latency+F519/dram_bandwidth)*frequency,1)</f>
        <v>101</v>
      </c>
      <c r="I519">
        <f>G519+H519</f>
        <v>1212368</v>
      </c>
      <c r="J519">
        <f>IF(AND(D519&lt;&gt;"dram",D519&lt;&gt;"control"),H519,0)</f>
        <v>0</v>
      </c>
      <c r="K519">
        <f>IF(D519="dram",H519,0)</f>
        <v>101</v>
      </c>
      <c r="L519">
        <v>0</v>
      </c>
      <c r="M519">
        <v>8</v>
      </c>
    </row>
    <row r="520" spans="1:13">
      <c r="A520">
        <v>518</v>
      </c>
      <c r="B520" t="s">
        <v>238</v>
      </c>
      <c r="C520" t="s">
        <v>82</v>
      </c>
      <c r="D520" t="s">
        <v>83</v>
      </c>
      <c r="E520" t="s">
        <v>80</v>
      </c>
      <c r="F520">
        <v>0</v>
      </c>
      <c r="G520">
        <f>MAX(I518,I519)</f>
        <v>1212267</v>
      </c>
      <c r="H520">
        <f>0</f>
        <v>101</v>
      </c>
      <c r="I520">
        <f>G520+H520</f>
        <v>1212368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239</v>
      </c>
      <c r="C521" t="s">
        <v>78</v>
      </c>
      <c r="D521" t="s">
        <v>79</v>
      </c>
      <c r="E521" t="s">
        <v>80</v>
      </c>
      <c r="F521">
        <v>8</v>
      </c>
      <c r="G521">
        <f>MAX(I520,I519)</f>
        <v>1212368</v>
      </c>
      <c r="H521">
        <f>CEILING((dram_access_latency+F521/dram_bandwidth)*frequency,1)</f>
        <v>101</v>
      </c>
      <c r="I521">
        <f>G521+H521</f>
        <v>1212469</v>
      </c>
      <c r="J521">
        <f>IF(AND(D521&lt;&gt;"dram",D521&lt;&gt;"control"),H521,0)</f>
        <v>0</v>
      </c>
      <c r="K521">
        <f>IF(D521="dram",H521,0)</f>
        <v>101</v>
      </c>
      <c r="L521">
        <v>8</v>
      </c>
      <c r="M521">
        <v>0</v>
      </c>
    </row>
    <row r="522" spans="1:13">
      <c r="A522">
        <v>520</v>
      </c>
      <c r="B522" t="s">
        <v>239</v>
      </c>
      <c r="C522" t="s">
        <v>78</v>
      </c>
      <c r="D522" t="s">
        <v>79</v>
      </c>
      <c r="E522" t="s">
        <v>80</v>
      </c>
      <c r="F522">
        <v>8192</v>
      </c>
      <c r="G522">
        <f>MAX(I521,I521)</f>
        <v>1212469</v>
      </c>
      <c r="H522">
        <f>CEILING((dram_access_latency+F522/dram_bandwidth)*frequency,1)</f>
        <v>221</v>
      </c>
      <c r="I522">
        <f>G522+H522</f>
        <v>1212690</v>
      </c>
      <c r="J522">
        <f>IF(AND(D522&lt;&gt;"dram",D522&lt;&gt;"control"),H522,0)</f>
        <v>0</v>
      </c>
      <c r="K522">
        <f>IF(D522="dram",H522,0)</f>
        <v>221</v>
      </c>
      <c r="L522">
        <v>8192</v>
      </c>
      <c r="M522">
        <v>0</v>
      </c>
    </row>
    <row r="523" spans="1:13">
      <c r="A523">
        <v>521</v>
      </c>
      <c r="B523" t="s">
        <v>239</v>
      </c>
      <c r="C523" t="s">
        <v>87</v>
      </c>
      <c r="D523" t="s">
        <v>79</v>
      </c>
      <c r="E523" t="s">
        <v>80</v>
      </c>
      <c r="F523">
        <v>8192</v>
      </c>
      <c r="G523">
        <f>MAX(I522,I522)</f>
        <v>1212690</v>
      </c>
      <c r="H523">
        <f>CEILING((dram_access_latency+F523/dram_bandwidth)*frequency,1)</f>
        <v>221</v>
      </c>
      <c r="I523">
        <f>G523+H523</f>
        <v>1212911</v>
      </c>
      <c r="J523">
        <f>IF(AND(D523&lt;&gt;"dram",D523&lt;&gt;"control"),H523,0)</f>
        <v>0</v>
      </c>
      <c r="K523">
        <f>IF(D523="dram",H523,0)</f>
        <v>221</v>
      </c>
      <c r="L523">
        <v>0</v>
      </c>
      <c r="M523">
        <v>8192</v>
      </c>
    </row>
    <row r="524" spans="1:13">
      <c r="A524">
        <v>522</v>
      </c>
      <c r="B524" t="s">
        <v>240</v>
      </c>
      <c r="C524" t="s">
        <v>78</v>
      </c>
      <c r="D524" t="s">
        <v>79</v>
      </c>
      <c r="E524" t="s">
        <v>80</v>
      </c>
      <c r="F524">
        <v>131072</v>
      </c>
      <c r="G524">
        <f>MAX(I523,I523)</f>
        <v>1212911</v>
      </c>
      <c r="H524">
        <f>CEILING((dram_access_latency+F524/dram_bandwidth)*frequency,1)</f>
        <v>2028</v>
      </c>
      <c r="I524">
        <f>G524+H524</f>
        <v>1214939</v>
      </c>
      <c r="J524">
        <f>IF(AND(D524&lt;&gt;"dram",D524&lt;&gt;"control"),H524,0)</f>
        <v>0</v>
      </c>
      <c r="K524">
        <f>IF(D524="dram",H524,0)</f>
        <v>2028</v>
      </c>
      <c r="L524">
        <v>131072</v>
      </c>
      <c r="M524">
        <v>0</v>
      </c>
    </row>
    <row r="525" spans="1:13">
      <c r="A525">
        <v>523</v>
      </c>
      <c r="B525" t="s">
        <v>241</v>
      </c>
      <c r="C525" t="s">
        <v>78</v>
      </c>
      <c r="D525" t="s">
        <v>79</v>
      </c>
      <c r="E525" t="s">
        <v>84</v>
      </c>
      <c r="F525">
        <v>131072</v>
      </c>
      <c r="G525">
        <f>MAX(I523,I524)</f>
        <v>1214939</v>
      </c>
      <c r="H525">
        <f>CEILING((dram_access_latency+F525/dram_bandwidth)*frequency,1)</f>
        <v>2028</v>
      </c>
      <c r="I525">
        <f>G525+H525</f>
        <v>1216967</v>
      </c>
      <c r="J525">
        <f>IF(AND(D525&lt;&gt;"dram",D525&lt;&gt;"control"),H525,0)</f>
        <v>0</v>
      </c>
      <c r="K525">
        <f>IF(D525="dram",H525,0)</f>
        <v>2028</v>
      </c>
      <c r="L525">
        <v>131072</v>
      </c>
      <c r="M525">
        <v>0</v>
      </c>
    </row>
    <row r="526" spans="1:13">
      <c r="A526">
        <v>524</v>
      </c>
      <c r="B526" t="s">
        <v>242</v>
      </c>
      <c r="C526" t="s">
        <v>82</v>
      </c>
      <c r="D526" t="s">
        <v>83</v>
      </c>
      <c r="E526" t="s">
        <v>84</v>
      </c>
      <c r="F526">
        <v>0</v>
      </c>
      <c r="G526">
        <f>MAX(I523,I524)</f>
        <v>1212911</v>
      </c>
      <c r="H526">
        <f>0</f>
        <v>2028</v>
      </c>
      <c r="I526">
        <f>G526+H526</f>
        <v>1214939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44</v>
      </c>
      <c r="C527" t="s">
        <v>85</v>
      </c>
      <c r="D527" t="s">
        <v>17</v>
      </c>
      <c r="E527" t="s">
        <v>84</v>
      </c>
      <c r="F527">
        <v>0</v>
      </c>
      <c r="G527">
        <f>MAX(I526,I518)</f>
        <v>1214939</v>
      </c>
      <c r="H527">
        <f>'Operations'!I17</f>
        <v>2048</v>
      </c>
      <c r="I527">
        <f>G527+H527</f>
        <v>1216987</v>
      </c>
      <c r="J527">
        <f>IF(AND(D527&lt;&gt;"dram",D527&lt;&gt;"control"),H527,0)</f>
        <v>2048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243</v>
      </c>
      <c r="C528" t="s">
        <v>87</v>
      </c>
      <c r="D528" t="s">
        <v>79</v>
      </c>
      <c r="E528" t="s">
        <v>84</v>
      </c>
      <c r="F528">
        <v>1024</v>
      </c>
      <c r="G528">
        <f>MAX(I527,I525)</f>
        <v>1216987</v>
      </c>
      <c r="H528">
        <f>CEILING((dram_access_latency+F528/dram_bandwidth)*frequency,1)</f>
        <v>116</v>
      </c>
      <c r="I528">
        <f>G528+H528</f>
        <v>1217103</v>
      </c>
      <c r="J528">
        <f>IF(AND(D528&lt;&gt;"dram",D528&lt;&gt;"control"),H528,0)</f>
        <v>0</v>
      </c>
      <c r="K528">
        <f>IF(D528="dram",H528,0)</f>
        <v>116</v>
      </c>
      <c r="L528">
        <v>0</v>
      </c>
      <c r="M528">
        <v>1024</v>
      </c>
    </row>
    <row r="529" spans="1:13">
      <c r="A529">
        <v>527</v>
      </c>
      <c r="B529" t="s">
        <v>244</v>
      </c>
      <c r="C529" t="s">
        <v>87</v>
      </c>
      <c r="D529" t="s">
        <v>79</v>
      </c>
      <c r="E529" t="s">
        <v>84</v>
      </c>
      <c r="F529">
        <v>49152</v>
      </c>
      <c r="G529">
        <f>MAX(I527,I528)</f>
        <v>1217103</v>
      </c>
      <c r="H529">
        <f>CEILING((dram_access_latency+F529/dram_bandwidth)*frequency,1)</f>
        <v>823</v>
      </c>
      <c r="I529">
        <f>G529+H529</f>
        <v>1217926</v>
      </c>
      <c r="J529">
        <f>IF(AND(D529&lt;&gt;"dram",D529&lt;&gt;"control"),H529,0)</f>
        <v>0</v>
      </c>
      <c r="K529">
        <f>IF(D529="dram",H529,0)</f>
        <v>823</v>
      </c>
      <c r="L529">
        <v>0</v>
      </c>
      <c r="M529">
        <v>49152</v>
      </c>
    </row>
    <row r="530" spans="1:13">
      <c r="A530">
        <v>528</v>
      </c>
      <c r="B530" t="s">
        <v>241</v>
      </c>
      <c r="C530" t="s">
        <v>78</v>
      </c>
      <c r="D530" t="s">
        <v>79</v>
      </c>
      <c r="E530" t="s">
        <v>101</v>
      </c>
      <c r="F530">
        <v>131072</v>
      </c>
      <c r="G530">
        <f>MAX(I527,I529)</f>
        <v>1217926</v>
      </c>
      <c r="H530">
        <f>CEILING((dram_access_latency+F530/dram_bandwidth)*frequency,1)</f>
        <v>2028</v>
      </c>
      <c r="I530">
        <f>G530+H530</f>
        <v>1219954</v>
      </c>
      <c r="J530">
        <f>IF(AND(D530&lt;&gt;"dram",D530&lt;&gt;"control"),H530,0)</f>
        <v>0</v>
      </c>
      <c r="K530">
        <f>IF(D530="dram",H530,0)</f>
        <v>2028</v>
      </c>
      <c r="L530">
        <v>131072</v>
      </c>
      <c r="M530">
        <v>0</v>
      </c>
    </row>
    <row r="531" spans="1:13">
      <c r="A531">
        <v>529</v>
      </c>
      <c r="B531" t="s">
        <v>242</v>
      </c>
      <c r="C531" t="s">
        <v>82</v>
      </c>
      <c r="D531" t="s">
        <v>83</v>
      </c>
      <c r="E531" t="s">
        <v>101</v>
      </c>
      <c r="F531">
        <v>0</v>
      </c>
      <c r="G531">
        <f>MAX(I527,I525)</f>
        <v>1216987</v>
      </c>
      <c r="H531">
        <f>0</f>
        <v>0</v>
      </c>
      <c r="I531">
        <f>G531+H531</f>
        <v>1216987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44</v>
      </c>
      <c r="C532" t="s">
        <v>85</v>
      </c>
      <c r="D532" t="s">
        <v>17</v>
      </c>
      <c r="E532" t="s">
        <v>101</v>
      </c>
      <c r="F532">
        <v>0</v>
      </c>
      <c r="G532">
        <f>MAX(I531,I527)</f>
        <v>1216987</v>
      </c>
      <c r="H532">
        <f>'Operations'!I17</f>
        <v>2048</v>
      </c>
      <c r="I532">
        <f>G532+H532</f>
        <v>1219035</v>
      </c>
      <c r="J532">
        <f>IF(AND(D532&lt;&gt;"dram",D532&lt;&gt;"control"),H532,0)</f>
        <v>2048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243</v>
      </c>
      <c r="C533" t="s">
        <v>87</v>
      </c>
      <c r="D533" t="s">
        <v>79</v>
      </c>
      <c r="E533" t="s">
        <v>101</v>
      </c>
      <c r="F533">
        <v>1024</v>
      </c>
      <c r="G533">
        <f>MAX(I532,I530)</f>
        <v>1219954</v>
      </c>
      <c r="H533">
        <f>CEILING((dram_access_latency+F533/dram_bandwidth)*frequency,1)</f>
        <v>116</v>
      </c>
      <c r="I533">
        <f>G533+H533</f>
        <v>1220070</v>
      </c>
      <c r="J533">
        <f>IF(AND(D533&lt;&gt;"dram",D533&lt;&gt;"control"),H533,0)</f>
        <v>0</v>
      </c>
      <c r="K533">
        <f>IF(D533="dram",H533,0)</f>
        <v>116</v>
      </c>
      <c r="L533">
        <v>0</v>
      </c>
      <c r="M533">
        <v>1024</v>
      </c>
    </row>
    <row r="534" spans="1:13">
      <c r="A534">
        <v>532</v>
      </c>
      <c r="B534" t="s">
        <v>244</v>
      </c>
      <c r="C534" t="s">
        <v>87</v>
      </c>
      <c r="D534" t="s">
        <v>79</v>
      </c>
      <c r="E534" t="s">
        <v>101</v>
      </c>
      <c r="F534">
        <v>49152</v>
      </c>
      <c r="G534">
        <f>MAX(I532,I533)</f>
        <v>1220070</v>
      </c>
      <c r="H534">
        <f>CEILING((dram_access_latency+F534/dram_bandwidth)*frequency,1)</f>
        <v>823</v>
      </c>
      <c r="I534">
        <f>G534+H534</f>
        <v>1220893</v>
      </c>
      <c r="J534">
        <f>IF(AND(D534&lt;&gt;"dram",D534&lt;&gt;"control"),H534,0)</f>
        <v>0</v>
      </c>
      <c r="K534">
        <f>IF(D534="dram",H534,0)</f>
        <v>823</v>
      </c>
      <c r="L534">
        <v>0</v>
      </c>
      <c r="M534">
        <v>49152</v>
      </c>
    </row>
    <row r="535" spans="1:13">
      <c r="A535">
        <v>533</v>
      </c>
      <c r="B535" t="s">
        <v>241</v>
      </c>
      <c r="C535" t="s">
        <v>78</v>
      </c>
      <c r="D535" t="s">
        <v>79</v>
      </c>
      <c r="E535" t="s">
        <v>104</v>
      </c>
      <c r="F535">
        <v>131072</v>
      </c>
      <c r="G535">
        <f>MAX(I532,I534)</f>
        <v>1220893</v>
      </c>
      <c r="H535">
        <f>CEILING((dram_access_latency+F535/dram_bandwidth)*frequency,1)</f>
        <v>2028</v>
      </c>
      <c r="I535">
        <f>G535+H535</f>
        <v>1222921</v>
      </c>
      <c r="J535">
        <f>IF(AND(D535&lt;&gt;"dram",D535&lt;&gt;"control"),H535,0)</f>
        <v>0</v>
      </c>
      <c r="K535">
        <f>IF(D535="dram",H535,0)</f>
        <v>2028</v>
      </c>
      <c r="L535">
        <v>131072</v>
      </c>
      <c r="M535">
        <v>0</v>
      </c>
    </row>
    <row r="536" spans="1:13">
      <c r="A536">
        <v>534</v>
      </c>
      <c r="B536" t="s">
        <v>242</v>
      </c>
      <c r="C536" t="s">
        <v>82</v>
      </c>
      <c r="D536" t="s">
        <v>83</v>
      </c>
      <c r="E536" t="s">
        <v>104</v>
      </c>
      <c r="F536">
        <v>0</v>
      </c>
      <c r="G536">
        <f>MAX(I532,I530)</f>
        <v>1219035</v>
      </c>
      <c r="H536">
        <f>0</f>
        <v>919</v>
      </c>
      <c r="I536">
        <f>G536+H536</f>
        <v>1219954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245</v>
      </c>
      <c r="C537" t="s">
        <v>82</v>
      </c>
      <c r="D537" t="s">
        <v>83</v>
      </c>
      <c r="E537" t="s">
        <v>104</v>
      </c>
      <c r="F537">
        <v>0</v>
      </c>
      <c r="G537">
        <f>MAX(I536,I528)</f>
        <v>1219954</v>
      </c>
      <c r="H537">
        <f>0</f>
        <v>0</v>
      </c>
      <c r="I537">
        <f>G537+H537</f>
        <v>1219954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246</v>
      </c>
      <c r="C538" t="s">
        <v>82</v>
      </c>
      <c r="D538" t="s">
        <v>83</v>
      </c>
      <c r="E538" t="s">
        <v>104</v>
      </c>
      <c r="F538">
        <v>0</v>
      </c>
      <c r="G538">
        <f>MAX(I537,I529)</f>
        <v>1219954</v>
      </c>
      <c r="H538">
        <f>0</f>
        <v>0</v>
      </c>
      <c r="I538">
        <f>G538+H538</f>
        <v>1219954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44</v>
      </c>
      <c r="C539" t="s">
        <v>85</v>
      </c>
      <c r="D539" t="s">
        <v>17</v>
      </c>
      <c r="E539" t="s">
        <v>104</v>
      </c>
      <c r="F539">
        <v>0</v>
      </c>
      <c r="G539">
        <f>MAX(I538,I532)</f>
        <v>1219954</v>
      </c>
      <c r="H539">
        <f>'Operations'!I17</f>
        <v>2048</v>
      </c>
      <c r="I539">
        <f>G539+H539</f>
        <v>1222002</v>
      </c>
      <c r="J539">
        <f>IF(AND(D539&lt;&gt;"dram",D539&lt;&gt;"control"),H539,0)</f>
        <v>2048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243</v>
      </c>
      <c r="C540" t="s">
        <v>87</v>
      </c>
      <c r="D540" t="s">
        <v>79</v>
      </c>
      <c r="E540" t="s">
        <v>104</v>
      </c>
      <c r="F540">
        <v>1024</v>
      </c>
      <c r="G540">
        <f>MAX(I539,I535)</f>
        <v>1222921</v>
      </c>
      <c r="H540">
        <f>CEILING((dram_access_latency+F540/dram_bandwidth)*frequency,1)</f>
        <v>116</v>
      </c>
      <c r="I540">
        <f>G540+H540</f>
        <v>1223037</v>
      </c>
      <c r="J540">
        <f>IF(AND(D540&lt;&gt;"dram",D540&lt;&gt;"control"),H540,0)</f>
        <v>0</v>
      </c>
      <c r="K540">
        <f>IF(D540="dram",H540,0)</f>
        <v>116</v>
      </c>
      <c r="L540">
        <v>0</v>
      </c>
      <c r="M540">
        <v>1024</v>
      </c>
    </row>
    <row r="541" spans="1:13">
      <c r="A541">
        <v>539</v>
      </c>
      <c r="B541" t="s">
        <v>244</v>
      </c>
      <c r="C541" t="s">
        <v>87</v>
      </c>
      <c r="D541" t="s">
        <v>79</v>
      </c>
      <c r="E541" t="s">
        <v>104</v>
      </c>
      <c r="F541">
        <v>49152</v>
      </c>
      <c r="G541">
        <f>MAX(I539,I540)</f>
        <v>1223037</v>
      </c>
      <c r="H541">
        <f>CEILING((dram_access_latency+F541/dram_bandwidth)*frequency,1)</f>
        <v>823</v>
      </c>
      <c r="I541">
        <f>G541+H541</f>
        <v>1223860</v>
      </c>
      <c r="J541">
        <f>IF(AND(D541&lt;&gt;"dram",D541&lt;&gt;"control"),H541,0)</f>
        <v>0</v>
      </c>
      <c r="K541">
        <f>IF(D541="dram",H541,0)</f>
        <v>823</v>
      </c>
      <c r="L541">
        <v>0</v>
      </c>
      <c r="M541">
        <v>49152</v>
      </c>
    </row>
    <row r="542" spans="1:13">
      <c r="A542">
        <v>540</v>
      </c>
      <c r="B542" t="s">
        <v>241</v>
      </c>
      <c r="C542" t="s">
        <v>78</v>
      </c>
      <c r="D542" t="s">
        <v>79</v>
      </c>
      <c r="E542" t="s">
        <v>105</v>
      </c>
      <c r="F542">
        <v>131072</v>
      </c>
      <c r="G542">
        <f>MAX(I539,I541)</f>
        <v>1223860</v>
      </c>
      <c r="H542">
        <f>CEILING((dram_access_latency+F542/dram_bandwidth)*frequency,1)</f>
        <v>2028</v>
      </c>
      <c r="I542">
        <f>G542+H542</f>
        <v>1225888</v>
      </c>
      <c r="J542">
        <f>IF(AND(D542&lt;&gt;"dram",D542&lt;&gt;"control"),H542,0)</f>
        <v>0</v>
      </c>
      <c r="K542">
        <f>IF(D542="dram",H542,0)</f>
        <v>2028</v>
      </c>
      <c r="L542">
        <v>131072</v>
      </c>
      <c r="M542">
        <v>0</v>
      </c>
    </row>
    <row r="543" spans="1:13">
      <c r="A543">
        <v>541</v>
      </c>
      <c r="B543" t="s">
        <v>242</v>
      </c>
      <c r="C543" t="s">
        <v>82</v>
      </c>
      <c r="D543" t="s">
        <v>83</v>
      </c>
      <c r="E543" t="s">
        <v>105</v>
      </c>
      <c r="F543">
        <v>0</v>
      </c>
      <c r="G543">
        <f>MAX(I539,I535)</f>
        <v>1222002</v>
      </c>
      <c r="H543">
        <f>0</f>
        <v>919</v>
      </c>
      <c r="I543">
        <f>G543+H543</f>
        <v>1222921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245</v>
      </c>
      <c r="C544" t="s">
        <v>82</v>
      </c>
      <c r="D544" t="s">
        <v>83</v>
      </c>
      <c r="E544" t="s">
        <v>105</v>
      </c>
      <c r="F544">
        <v>0</v>
      </c>
      <c r="G544">
        <f>MAX(I543,I533)</f>
        <v>1222921</v>
      </c>
      <c r="H544">
        <f>0</f>
        <v>0</v>
      </c>
      <c r="I544">
        <f>G544+H544</f>
        <v>1222921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246</v>
      </c>
      <c r="C545" t="s">
        <v>82</v>
      </c>
      <c r="D545" t="s">
        <v>83</v>
      </c>
      <c r="E545" t="s">
        <v>105</v>
      </c>
      <c r="F545">
        <v>0</v>
      </c>
      <c r="G545">
        <f>MAX(I544,I534)</f>
        <v>1222921</v>
      </c>
      <c r="H545">
        <f>0</f>
        <v>0</v>
      </c>
      <c r="I545">
        <f>G545+H545</f>
        <v>1222921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44</v>
      </c>
      <c r="C546" t="s">
        <v>85</v>
      </c>
      <c r="D546" t="s">
        <v>17</v>
      </c>
      <c r="E546" t="s">
        <v>105</v>
      </c>
      <c r="F546">
        <v>0</v>
      </c>
      <c r="G546">
        <f>MAX(I545,I539)</f>
        <v>1222921</v>
      </c>
      <c r="H546">
        <f>'Operations'!I17</f>
        <v>2048</v>
      </c>
      <c r="I546">
        <f>G546+H546</f>
        <v>1224969</v>
      </c>
      <c r="J546">
        <f>IF(AND(D546&lt;&gt;"dram",D546&lt;&gt;"control"),H546,0)</f>
        <v>2048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243</v>
      </c>
      <c r="C547" t="s">
        <v>87</v>
      </c>
      <c r="D547" t="s">
        <v>79</v>
      </c>
      <c r="E547" t="s">
        <v>105</v>
      </c>
      <c r="F547">
        <v>1024</v>
      </c>
      <c r="G547">
        <f>MAX(I546,I542)</f>
        <v>1225888</v>
      </c>
      <c r="H547">
        <f>CEILING((dram_access_latency+F547/dram_bandwidth)*frequency,1)</f>
        <v>116</v>
      </c>
      <c r="I547">
        <f>G547+H547</f>
        <v>1226004</v>
      </c>
      <c r="J547">
        <f>IF(AND(D547&lt;&gt;"dram",D547&lt;&gt;"control"),H547,0)</f>
        <v>0</v>
      </c>
      <c r="K547">
        <f>IF(D547="dram",H547,0)</f>
        <v>116</v>
      </c>
      <c r="L547">
        <v>0</v>
      </c>
      <c r="M547">
        <v>1024</v>
      </c>
    </row>
    <row r="548" spans="1:13">
      <c r="A548">
        <v>546</v>
      </c>
      <c r="B548" t="s">
        <v>244</v>
      </c>
      <c r="C548" t="s">
        <v>87</v>
      </c>
      <c r="D548" t="s">
        <v>79</v>
      </c>
      <c r="E548" t="s">
        <v>105</v>
      </c>
      <c r="F548">
        <v>49152</v>
      </c>
      <c r="G548">
        <f>MAX(I546,I547)</f>
        <v>1226004</v>
      </c>
      <c r="H548">
        <f>CEILING((dram_access_latency+F548/dram_bandwidth)*frequency,1)</f>
        <v>823</v>
      </c>
      <c r="I548">
        <f>G548+H548</f>
        <v>1226827</v>
      </c>
      <c r="J548">
        <f>IF(AND(D548&lt;&gt;"dram",D548&lt;&gt;"control"),H548,0)</f>
        <v>0</v>
      </c>
      <c r="K548">
        <f>IF(D548="dram",H548,0)</f>
        <v>823</v>
      </c>
      <c r="L548">
        <v>0</v>
      </c>
      <c r="M548">
        <v>49152</v>
      </c>
    </row>
    <row r="549" spans="1:13">
      <c r="A549">
        <v>547</v>
      </c>
      <c r="B549" t="s">
        <v>241</v>
      </c>
      <c r="C549" t="s">
        <v>78</v>
      </c>
      <c r="D549" t="s">
        <v>79</v>
      </c>
      <c r="E549" t="s">
        <v>183</v>
      </c>
      <c r="F549">
        <v>131072</v>
      </c>
      <c r="G549">
        <f>MAX(I546,I548)</f>
        <v>1226827</v>
      </c>
      <c r="H549">
        <f>CEILING((dram_access_latency+F549/dram_bandwidth)*frequency,1)</f>
        <v>2028</v>
      </c>
      <c r="I549">
        <f>G549+H549</f>
        <v>1228855</v>
      </c>
      <c r="J549">
        <f>IF(AND(D549&lt;&gt;"dram",D549&lt;&gt;"control"),H549,0)</f>
        <v>0</v>
      </c>
      <c r="K549">
        <f>IF(D549="dram",H549,0)</f>
        <v>2028</v>
      </c>
      <c r="L549">
        <v>131072</v>
      </c>
      <c r="M549">
        <v>0</v>
      </c>
    </row>
    <row r="550" spans="1:13">
      <c r="A550">
        <v>548</v>
      </c>
      <c r="B550" t="s">
        <v>242</v>
      </c>
      <c r="C550" t="s">
        <v>82</v>
      </c>
      <c r="D550" t="s">
        <v>83</v>
      </c>
      <c r="E550" t="s">
        <v>183</v>
      </c>
      <c r="F550">
        <v>0</v>
      </c>
      <c r="G550">
        <f>MAX(I546,I542)</f>
        <v>1224969</v>
      </c>
      <c r="H550">
        <f>0</f>
        <v>919</v>
      </c>
      <c r="I550">
        <f>G550+H550</f>
        <v>1225888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245</v>
      </c>
      <c r="C551" t="s">
        <v>82</v>
      </c>
      <c r="D551" t="s">
        <v>83</v>
      </c>
      <c r="E551" t="s">
        <v>183</v>
      </c>
      <c r="F551">
        <v>0</v>
      </c>
      <c r="G551">
        <f>MAX(I550,I540)</f>
        <v>1225888</v>
      </c>
      <c r="H551">
        <f>0</f>
        <v>0</v>
      </c>
      <c r="I551">
        <f>G551+H551</f>
        <v>1225888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246</v>
      </c>
      <c r="C552" t="s">
        <v>82</v>
      </c>
      <c r="D552" t="s">
        <v>83</v>
      </c>
      <c r="E552" t="s">
        <v>183</v>
      </c>
      <c r="F552">
        <v>0</v>
      </c>
      <c r="G552">
        <f>MAX(I551,I541)</f>
        <v>1225888</v>
      </c>
      <c r="H552">
        <f>0</f>
        <v>0</v>
      </c>
      <c r="I552">
        <f>G552+H552</f>
        <v>1225888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44</v>
      </c>
      <c r="C553" t="s">
        <v>85</v>
      </c>
      <c r="D553" t="s">
        <v>17</v>
      </c>
      <c r="E553" t="s">
        <v>183</v>
      </c>
      <c r="F553">
        <v>0</v>
      </c>
      <c r="G553">
        <f>MAX(I552,I546)</f>
        <v>1225888</v>
      </c>
      <c r="H553">
        <f>'Operations'!I17</f>
        <v>2048</v>
      </c>
      <c r="I553">
        <f>G553+H553</f>
        <v>1227936</v>
      </c>
      <c r="J553">
        <f>IF(AND(D553&lt;&gt;"dram",D553&lt;&gt;"control"),H553,0)</f>
        <v>2048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243</v>
      </c>
      <c r="C554" t="s">
        <v>87</v>
      </c>
      <c r="D554" t="s">
        <v>79</v>
      </c>
      <c r="E554" t="s">
        <v>183</v>
      </c>
      <c r="F554">
        <v>1024</v>
      </c>
      <c r="G554">
        <f>MAX(I553,I549)</f>
        <v>1228855</v>
      </c>
      <c r="H554">
        <f>CEILING((dram_access_latency+F554/dram_bandwidth)*frequency,1)</f>
        <v>116</v>
      </c>
      <c r="I554">
        <f>G554+H554</f>
        <v>1228971</v>
      </c>
      <c r="J554">
        <f>IF(AND(D554&lt;&gt;"dram",D554&lt;&gt;"control"),H554,0)</f>
        <v>0</v>
      </c>
      <c r="K554">
        <f>IF(D554="dram",H554,0)</f>
        <v>116</v>
      </c>
      <c r="L554">
        <v>0</v>
      </c>
      <c r="M554">
        <v>1024</v>
      </c>
    </row>
    <row r="555" spans="1:13">
      <c r="A555">
        <v>553</v>
      </c>
      <c r="B555" t="s">
        <v>244</v>
      </c>
      <c r="C555" t="s">
        <v>87</v>
      </c>
      <c r="D555" t="s">
        <v>79</v>
      </c>
      <c r="E555" t="s">
        <v>183</v>
      </c>
      <c r="F555">
        <v>49152</v>
      </c>
      <c r="G555">
        <f>MAX(I553,I554)</f>
        <v>1228971</v>
      </c>
      <c r="H555">
        <f>CEILING((dram_access_latency+F555/dram_bandwidth)*frequency,1)</f>
        <v>823</v>
      </c>
      <c r="I555">
        <f>G555+H555</f>
        <v>1229794</v>
      </c>
      <c r="J555">
        <f>IF(AND(D555&lt;&gt;"dram",D555&lt;&gt;"control"),H555,0)</f>
        <v>0</v>
      </c>
      <c r="K555">
        <f>IF(D555="dram",H555,0)</f>
        <v>823</v>
      </c>
      <c r="L555">
        <v>0</v>
      </c>
      <c r="M555">
        <v>49152</v>
      </c>
    </row>
    <row r="556" spans="1:13">
      <c r="A556">
        <v>554</v>
      </c>
      <c r="B556" t="s">
        <v>241</v>
      </c>
      <c r="C556" t="s">
        <v>78</v>
      </c>
      <c r="D556" t="s">
        <v>79</v>
      </c>
      <c r="E556" t="s">
        <v>184</v>
      </c>
      <c r="F556">
        <v>131072</v>
      </c>
      <c r="G556">
        <f>MAX(I553,I555)</f>
        <v>1229794</v>
      </c>
      <c r="H556">
        <f>CEILING((dram_access_latency+F556/dram_bandwidth)*frequency,1)</f>
        <v>2028</v>
      </c>
      <c r="I556">
        <f>G556+H556</f>
        <v>1231822</v>
      </c>
      <c r="J556">
        <f>IF(AND(D556&lt;&gt;"dram",D556&lt;&gt;"control"),H556,0)</f>
        <v>0</v>
      </c>
      <c r="K556">
        <f>IF(D556="dram",H556,0)</f>
        <v>2028</v>
      </c>
      <c r="L556">
        <v>131072</v>
      </c>
      <c r="M556">
        <v>0</v>
      </c>
    </row>
    <row r="557" spans="1:13">
      <c r="A557">
        <v>555</v>
      </c>
      <c r="B557" t="s">
        <v>242</v>
      </c>
      <c r="C557" t="s">
        <v>82</v>
      </c>
      <c r="D557" t="s">
        <v>83</v>
      </c>
      <c r="E557" t="s">
        <v>184</v>
      </c>
      <c r="F557">
        <v>0</v>
      </c>
      <c r="G557">
        <f>MAX(I553,I549)</f>
        <v>1227936</v>
      </c>
      <c r="H557">
        <f>0</f>
        <v>919</v>
      </c>
      <c r="I557">
        <f>G557+H557</f>
        <v>1228855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245</v>
      </c>
      <c r="C558" t="s">
        <v>82</v>
      </c>
      <c r="D558" t="s">
        <v>83</v>
      </c>
      <c r="E558" t="s">
        <v>184</v>
      </c>
      <c r="F558">
        <v>0</v>
      </c>
      <c r="G558">
        <f>MAX(I557,I547)</f>
        <v>1228855</v>
      </c>
      <c r="H558">
        <f>0</f>
        <v>0</v>
      </c>
      <c r="I558">
        <f>G558+H558</f>
        <v>1228855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246</v>
      </c>
      <c r="C559" t="s">
        <v>82</v>
      </c>
      <c r="D559" t="s">
        <v>83</v>
      </c>
      <c r="E559" t="s">
        <v>184</v>
      </c>
      <c r="F559">
        <v>0</v>
      </c>
      <c r="G559">
        <f>MAX(I558,I548)</f>
        <v>1228855</v>
      </c>
      <c r="H559">
        <f>0</f>
        <v>0</v>
      </c>
      <c r="I559">
        <f>G559+H559</f>
        <v>1228855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44</v>
      </c>
      <c r="C560" t="s">
        <v>85</v>
      </c>
      <c r="D560" t="s">
        <v>17</v>
      </c>
      <c r="E560" t="s">
        <v>184</v>
      </c>
      <c r="F560">
        <v>0</v>
      </c>
      <c r="G560">
        <f>MAX(I559,I553)</f>
        <v>1228855</v>
      </c>
      <c r="H560">
        <f>'Operations'!I17</f>
        <v>2048</v>
      </c>
      <c r="I560">
        <f>G560+H560</f>
        <v>1230903</v>
      </c>
      <c r="J560">
        <f>IF(AND(D560&lt;&gt;"dram",D560&lt;&gt;"control"),H560,0)</f>
        <v>2048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243</v>
      </c>
      <c r="C561" t="s">
        <v>87</v>
      </c>
      <c r="D561" t="s">
        <v>79</v>
      </c>
      <c r="E561" t="s">
        <v>184</v>
      </c>
      <c r="F561">
        <v>1024</v>
      </c>
      <c r="G561">
        <f>MAX(I560,I556)</f>
        <v>1231822</v>
      </c>
      <c r="H561">
        <f>CEILING((dram_access_latency+F561/dram_bandwidth)*frequency,1)</f>
        <v>116</v>
      </c>
      <c r="I561">
        <f>G561+H561</f>
        <v>1231938</v>
      </c>
      <c r="J561">
        <f>IF(AND(D561&lt;&gt;"dram",D561&lt;&gt;"control"),H561,0)</f>
        <v>0</v>
      </c>
      <c r="K561">
        <f>IF(D561="dram",H561,0)</f>
        <v>116</v>
      </c>
      <c r="L561">
        <v>0</v>
      </c>
      <c r="M561">
        <v>1024</v>
      </c>
    </row>
    <row r="562" spans="1:13">
      <c r="A562">
        <v>560</v>
      </c>
      <c r="B562" t="s">
        <v>244</v>
      </c>
      <c r="C562" t="s">
        <v>87</v>
      </c>
      <c r="D562" t="s">
        <v>79</v>
      </c>
      <c r="E562" t="s">
        <v>184</v>
      </c>
      <c r="F562">
        <v>49152</v>
      </c>
      <c r="G562">
        <f>MAX(I560,I561)</f>
        <v>1231938</v>
      </c>
      <c r="H562">
        <f>CEILING((dram_access_latency+F562/dram_bandwidth)*frequency,1)</f>
        <v>823</v>
      </c>
      <c r="I562">
        <f>G562+H562</f>
        <v>1232761</v>
      </c>
      <c r="J562">
        <f>IF(AND(D562&lt;&gt;"dram",D562&lt;&gt;"control"),H562,0)</f>
        <v>0</v>
      </c>
      <c r="K562">
        <f>IF(D562="dram",H562,0)</f>
        <v>823</v>
      </c>
      <c r="L562">
        <v>0</v>
      </c>
      <c r="M562">
        <v>49152</v>
      </c>
    </row>
    <row r="563" spans="1:13">
      <c r="A563">
        <v>561</v>
      </c>
      <c r="B563" t="s">
        <v>241</v>
      </c>
      <c r="C563" t="s">
        <v>78</v>
      </c>
      <c r="D563" t="s">
        <v>79</v>
      </c>
      <c r="E563" t="s">
        <v>185</v>
      </c>
      <c r="F563">
        <v>131072</v>
      </c>
      <c r="G563">
        <f>MAX(I560,I562)</f>
        <v>1232761</v>
      </c>
      <c r="H563">
        <f>CEILING((dram_access_latency+F563/dram_bandwidth)*frequency,1)</f>
        <v>2028</v>
      </c>
      <c r="I563">
        <f>G563+H563</f>
        <v>1234789</v>
      </c>
      <c r="J563">
        <f>IF(AND(D563&lt;&gt;"dram",D563&lt;&gt;"control"),H563,0)</f>
        <v>0</v>
      </c>
      <c r="K563">
        <f>IF(D563="dram",H563,0)</f>
        <v>2028</v>
      </c>
      <c r="L563">
        <v>131072</v>
      </c>
      <c r="M563">
        <v>0</v>
      </c>
    </row>
    <row r="564" spans="1:13">
      <c r="A564">
        <v>562</v>
      </c>
      <c r="B564" t="s">
        <v>242</v>
      </c>
      <c r="C564" t="s">
        <v>82</v>
      </c>
      <c r="D564" t="s">
        <v>83</v>
      </c>
      <c r="E564" t="s">
        <v>185</v>
      </c>
      <c r="F564">
        <v>0</v>
      </c>
      <c r="G564">
        <f>MAX(I560,I556)</f>
        <v>1230903</v>
      </c>
      <c r="H564">
        <f>0</f>
        <v>919</v>
      </c>
      <c r="I564">
        <f>G564+H564</f>
        <v>1231822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245</v>
      </c>
      <c r="C565" t="s">
        <v>82</v>
      </c>
      <c r="D565" t="s">
        <v>83</v>
      </c>
      <c r="E565" t="s">
        <v>185</v>
      </c>
      <c r="F565">
        <v>0</v>
      </c>
      <c r="G565">
        <f>MAX(I564,I554)</f>
        <v>1231822</v>
      </c>
      <c r="H565">
        <f>0</f>
        <v>0</v>
      </c>
      <c r="I565">
        <f>G565+H565</f>
        <v>1231822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246</v>
      </c>
      <c r="C566" t="s">
        <v>82</v>
      </c>
      <c r="D566" t="s">
        <v>83</v>
      </c>
      <c r="E566" t="s">
        <v>185</v>
      </c>
      <c r="F566">
        <v>0</v>
      </c>
      <c r="G566">
        <f>MAX(I565,I555)</f>
        <v>1231822</v>
      </c>
      <c r="H566">
        <f>0</f>
        <v>0</v>
      </c>
      <c r="I566">
        <f>G566+H566</f>
        <v>1231822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44</v>
      </c>
      <c r="C567" t="s">
        <v>85</v>
      </c>
      <c r="D567" t="s">
        <v>17</v>
      </c>
      <c r="E567" t="s">
        <v>185</v>
      </c>
      <c r="F567">
        <v>0</v>
      </c>
      <c r="G567">
        <f>MAX(I566,I560)</f>
        <v>1231822</v>
      </c>
      <c r="H567">
        <f>'Operations'!I17</f>
        <v>2048</v>
      </c>
      <c r="I567">
        <f>G567+H567</f>
        <v>1233870</v>
      </c>
      <c r="J567">
        <f>IF(AND(D567&lt;&gt;"dram",D567&lt;&gt;"control"),H567,0)</f>
        <v>2048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243</v>
      </c>
      <c r="C568" t="s">
        <v>87</v>
      </c>
      <c r="D568" t="s">
        <v>79</v>
      </c>
      <c r="E568" t="s">
        <v>185</v>
      </c>
      <c r="F568">
        <v>1024</v>
      </c>
      <c r="G568">
        <f>MAX(I567,I563)</f>
        <v>1234789</v>
      </c>
      <c r="H568">
        <f>CEILING((dram_access_latency+F568/dram_bandwidth)*frequency,1)</f>
        <v>116</v>
      </c>
      <c r="I568">
        <f>G568+H568</f>
        <v>1234905</v>
      </c>
      <c r="J568">
        <f>IF(AND(D568&lt;&gt;"dram",D568&lt;&gt;"control"),H568,0)</f>
        <v>0</v>
      </c>
      <c r="K568">
        <f>IF(D568="dram",H568,0)</f>
        <v>116</v>
      </c>
      <c r="L568">
        <v>0</v>
      </c>
      <c r="M568">
        <v>1024</v>
      </c>
    </row>
    <row r="569" spans="1:13">
      <c r="A569">
        <v>567</v>
      </c>
      <c r="B569" t="s">
        <v>244</v>
      </c>
      <c r="C569" t="s">
        <v>87</v>
      </c>
      <c r="D569" t="s">
        <v>79</v>
      </c>
      <c r="E569" t="s">
        <v>185</v>
      </c>
      <c r="F569">
        <v>49152</v>
      </c>
      <c r="G569">
        <f>MAX(I567,I568)</f>
        <v>1234905</v>
      </c>
      <c r="H569">
        <f>CEILING((dram_access_latency+F569/dram_bandwidth)*frequency,1)</f>
        <v>823</v>
      </c>
      <c r="I569">
        <f>G569+H569</f>
        <v>1235728</v>
      </c>
      <c r="J569">
        <f>IF(AND(D569&lt;&gt;"dram",D569&lt;&gt;"control"),H569,0)</f>
        <v>0</v>
      </c>
      <c r="K569">
        <f>IF(D569="dram",H569,0)</f>
        <v>823</v>
      </c>
      <c r="L569">
        <v>0</v>
      </c>
      <c r="M569">
        <v>49152</v>
      </c>
    </row>
    <row r="570" spans="1:13">
      <c r="A570">
        <v>568</v>
      </c>
      <c r="B570" t="s">
        <v>242</v>
      </c>
      <c r="C570" t="s">
        <v>82</v>
      </c>
      <c r="D570" t="s">
        <v>83</v>
      </c>
      <c r="E570" t="s">
        <v>186</v>
      </c>
      <c r="F570">
        <v>0</v>
      </c>
      <c r="G570">
        <f>MAX(I567,I563)</f>
        <v>1233870</v>
      </c>
      <c r="H570">
        <f>0</f>
        <v>919</v>
      </c>
      <c r="I570">
        <f>G570+H570</f>
        <v>1234789</v>
      </c>
      <c r="J570">
        <f>IF(AND(D570&lt;&gt;"dram",D570&lt;&gt;"control"),H570,0)</f>
        <v>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245</v>
      </c>
      <c r="C571" t="s">
        <v>82</v>
      </c>
      <c r="D571" t="s">
        <v>83</v>
      </c>
      <c r="E571" t="s">
        <v>186</v>
      </c>
      <c r="F571">
        <v>0</v>
      </c>
      <c r="G571">
        <f>MAX(I570,I561)</f>
        <v>1234789</v>
      </c>
      <c r="H571">
        <f>0</f>
        <v>0</v>
      </c>
      <c r="I571">
        <f>G571+H571</f>
        <v>1234789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246</v>
      </c>
      <c r="C572" t="s">
        <v>82</v>
      </c>
      <c r="D572" t="s">
        <v>83</v>
      </c>
      <c r="E572" t="s">
        <v>186</v>
      </c>
      <c r="F572">
        <v>0</v>
      </c>
      <c r="G572">
        <f>MAX(I571,I562)</f>
        <v>1234789</v>
      </c>
      <c r="H572">
        <f>0</f>
        <v>0</v>
      </c>
      <c r="I572">
        <f>G572+H572</f>
        <v>1234789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44</v>
      </c>
      <c r="C573" t="s">
        <v>85</v>
      </c>
      <c r="D573" t="s">
        <v>17</v>
      </c>
      <c r="E573" t="s">
        <v>186</v>
      </c>
      <c r="F573">
        <v>0</v>
      </c>
      <c r="G573">
        <f>MAX(I572,I567)</f>
        <v>1234789</v>
      </c>
      <c r="H573">
        <f>'Operations'!I17</f>
        <v>2048</v>
      </c>
      <c r="I573">
        <f>G573+H573</f>
        <v>1236837</v>
      </c>
      <c r="J573">
        <f>IF(AND(D573&lt;&gt;"dram",D573&lt;&gt;"control"),H573,0)</f>
        <v>2048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243</v>
      </c>
      <c r="C574" t="s">
        <v>87</v>
      </c>
      <c r="D574" t="s">
        <v>79</v>
      </c>
      <c r="E574" t="s">
        <v>186</v>
      </c>
      <c r="F574">
        <v>1024</v>
      </c>
      <c r="G574">
        <f>MAX(I573,I569)</f>
        <v>1236837</v>
      </c>
      <c r="H574">
        <f>CEILING((dram_access_latency+F574/dram_bandwidth)*frequency,1)</f>
        <v>116</v>
      </c>
      <c r="I574">
        <f>G574+H574</f>
        <v>1236953</v>
      </c>
      <c r="J574">
        <f>IF(AND(D574&lt;&gt;"dram",D574&lt;&gt;"control"),H574,0)</f>
        <v>0</v>
      </c>
      <c r="K574">
        <f>IF(D574="dram",H574,0)</f>
        <v>116</v>
      </c>
      <c r="L574">
        <v>0</v>
      </c>
      <c r="M574">
        <v>1024</v>
      </c>
    </row>
    <row r="575" spans="1:13">
      <c r="A575">
        <v>573</v>
      </c>
      <c r="B575" t="s">
        <v>244</v>
      </c>
      <c r="C575" t="s">
        <v>87</v>
      </c>
      <c r="D575" t="s">
        <v>79</v>
      </c>
      <c r="E575" t="s">
        <v>186</v>
      </c>
      <c r="F575">
        <v>49152</v>
      </c>
      <c r="G575">
        <f>MAX(I573,I574)</f>
        <v>1236953</v>
      </c>
      <c r="H575">
        <f>CEILING((dram_access_latency+F575/dram_bandwidth)*frequency,1)</f>
        <v>823</v>
      </c>
      <c r="I575">
        <f>G575+H575</f>
        <v>1237776</v>
      </c>
      <c r="J575">
        <f>IF(AND(D575&lt;&gt;"dram",D575&lt;&gt;"control"),H575,0)</f>
        <v>0</v>
      </c>
      <c r="K575">
        <f>IF(D575="dram",H575,0)</f>
        <v>823</v>
      </c>
      <c r="L575">
        <v>0</v>
      </c>
      <c r="M575">
        <v>49152</v>
      </c>
    </row>
    <row r="576" spans="1:13">
      <c r="A576">
        <v>574</v>
      </c>
      <c r="B576" t="s">
        <v>247</v>
      </c>
      <c r="C576" t="s">
        <v>82</v>
      </c>
      <c r="D576" t="s">
        <v>83</v>
      </c>
      <c r="E576" t="s">
        <v>80</v>
      </c>
      <c r="F576">
        <v>0</v>
      </c>
      <c r="G576">
        <f>MAX(I573,I568)</f>
        <v>1236837</v>
      </c>
      <c r="H576">
        <f>0</f>
        <v>0</v>
      </c>
      <c r="I576">
        <f>G576+H576</f>
        <v>1236837</v>
      </c>
      <c r="J576">
        <f>IF(AND(D576&lt;&gt;"dram",D576&lt;&gt;"control"),H576,0)</f>
        <v>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248</v>
      </c>
      <c r="C577" t="s">
        <v>82</v>
      </c>
      <c r="D577" t="s">
        <v>83</v>
      </c>
      <c r="E577" t="s">
        <v>80</v>
      </c>
      <c r="F577">
        <v>0</v>
      </c>
      <c r="G577">
        <f>MAX(I576,I574)</f>
        <v>1236837</v>
      </c>
      <c r="H577">
        <f>0</f>
        <v>116</v>
      </c>
      <c r="I577">
        <f>G577+H577</f>
        <v>1236953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249</v>
      </c>
      <c r="C578" t="s">
        <v>82</v>
      </c>
      <c r="D578" t="s">
        <v>83</v>
      </c>
      <c r="E578" t="s">
        <v>80</v>
      </c>
      <c r="F578">
        <v>0</v>
      </c>
      <c r="G578">
        <f>MAX(I577,I569)</f>
        <v>1236953</v>
      </c>
      <c r="H578">
        <f>0</f>
        <v>0</v>
      </c>
      <c r="I578">
        <f>G578+H578</f>
        <v>1236953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250</v>
      </c>
      <c r="C579" t="s">
        <v>82</v>
      </c>
      <c r="D579" t="s">
        <v>83</v>
      </c>
      <c r="E579" t="s">
        <v>80</v>
      </c>
      <c r="F579">
        <v>0</v>
      </c>
      <c r="G579">
        <f>MAX(I578,I575)</f>
        <v>1236953</v>
      </c>
      <c r="H579">
        <f>0</f>
        <v>823</v>
      </c>
      <c r="I579">
        <f>G579+H579</f>
        <v>1237776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251</v>
      </c>
      <c r="C580" t="s">
        <v>78</v>
      </c>
      <c r="D580" t="s">
        <v>79</v>
      </c>
      <c r="E580" t="s">
        <v>80</v>
      </c>
      <c r="F580">
        <v>12288</v>
      </c>
      <c r="G580">
        <f>MAX(I579,I575)</f>
        <v>1237776</v>
      </c>
      <c r="H580">
        <f>CEILING((dram_access_latency+F580/dram_bandwidth)*frequency,1)</f>
        <v>281</v>
      </c>
      <c r="I580">
        <f>G580+H580</f>
        <v>1238057</v>
      </c>
      <c r="J580">
        <f>IF(AND(D580&lt;&gt;"dram",D580&lt;&gt;"control"),H580,0)</f>
        <v>0</v>
      </c>
      <c r="K580">
        <f>IF(D580="dram",H580,0)</f>
        <v>281</v>
      </c>
      <c r="L580">
        <v>12288</v>
      </c>
      <c r="M580">
        <v>0</v>
      </c>
    </row>
    <row r="581" spans="1:13">
      <c r="A581">
        <v>579</v>
      </c>
      <c r="B581" t="s">
        <v>251</v>
      </c>
      <c r="C581" t="s">
        <v>87</v>
      </c>
      <c r="D581" t="s">
        <v>79</v>
      </c>
      <c r="E581" t="s">
        <v>80</v>
      </c>
      <c r="F581">
        <v>12288</v>
      </c>
      <c r="G581">
        <f>MAX(I580,I580)</f>
        <v>1238057</v>
      </c>
      <c r="H581">
        <f>CEILING((dram_access_latency+F581/dram_bandwidth)*frequency,1)</f>
        <v>281</v>
      </c>
      <c r="I581">
        <f>G581+H581</f>
        <v>1238338</v>
      </c>
      <c r="J581">
        <f>IF(AND(D581&lt;&gt;"dram",D581&lt;&gt;"control"),H581,0)</f>
        <v>0</v>
      </c>
      <c r="K581">
        <f>IF(D581="dram",H581,0)</f>
        <v>281</v>
      </c>
      <c r="L581">
        <v>0</v>
      </c>
      <c r="M581">
        <v>12288</v>
      </c>
    </row>
    <row r="582" spans="1:13">
      <c r="A582">
        <v>580</v>
      </c>
      <c r="B582" t="s">
        <v>252</v>
      </c>
      <c r="C582" t="s">
        <v>78</v>
      </c>
      <c r="D582" t="s">
        <v>79</v>
      </c>
      <c r="E582" t="s">
        <v>80</v>
      </c>
      <c r="F582">
        <v>1572864</v>
      </c>
      <c r="G582">
        <f>MAX(I581,I581)</f>
        <v>1238338</v>
      </c>
      <c r="H582">
        <f>CEILING((dram_access_latency+F582/dram_bandwidth)*frequency,1)</f>
        <v>23231</v>
      </c>
      <c r="I582">
        <f>G582+H582</f>
        <v>1261569</v>
      </c>
      <c r="J582">
        <f>IF(AND(D582&lt;&gt;"dram",D582&lt;&gt;"control"),H582,0)</f>
        <v>0</v>
      </c>
      <c r="K582">
        <f>IF(D582="dram",H582,0)</f>
        <v>23231</v>
      </c>
      <c r="L582">
        <v>1572864</v>
      </c>
      <c r="M582">
        <v>0</v>
      </c>
    </row>
    <row r="583" spans="1:13">
      <c r="A583">
        <v>581</v>
      </c>
      <c r="B583" t="s">
        <v>252</v>
      </c>
      <c r="C583" t="s">
        <v>87</v>
      </c>
      <c r="D583" t="s">
        <v>79</v>
      </c>
      <c r="E583" t="s">
        <v>80</v>
      </c>
      <c r="F583">
        <v>1572864</v>
      </c>
      <c r="G583">
        <f>MAX(I582,I582)</f>
        <v>1261569</v>
      </c>
      <c r="H583">
        <f>CEILING((dram_access_latency+F583/dram_bandwidth)*frequency,1)</f>
        <v>23231</v>
      </c>
      <c r="I583">
        <f>G583+H583</f>
        <v>1284800</v>
      </c>
      <c r="J583">
        <f>IF(AND(D583&lt;&gt;"dram",D583&lt;&gt;"control"),H583,0)</f>
        <v>0</v>
      </c>
      <c r="K583">
        <f>IF(D583="dram",H583,0)</f>
        <v>23231</v>
      </c>
      <c r="L583">
        <v>0</v>
      </c>
      <c r="M583">
        <v>1572864</v>
      </c>
    </row>
    <row r="584" spans="1:13">
      <c r="A584">
        <v>582</v>
      </c>
      <c r="B584" t="s">
        <v>253</v>
      </c>
      <c r="C584" t="s">
        <v>78</v>
      </c>
      <c r="D584" t="s">
        <v>79</v>
      </c>
      <c r="E584" t="s">
        <v>80</v>
      </c>
      <c r="F584">
        <v>256</v>
      </c>
      <c r="G584">
        <f>MAX(I583,I583)</f>
        <v>1284800</v>
      </c>
      <c r="H584">
        <f>CEILING((dram_access_latency+F584/dram_bandwidth)*frequency,1)</f>
        <v>104</v>
      </c>
      <c r="I584">
        <f>G584+H584</f>
        <v>1284904</v>
      </c>
      <c r="J584">
        <f>IF(AND(D584&lt;&gt;"dram",D584&lt;&gt;"control"),H584,0)</f>
        <v>0</v>
      </c>
      <c r="K584">
        <f>IF(D584="dram",H584,0)</f>
        <v>104</v>
      </c>
      <c r="L584">
        <v>256</v>
      </c>
      <c r="M584">
        <v>0</v>
      </c>
    </row>
    <row r="585" spans="1:13">
      <c r="A585">
        <v>583</v>
      </c>
      <c r="B585" t="s">
        <v>253</v>
      </c>
      <c r="C585" t="s">
        <v>87</v>
      </c>
      <c r="D585" t="s">
        <v>79</v>
      </c>
      <c r="E585" t="s">
        <v>80</v>
      </c>
      <c r="F585">
        <v>256</v>
      </c>
      <c r="G585">
        <f>MAX(I584,I584)</f>
        <v>1284904</v>
      </c>
      <c r="H585">
        <f>CEILING((dram_access_latency+F585/dram_bandwidth)*frequency,1)</f>
        <v>104</v>
      </c>
      <c r="I585">
        <f>G585+H585</f>
        <v>1285008</v>
      </c>
      <c r="J585">
        <f>IF(AND(D585&lt;&gt;"dram",D585&lt;&gt;"control"),H585,0)</f>
        <v>0</v>
      </c>
      <c r="K585">
        <f>IF(D585="dram",H585,0)</f>
        <v>104</v>
      </c>
      <c r="L585">
        <v>0</v>
      </c>
      <c r="M585">
        <v>256</v>
      </c>
    </row>
    <row r="586" spans="1:13">
      <c r="A586">
        <v>584</v>
      </c>
      <c r="B586" t="s">
        <v>254</v>
      </c>
      <c r="C586" t="s">
        <v>78</v>
      </c>
      <c r="D586" t="s">
        <v>79</v>
      </c>
      <c r="E586" t="s">
        <v>80</v>
      </c>
      <c r="F586">
        <v>32768</v>
      </c>
      <c r="G586">
        <f>MAX(I585,I585)</f>
        <v>1285008</v>
      </c>
      <c r="H586">
        <f>CEILING((dram_access_latency+F586/dram_bandwidth)*frequency,1)</f>
        <v>582</v>
      </c>
      <c r="I586">
        <f>G586+H586</f>
        <v>1285590</v>
      </c>
      <c r="J586">
        <f>IF(AND(D586&lt;&gt;"dram",D586&lt;&gt;"control"),H586,0)</f>
        <v>0</v>
      </c>
      <c r="K586">
        <f>IF(D586="dram",H586,0)</f>
        <v>582</v>
      </c>
      <c r="L586">
        <v>32768</v>
      </c>
      <c r="M586">
        <v>0</v>
      </c>
    </row>
    <row r="587" spans="1:13">
      <c r="A587">
        <v>585</v>
      </c>
      <c r="B587" t="s">
        <v>254</v>
      </c>
      <c r="C587" t="s">
        <v>87</v>
      </c>
      <c r="D587" t="s">
        <v>79</v>
      </c>
      <c r="E587" t="s">
        <v>80</v>
      </c>
      <c r="F587">
        <v>32768</v>
      </c>
      <c r="G587">
        <f>MAX(I586,I586)</f>
        <v>1285590</v>
      </c>
      <c r="H587">
        <f>CEILING((dram_access_latency+F587/dram_bandwidth)*frequency,1)</f>
        <v>582</v>
      </c>
      <c r="I587">
        <f>G587+H587</f>
        <v>1286172</v>
      </c>
      <c r="J587">
        <f>IF(AND(D587&lt;&gt;"dram",D587&lt;&gt;"control"),H587,0)</f>
        <v>0</v>
      </c>
      <c r="K587">
        <f>IF(D587="dram",H587,0)</f>
        <v>582</v>
      </c>
      <c r="L587">
        <v>0</v>
      </c>
      <c r="M587">
        <v>32768</v>
      </c>
    </row>
    <row r="588" spans="1:13">
      <c r="A588">
        <v>586</v>
      </c>
      <c r="B588" t="s">
        <v>255</v>
      </c>
      <c r="C588" t="s">
        <v>78</v>
      </c>
      <c r="D588" t="s">
        <v>79</v>
      </c>
      <c r="E588" t="s">
        <v>80</v>
      </c>
      <c r="F588">
        <v>3072</v>
      </c>
      <c r="G588">
        <f>MAX(I587,I587)</f>
        <v>1286172</v>
      </c>
      <c r="H588">
        <f>CEILING((dram_access_latency+F588/dram_bandwidth)*frequency,1)</f>
        <v>146</v>
      </c>
      <c r="I588">
        <f>G588+H588</f>
        <v>1286318</v>
      </c>
      <c r="J588">
        <f>IF(AND(D588&lt;&gt;"dram",D588&lt;&gt;"control"),H588,0)</f>
        <v>0</v>
      </c>
      <c r="K588">
        <f>IF(D588="dram",H588,0)</f>
        <v>146</v>
      </c>
      <c r="L588">
        <v>3072</v>
      </c>
      <c r="M588">
        <v>0</v>
      </c>
    </row>
    <row r="589" spans="1:13">
      <c r="A589">
        <v>587</v>
      </c>
      <c r="B589" t="s">
        <v>255</v>
      </c>
      <c r="C589" t="s">
        <v>87</v>
      </c>
      <c r="D589" t="s">
        <v>79</v>
      </c>
      <c r="E589" t="s">
        <v>80</v>
      </c>
      <c r="F589">
        <v>3072</v>
      </c>
      <c r="G589">
        <f>MAX(I588,I588)</f>
        <v>1286318</v>
      </c>
      <c r="H589">
        <f>CEILING((dram_access_latency+F589/dram_bandwidth)*frequency,1)</f>
        <v>146</v>
      </c>
      <c r="I589">
        <f>G589+H589</f>
        <v>1286464</v>
      </c>
      <c r="J589">
        <f>IF(AND(D589&lt;&gt;"dram",D589&lt;&gt;"control"),H589,0)</f>
        <v>0</v>
      </c>
      <c r="K589">
        <f>IF(D589="dram",H589,0)</f>
        <v>146</v>
      </c>
      <c r="L589">
        <v>0</v>
      </c>
      <c r="M589">
        <v>3072</v>
      </c>
    </row>
    <row r="590" spans="1:13">
      <c r="A590">
        <v>588</v>
      </c>
      <c r="B590" t="s">
        <v>256</v>
      </c>
      <c r="C590" t="s">
        <v>78</v>
      </c>
      <c r="D590" t="s">
        <v>79</v>
      </c>
      <c r="E590" t="s">
        <v>80</v>
      </c>
      <c r="F590">
        <v>393216</v>
      </c>
      <c r="G590">
        <f>MAX(I589,I589)</f>
        <v>1286464</v>
      </c>
      <c r="H590">
        <f>CEILING((dram_access_latency+F590/dram_bandwidth)*frequency,1)</f>
        <v>5883</v>
      </c>
      <c r="I590">
        <f>G590+H590</f>
        <v>1292347</v>
      </c>
      <c r="J590">
        <f>IF(AND(D590&lt;&gt;"dram",D590&lt;&gt;"control"),H590,0)</f>
        <v>0</v>
      </c>
      <c r="K590">
        <f>IF(D590="dram",H590,0)</f>
        <v>5883</v>
      </c>
      <c r="L590">
        <v>393216</v>
      </c>
      <c r="M590">
        <v>0</v>
      </c>
    </row>
    <row r="591" spans="1:13">
      <c r="A591">
        <v>589</v>
      </c>
      <c r="B591" t="s">
        <v>256</v>
      </c>
      <c r="C591" t="s">
        <v>87</v>
      </c>
      <c r="D591" t="s">
        <v>79</v>
      </c>
      <c r="E591" t="s">
        <v>80</v>
      </c>
      <c r="F591">
        <v>393216</v>
      </c>
      <c r="G591">
        <f>MAX(I590,I590)</f>
        <v>1292347</v>
      </c>
      <c r="H591">
        <f>CEILING((dram_access_latency+F591/dram_bandwidth)*frequency,1)</f>
        <v>5883</v>
      </c>
      <c r="I591">
        <f>G591+H591</f>
        <v>1298230</v>
      </c>
      <c r="J591">
        <f>IF(AND(D591&lt;&gt;"dram",D591&lt;&gt;"control"),H591,0)</f>
        <v>0</v>
      </c>
      <c r="K591">
        <f>IF(D591="dram",H591,0)</f>
        <v>5883</v>
      </c>
      <c r="L591">
        <v>0</v>
      </c>
      <c r="M591">
        <v>393216</v>
      </c>
    </row>
    <row r="592" spans="1:13">
      <c r="A592">
        <v>590</v>
      </c>
      <c r="B592" t="s">
        <v>257</v>
      </c>
      <c r="C592" t="s">
        <v>78</v>
      </c>
      <c r="D592" t="s">
        <v>79</v>
      </c>
      <c r="E592" t="s">
        <v>80</v>
      </c>
      <c r="F592">
        <v>64</v>
      </c>
      <c r="G592">
        <f>MAX(I591,I591)</f>
        <v>1298230</v>
      </c>
      <c r="H592">
        <f>CEILING((dram_access_latency+F592/dram_bandwidth)*frequency,1)</f>
        <v>101</v>
      </c>
      <c r="I592">
        <f>G592+H592</f>
        <v>1298331</v>
      </c>
      <c r="J592">
        <f>IF(AND(D592&lt;&gt;"dram",D592&lt;&gt;"control"),H592,0)</f>
        <v>0</v>
      </c>
      <c r="K592">
        <f>IF(D592="dram",H592,0)</f>
        <v>101</v>
      </c>
      <c r="L592">
        <v>64</v>
      </c>
      <c r="M592">
        <v>0</v>
      </c>
    </row>
    <row r="593" spans="1:13">
      <c r="A593">
        <v>591</v>
      </c>
      <c r="B593" t="s">
        <v>257</v>
      </c>
      <c r="C593" t="s">
        <v>87</v>
      </c>
      <c r="D593" t="s">
        <v>79</v>
      </c>
      <c r="E593" t="s">
        <v>80</v>
      </c>
      <c r="F593">
        <v>64</v>
      </c>
      <c r="G593">
        <f>MAX(I592,I592)</f>
        <v>1298331</v>
      </c>
      <c r="H593">
        <f>CEILING((dram_access_latency+F593/dram_bandwidth)*frequency,1)</f>
        <v>101</v>
      </c>
      <c r="I593">
        <f>G593+H593</f>
        <v>1298432</v>
      </c>
      <c r="J593">
        <f>IF(AND(D593&lt;&gt;"dram",D593&lt;&gt;"control"),H593,0)</f>
        <v>0</v>
      </c>
      <c r="K593">
        <f>IF(D593="dram",H593,0)</f>
        <v>101</v>
      </c>
      <c r="L593">
        <v>0</v>
      </c>
      <c r="M593">
        <v>64</v>
      </c>
    </row>
    <row r="594" spans="1:13">
      <c r="A594">
        <v>592</v>
      </c>
      <c r="B594" t="s">
        <v>258</v>
      </c>
      <c r="C594" t="s">
        <v>78</v>
      </c>
      <c r="D594" t="s">
        <v>79</v>
      </c>
      <c r="E594" t="s">
        <v>80</v>
      </c>
      <c r="F594">
        <v>8192</v>
      </c>
      <c r="G594">
        <f>MAX(I593,I593)</f>
        <v>1298432</v>
      </c>
      <c r="H594">
        <f>CEILING((dram_access_latency+F594/dram_bandwidth)*frequency,1)</f>
        <v>221</v>
      </c>
      <c r="I594">
        <f>G594+H594</f>
        <v>1298653</v>
      </c>
      <c r="J594">
        <f>IF(AND(D594&lt;&gt;"dram",D594&lt;&gt;"control"),H594,0)</f>
        <v>0</v>
      </c>
      <c r="K594">
        <f>IF(D594="dram",H594,0)</f>
        <v>221</v>
      </c>
      <c r="L594">
        <v>8192</v>
      </c>
      <c r="M594">
        <v>0</v>
      </c>
    </row>
    <row r="595" spans="1:13">
      <c r="A595">
        <v>593</v>
      </c>
      <c r="B595" t="s">
        <v>258</v>
      </c>
      <c r="C595" t="s">
        <v>87</v>
      </c>
      <c r="D595" t="s">
        <v>79</v>
      </c>
      <c r="E595" t="s">
        <v>80</v>
      </c>
      <c r="F595">
        <v>8192</v>
      </c>
      <c r="G595">
        <f>MAX(I594,I594)</f>
        <v>1298653</v>
      </c>
      <c r="H595">
        <f>CEILING((dram_access_latency+F595/dram_bandwidth)*frequency,1)</f>
        <v>221</v>
      </c>
      <c r="I595">
        <f>G595+H595</f>
        <v>1298874</v>
      </c>
      <c r="J595">
        <f>IF(AND(D595&lt;&gt;"dram",D595&lt;&gt;"control"),H595,0)</f>
        <v>0</v>
      </c>
      <c r="K595">
        <f>IF(D595="dram",H595,0)</f>
        <v>221</v>
      </c>
      <c r="L595">
        <v>0</v>
      </c>
      <c r="M595">
        <v>8192</v>
      </c>
    </row>
    <row r="596" spans="1:13">
      <c r="A596">
        <v>594</v>
      </c>
      <c r="B596" t="s">
        <v>259</v>
      </c>
      <c r="C596" t="s">
        <v>78</v>
      </c>
      <c r="D596" t="s">
        <v>79</v>
      </c>
      <c r="E596" t="s">
        <v>84</v>
      </c>
      <c r="F596">
        <v>12288</v>
      </c>
      <c r="G596">
        <f>MAX(I595,I595)</f>
        <v>1298874</v>
      </c>
      <c r="H596">
        <f>CEILING((dram_access_latency+F596/dram_bandwidth)*frequency,1)</f>
        <v>281</v>
      </c>
      <c r="I596">
        <f>G596+H596</f>
        <v>1299155</v>
      </c>
      <c r="J596">
        <f>IF(AND(D596&lt;&gt;"dram",D596&lt;&gt;"control"),H596,0)</f>
        <v>0</v>
      </c>
      <c r="K596">
        <f>IF(D596="dram",H596,0)</f>
        <v>281</v>
      </c>
      <c r="L596">
        <v>12288</v>
      </c>
      <c r="M596">
        <v>0</v>
      </c>
    </row>
    <row r="597" spans="1:13">
      <c r="A597">
        <v>595</v>
      </c>
      <c r="B597" t="s">
        <v>260</v>
      </c>
      <c r="C597" t="s">
        <v>78</v>
      </c>
      <c r="D597" t="s">
        <v>79</v>
      </c>
      <c r="E597" t="s">
        <v>84</v>
      </c>
      <c r="F597">
        <v>256</v>
      </c>
      <c r="G597">
        <f>MAX(I595,I596)</f>
        <v>1299155</v>
      </c>
      <c r="H597">
        <f>CEILING((dram_access_latency+F597/dram_bandwidth)*frequency,1)</f>
        <v>104</v>
      </c>
      <c r="I597">
        <f>G597+H597</f>
        <v>1299259</v>
      </c>
      <c r="J597">
        <f>IF(AND(D597&lt;&gt;"dram",D597&lt;&gt;"control"),H597,0)</f>
        <v>0</v>
      </c>
      <c r="K597">
        <f>IF(D597="dram",H597,0)</f>
        <v>104</v>
      </c>
      <c r="L597">
        <v>256</v>
      </c>
      <c r="M597">
        <v>0</v>
      </c>
    </row>
    <row r="598" spans="1:13">
      <c r="A598">
        <v>596</v>
      </c>
      <c r="B598" t="s">
        <v>261</v>
      </c>
      <c r="C598" t="s">
        <v>78</v>
      </c>
      <c r="D598" t="s">
        <v>79</v>
      </c>
      <c r="E598" t="s">
        <v>84</v>
      </c>
      <c r="F598">
        <v>96</v>
      </c>
      <c r="G598">
        <f>MAX(I595,I597)</f>
        <v>1299259</v>
      </c>
      <c r="H598">
        <f>CEILING((dram_access_latency+F598/dram_bandwidth)*frequency,1)</f>
        <v>102</v>
      </c>
      <c r="I598">
        <f>G598+H598</f>
        <v>1299361</v>
      </c>
      <c r="J598">
        <f>IF(AND(D598&lt;&gt;"dram",D598&lt;&gt;"control"),H598,0)</f>
        <v>0</v>
      </c>
      <c r="K598">
        <f>IF(D598="dram",H598,0)</f>
        <v>102</v>
      </c>
      <c r="L598">
        <v>96</v>
      </c>
      <c r="M598">
        <v>0</v>
      </c>
    </row>
    <row r="599" spans="1:13">
      <c r="A599">
        <v>597</v>
      </c>
      <c r="B599" t="s">
        <v>262</v>
      </c>
      <c r="C599" t="s">
        <v>78</v>
      </c>
      <c r="D599" t="s">
        <v>79</v>
      </c>
      <c r="E599" t="s">
        <v>84</v>
      </c>
      <c r="F599">
        <v>2</v>
      </c>
      <c r="G599">
        <f>MAX(I595,I598)</f>
        <v>1299361</v>
      </c>
      <c r="H599">
        <f>CEILING((dram_access_latency+F599/dram_bandwidth)*frequency,1)</f>
        <v>101</v>
      </c>
      <c r="I599">
        <f>G599+H599</f>
        <v>1299462</v>
      </c>
      <c r="J599">
        <f>IF(AND(D599&lt;&gt;"dram",D599&lt;&gt;"control"),H599,0)</f>
        <v>0</v>
      </c>
      <c r="K599">
        <f>IF(D599="dram",H599,0)</f>
        <v>101</v>
      </c>
      <c r="L599">
        <v>2</v>
      </c>
      <c r="M599">
        <v>0</v>
      </c>
    </row>
    <row r="600" spans="1:13">
      <c r="A600">
        <v>598</v>
      </c>
      <c r="B600" t="s">
        <v>46</v>
      </c>
      <c r="C600" t="s">
        <v>85</v>
      </c>
      <c r="D600" t="s">
        <v>17</v>
      </c>
      <c r="E600" t="s">
        <v>84</v>
      </c>
      <c r="F600">
        <v>0</v>
      </c>
      <c r="G600">
        <f>MAX(I573,I596,I597,I598,I599)</f>
        <v>1299462</v>
      </c>
      <c r="H600">
        <f>'Operations'!I18</f>
        <v>256</v>
      </c>
      <c r="I600">
        <f>G600+H600</f>
        <v>1299718</v>
      </c>
      <c r="J600">
        <f>IF(AND(D600&lt;&gt;"dram",D600&lt;&gt;"control"),H600,0)</f>
        <v>256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259</v>
      </c>
      <c r="C601" t="s">
        <v>78</v>
      </c>
      <c r="D601" t="s">
        <v>79</v>
      </c>
      <c r="E601" t="s">
        <v>101</v>
      </c>
      <c r="F601">
        <v>12288</v>
      </c>
      <c r="G601">
        <f>MAX(I595,I599)</f>
        <v>1299462</v>
      </c>
      <c r="H601">
        <f>CEILING((dram_access_latency+F601/dram_bandwidth)*frequency,1)</f>
        <v>281</v>
      </c>
      <c r="I601">
        <f>G601+H601</f>
        <v>1299743</v>
      </c>
      <c r="J601">
        <f>IF(AND(D601&lt;&gt;"dram",D601&lt;&gt;"control"),H601,0)</f>
        <v>0</v>
      </c>
      <c r="K601">
        <f>IF(D601="dram",H601,0)</f>
        <v>281</v>
      </c>
      <c r="L601">
        <v>12288</v>
      </c>
      <c r="M601">
        <v>0</v>
      </c>
    </row>
    <row r="602" spans="1:13">
      <c r="A602">
        <v>600</v>
      </c>
      <c r="B602" t="s">
        <v>260</v>
      </c>
      <c r="C602" t="s">
        <v>78</v>
      </c>
      <c r="D602" t="s">
        <v>79</v>
      </c>
      <c r="E602" t="s">
        <v>101</v>
      </c>
      <c r="F602">
        <v>256</v>
      </c>
      <c r="G602">
        <f>MAX(I595,I601)</f>
        <v>1299743</v>
      </c>
      <c r="H602">
        <f>CEILING((dram_access_latency+F602/dram_bandwidth)*frequency,1)</f>
        <v>104</v>
      </c>
      <c r="I602">
        <f>G602+H602</f>
        <v>1299847</v>
      </c>
      <c r="J602">
        <f>IF(AND(D602&lt;&gt;"dram",D602&lt;&gt;"control"),H602,0)</f>
        <v>0</v>
      </c>
      <c r="K602">
        <f>IF(D602="dram",H602,0)</f>
        <v>104</v>
      </c>
      <c r="L602">
        <v>256</v>
      </c>
      <c r="M602">
        <v>0</v>
      </c>
    </row>
    <row r="603" spans="1:13">
      <c r="A603">
        <v>601</v>
      </c>
      <c r="B603" t="s">
        <v>261</v>
      </c>
      <c r="C603" t="s">
        <v>78</v>
      </c>
      <c r="D603" t="s">
        <v>79</v>
      </c>
      <c r="E603" t="s">
        <v>101</v>
      </c>
      <c r="F603">
        <v>96</v>
      </c>
      <c r="G603">
        <f>MAX(I595,I602)</f>
        <v>1299847</v>
      </c>
      <c r="H603">
        <f>CEILING((dram_access_latency+F603/dram_bandwidth)*frequency,1)</f>
        <v>102</v>
      </c>
      <c r="I603">
        <f>G603+H603</f>
        <v>1299949</v>
      </c>
      <c r="J603">
        <f>IF(AND(D603&lt;&gt;"dram",D603&lt;&gt;"control"),H603,0)</f>
        <v>0</v>
      </c>
      <c r="K603">
        <f>IF(D603="dram",H603,0)</f>
        <v>102</v>
      </c>
      <c r="L603">
        <v>96</v>
      </c>
      <c r="M603">
        <v>0</v>
      </c>
    </row>
    <row r="604" spans="1:13">
      <c r="A604">
        <v>602</v>
      </c>
      <c r="B604" t="s">
        <v>262</v>
      </c>
      <c r="C604" t="s">
        <v>78</v>
      </c>
      <c r="D604" t="s">
        <v>79</v>
      </c>
      <c r="E604" t="s">
        <v>101</v>
      </c>
      <c r="F604">
        <v>2</v>
      </c>
      <c r="G604">
        <f>MAX(I595,I603)</f>
        <v>1299949</v>
      </c>
      <c r="H604">
        <f>CEILING((dram_access_latency+F604/dram_bandwidth)*frequency,1)</f>
        <v>101</v>
      </c>
      <c r="I604">
        <f>G604+H604</f>
        <v>1300050</v>
      </c>
      <c r="J604">
        <f>IF(AND(D604&lt;&gt;"dram",D604&lt;&gt;"control"),H604,0)</f>
        <v>0</v>
      </c>
      <c r="K604">
        <f>IF(D604="dram",H604,0)</f>
        <v>101</v>
      </c>
      <c r="L604">
        <v>2</v>
      </c>
      <c r="M604">
        <v>0</v>
      </c>
    </row>
    <row r="605" spans="1:13">
      <c r="A605">
        <v>603</v>
      </c>
      <c r="B605" t="s">
        <v>46</v>
      </c>
      <c r="C605" t="s">
        <v>85</v>
      </c>
      <c r="D605" t="s">
        <v>17</v>
      </c>
      <c r="E605" t="s">
        <v>101</v>
      </c>
      <c r="F605">
        <v>0</v>
      </c>
      <c r="G605">
        <f>MAX(I600,I601,I602,I603,I604)</f>
        <v>1300050</v>
      </c>
      <c r="H605">
        <f>'Operations'!I18</f>
        <v>256</v>
      </c>
      <c r="I605">
        <f>G605+H605</f>
        <v>1300306</v>
      </c>
      <c r="J605">
        <f>IF(AND(D605&lt;&gt;"dram",D605&lt;&gt;"control"),H605,0)</f>
        <v>256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263</v>
      </c>
      <c r="C606" t="s">
        <v>82</v>
      </c>
      <c r="D606" t="s">
        <v>83</v>
      </c>
      <c r="E606" t="s">
        <v>101</v>
      </c>
      <c r="F606">
        <v>0</v>
      </c>
      <c r="G606">
        <f>MAX(I595,I600)</f>
        <v>1298874</v>
      </c>
      <c r="H606">
        <f>0</f>
        <v>844</v>
      </c>
      <c r="I606">
        <f>G606+H606</f>
        <v>1299718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264</v>
      </c>
      <c r="C607" t="s">
        <v>87</v>
      </c>
      <c r="D607" t="s">
        <v>79</v>
      </c>
      <c r="E607" t="s">
        <v>101</v>
      </c>
      <c r="F607">
        <v>256</v>
      </c>
      <c r="G607">
        <f>MAX(I606,I604)</f>
        <v>1300050</v>
      </c>
      <c r="H607">
        <f>CEILING((dram_access_latency+F607/dram_bandwidth)*frequency,1)</f>
        <v>104</v>
      </c>
      <c r="I607">
        <f>G607+H607</f>
        <v>1300154</v>
      </c>
      <c r="J607">
        <f>IF(AND(D607&lt;&gt;"dram",D607&lt;&gt;"control"),H607,0)</f>
        <v>0</v>
      </c>
      <c r="K607">
        <f>IF(D607="dram",H607,0)</f>
        <v>104</v>
      </c>
      <c r="L607">
        <v>0</v>
      </c>
      <c r="M607">
        <v>256</v>
      </c>
    </row>
    <row r="608" spans="1:13">
      <c r="A608">
        <v>606</v>
      </c>
      <c r="B608" t="s">
        <v>259</v>
      </c>
      <c r="C608" t="s">
        <v>78</v>
      </c>
      <c r="D608" t="s">
        <v>79</v>
      </c>
      <c r="E608" t="s">
        <v>104</v>
      </c>
      <c r="F608">
        <v>12288</v>
      </c>
      <c r="G608">
        <f>MAX(I606,I607)</f>
        <v>1300154</v>
      </c>
      <c r="H608">
        <f>CEILING((dram_access_latency+F608/dram_bandwidth)*frequency,1)</f>
        <v>281</v>
      </c>
      <c r="I608">
        <f>G608+H608</f>
        <v>1300435</v>
      </c>
      <c r="J608">
        <f>IF(AND(D608&lt;&gt;"dram",D608&lt;&gt;"control"),H608,0)</f>
        <v>0</v>
      </c>
      <c r="K608">
        <f>IF(D608="dram",H608,0)</f>
        <v>281</v>
      </c>
      <c r="L608">
        <v>12288</v>
      </c>
      <c r="M608">
        <v>0</v>
      </c>
    </row>
    <row r="609" spans="1:13">
      <c r="A609">
        <v>607</v>
      </c>
      <c r="B609" t="s">
        <v>260</v>
      </c>
      <c r="C609" t="s">
        <v>78</v>
      </c>
      <c r="D609" t="s">
        <v>79</v>
      </c>
      <c r="E609" t="s">
        <v>104</v>
      </c>
      <c r="F609">
        <v>256</v>
      </c>
      <c r="G609">
        <f>MAX(I606,I608)</f>
        <v>1300435</v>
      </c>
      <c r="H609">
        <f>CEILING((dram_access_latency+F609/dram_bandwidth)*frequency,1)</f>
        <v>104</v>
      </c>
      <c r="I609">
        <f>G609+H609</f>
        <v>1300539</v>
      </c>
      <c r="J609">
        <f>IF(AND(D609&lt;&gt;"dram",D609&lt;&gt;"control"),H609,0)</f>
        <v>0</v>
      </c>
      <c r="K609">
        <f>IF(D609="dram",H609,0)</f>
        <v>104</v>
      </c>
      <c r="L609">
        <v>256</v>
      </c>
      <c r="M609">
        <v>0</v>
      </c>
    </row>
    <row r="610" spans="1:13">
      <c r="A610">
        <v>608</v>
      </c>
      <c r="B610" t="s">
        <v>261</v>
      </c>
      <c r="C610" t="s">
        <v>78</v>
      </c>
      <c r="D610" t="s">
        <v>79</v>
      </c>
      <c r="E610" t="s">
        <v>104</v>
      </c>
      <c r="F610">
        <v>96</v>
      </c>
      <c r="G610">
        <f>MAX(I606,I609)</f>
        <v>1300539</v>
      </c>
      <c r="H610">
        <f>CEILING((dram_access_latency+F610/dram_bandwidth)*frequency,1)</f>
        <v>102</v>
      </c>
      <c r="I610">
        <f>G610+H610</f>
        <v>1300641</v>
      </c>
      <c r="J610">
        <f>IF(AND(D610&lt;&gt;"dram",D610&lt;&gt;"control"),H610,0)</f>
        <v>0</v>
      </c>
      <c r="K610">
        <f>IF(D610="dram",H610,0)</f>
        <v>102</v>
      </c>
      <c r="L610">
        <v>96</v>
      </c>
      <c r="M610">
        <v>0</v>
      </c>
    </row>
    <row r="611" spans="1:13">
      <c r="A611">
        <v>609</v>
      </c>
      <c r="B611" t="s">
        <v>262</v>
      </c>
      <c r="C611" t="s">
        <v>78</v>
      </c>
      <c r="D611" t="s">
        <v>79</v>
      </c>
      <c r="E611" t="s">
        <v>104</v>
      </c>
      <c r="F611">
        <v>2</v>
      </c>
      <c r="G611">
        <f>MAX(I606,I610)</f>
        <v>1300641</v>
      </c>
      <c r="H611">
        <f>CEILING((dram_access_latency+F611/dram_bandwidth)*frequency,1)</f>
        <v>101</v>
      </c>
      <c r="I611">
        <f>G611+H611</f>
        <v>1300742</v>
      </c>
      <c r="J611">
        <f>IF(AND(D611&lt;&gt;"dram",D611&lt;&gt;"control"),H611,0)</f>
        <v>0</v>
      </c>
      <c r="K611">
        <f>IF(D611="dram",H611,0)</f>
        <v>101</v>
      </c>
      <c r="L611">
        <v>2</v>
      </c>
      <c r="M611">
        <v>0</v>
      </c>
    </row>
    <row r="612" spans="1:13">
      <c r="A612">
        <v>610</v>
      </c>
      <c r="B612" t="s">
        <v>46</v>
      </c>
      <c r="C612" t="s">
        <v>85</v>
      </c>
      <c r="D612" t="s">
        <v>17</v>
      </c>
      <c r="E612" t="s">
        <v>104</v>
      </c>
      <c r="F612">
        <v>0</v>
      </c>
      <c r="G612">
        <f>MAX(I605,I608,I609,I610,I611,I607)</f>
        <v>1300742</v>
      </c>
      <c r="H612">
        <f>'Operations'!I18</f>
        <v>256</v>
      </c>
      <c r="I612">
        <f>G612+H612</f>
        <v>1300998</v>
      </c>
      <c r="J612">
        <f>IF(AND(D612&lt;&gt;"dram",D612&lt;&gt;"control"),H612,0)</f>
        <v>256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263</v>
      </c>
      <c r="C613" t="s">
        <v>82</v>
      </c>
      <c r="D613" t="s">
        <v>83</v>
      </c>
      <c r="E613" t="s">
        <v>104</v>
      </c>
      <c r="F613">
        <v>0</v>
      </c>
      <c r="G613">
        <f>MAX(I606,I605)</f>
        <v>1299718</v>
      </c>
      <c r="H613">
        <f>0</f>
        <v>588</v>
      </c>
      <c r="I613">
        <f>G613+H613</f>
        <v>1300306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264</v>
      </c>
      <c r="C614" t="s">
        <v>87</v>
      </c>
      <c r="D614" t="s">
        <v>79</v>
      </c>
      <c r="E614" t="s">
        <v>104</v>
      </c>
      <c r="F614">
        <v>256</v>
      </c>
      <c r="G614">
        <f>MAX(I613,I611)</f>
        <v>1300742</v>
      </c>
      <c r="H614">
        <f>CEILING((dram_access_latency+F614/dram_bandwidth)*frequency,1)</f>
        <v>104</v>
      </c>
      <c r="I614">
        <f>G614+H614</f>
        <v>1300846</v>
      </c>
      <c r="J614">
        <f>IF(AND(D614&lt;&gt;"dram",D614&lt;&gt;"control"),H614,0)</f>
        <v>0</v>
      </c>
      <c r="K614">
        <f>IF(D614="dram",H614,0)</f>
        <v>104</v>
      </c>
      <c r="L614">
        <v>0</v>
      </c>
      <c r="M614">
        <v>256</v>
      </c>
    </row>
    <row r="615" spans="1:13">
      <c r="A615">
        <v>613</v>
      </c>
      <c r="B615" t="s">
        <v>259</v>
      </c>
      <c r="C615" t="s">
        <v>78</v>
      </c>
      <c r="D615" t="s">
        <v>79</v>
      </c>
      <c r="E615" t="s">
        <v>105</v>
      </c>
      <c r="F615">
        <v>12288</v>
      </c>
      <c r="G615">
        <f>MAX(I613,I614)</f>
        <v>1300846</v>
      </c>
      <c r="H615">
        <f>CEILING((dram_access_latency+F615/dram_bandwidth)*frequency,1)</f>
        <v>281</v>
      </c>
      <c r="I615">
        <f>G615+H615</f>
        <v>1301127</v>
      </c>
      <c r="J615">
        <f>IF(AND(D615&lt;&gt;"dram",D615&lt;&gt;"control"),H615,0)</f>
        <v>0</v>
      </c>
      <c r="K615">
        <f>IF(D615="dram",H615,0)</f>
        <v>281</v>
      </c>
      <c r="L615">
        <v>12288</v>
      </c>
      <c r="M615">
        <v>0</v>
      </c>
    </row>
    <row r="616" spans="1:13">
      <c r="A616">
        <v>614</v>
      </c>
      <c r="B616" t="s">
        <v>260</v>
      </c>
      <c r="C616" t="s">
        <v>78</v>
      </c>
      <c r="D616" t="s">
        <v>79</v>
      </c>
      <c r="E616" t="s">
        <v>105</v>
      </c>
      <c r="F616">
        <v>256</v>
      </c>
      <c r="G616">
        <f>MAX(I613,I615)</f>
        <v>1301127</v>
      </c>
      <c r="H616">
        <f>CEILING((dram_access_latency+F616/dram_bandwidth)*frequency,1)</f>
        <v>104</v>
      </c>
      <c r="I616">
        <f>G616+H616</f>
        <v>1301231</v>
      </c>
      <c r="J616">
        <f>IF(AND(D616&lt;&gt;"dram",D616&lt;&gt;"control"),H616,0)</f>
        <v>0</v>
      </c>
      <c r="K616">
        <f>IF(D616="dram",H616,0)</f>
        <v>104</v>
      </c>
      <c r="L616">
        <v>256</v>
      </c>
      <c r="M616">
        <v>0</v>
      </c>
    </row>
    <row r="617" spans="1:13">
      <c r="A617">
        <v>615</v>
      </c>
      <c r="B617" t="s">
        <v>261</v>
      </c>
      <c r="C617" t="s">
        <v>78</v>
      </c>
      <c r="D617" t="s">
        <v>79</v>
      </c>
      <c r="E617" t="s">
        <v>105</v>
      </c>
      <c r="F617">
        <v>96</v>
      </c>
      <c r="G617">
        <f>MAX(I613,I616)</f>
        <v>1301231</v>
      </c>
      <c r="H617">
        <f>CEILING((dram_access_latency+F617/dram_bandwidth)*frequency,1)</f>
        <v>102</v>
      </c>
      <c r="I617">
        <f>G617+H617</f>
        <v>1301333</v>
      </c>
      <c r="J617">
        <f>IF(AND(D617&lt;&gt;"dram",D617&lt;&gt;"control"),H617,0)</f>
        <v>0</v>
      </c>
      <c r="K617">
        <f>IF(D617="dram",H617,0)</f>
        <v>102</v>
      </c>
      <c r="L617">
        <v>96</v>
      </c>
      <c r="M617">
        <v>0</v>
      </c>
    </row>
    <row r="618" spans="1:13">
      <c r="A618">
        <v>616</v>
      </c>
      <c r="B618" t="s">
        <v>262</v>
      </c>
      <c r="C618" t="s">
        <v>78</v>
      </c>
      <c r="D618" t="s">
        <v>79</v>
      </c>
      <c r="E618" t="s">
        <v>105</v>
      </c>
      <c r="F618">
        <v>2</v>
      </c>
      <c r="G618">
        <f>MAX(I613,I617)</f>
        <v>1301333</v>
      </c>
      <c r="H618">
        <f>CEILING((dram_access_latency+F618/dram_bandwidth)*frequency,1)</f>
        <v>101</v>
      </c>
      <c r="I618">
        <f>G618+H618</f>
        <v>1301434</v>
      </c>
      <c r="J618">
        <f>IF(AND(D618&lt;&gt;"dram",D618&lt;&gt;"control"),H618,0)</f>
        <v>0</v>
      </c>
      <c r="K618">
        <f>IF(D618="dram",H618,0)</f>
        <v>101</v>
      </c>
      <c r="L618">
        <v>2</v>
      </c>
      <c r="M618">
        <v>0</v>
      </c>
    </row>
    <row r="619" spans="1:13">
      <c r="A619">
        <v>617</v>
      </c>
      <c r="B619" t="s">
        <v>46</v>
      </c>
      <c r="C619" t="s">
        <v>85</v>
      </c>
      <c r="D619" t="s">
        <v>17</v>
      </c>
      <c r="E619" t="s">
        <v>105</v>
      </c>
      <c r="F619">
        <v>0</v>
      </c>
      <c r="G619">
        <f>MAX(I612,I615,I616,I617,I618,I614)</f>
        <v>1301434</v>
      </c>
      <c r="H619">
        <f>'Operations'!I18</f>
        <v>256</v>
      </c>
      <c r="I619">
        <f>G619+H619</f>
        <v>1301690</v>
      </c>
      <c r="J619">
        <f>IF(AND(D619&lt;&gt;"dram",D619&lt;&gt;"control"),H619,0)</f>
        <v>256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263</v>
      </c>
      <c r="C620" t="s">
        <v>82</v>
      </c>
      <c r="D620" t="s">
        <v>83</v>
      </c>
      <c r="E620" t="s">
        <v>105</v>
      </c>
      <c r="F620">
        <v>0</v>
      </c>
      <c r="G620">
        <f>MAX(I613,I612)</f>
        <v>1300306</v>
      </c>
      <c r="H620">
        <f>0</f>
        <v>692</v>
      </c>
      <c r="I620">
        <f>G620+H620</f>
        <v>1300998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264</v>
      </c>
      <c r="C621" t="s">
        <v>87</v>
      </c>
      <c r="D621" t="s">
        <v>79</v>
      </c>
      <c r="E621" t="s">
        <v>105</v>
      </c>
      <c r="F621">
        <v>256</v>
      </c>
      <c r="G621">
        <f>MAX(I620,I618)</f>
        <v>1301434</v>
      </c>
      <c r="H621">
        <f>CEILING((dram_access_latency+F621/dram_bandwidth)*frequency,1)</f>
        <v>104</v>
      </c>
      <c r="I621">
        <f>G621+H621</f>
        <v>1301538</v>
      </c>
      <c r="J621">
        <f>IF(AND(D621&lt;&gt;"dram",D621&lt;&gt;"control"),H621,0)</f>
        <v>0</v>
      </c>
      <c r="K621">
        <f>IF(D621="dram",H621,0)</f>
        <v>104</v>
      </c>
      <c r="L621">
        <v>0</v>
      </c>
      <c r="M621">
        <v>256</v>
      </c>
    </row>
    <row r="622" spans="1:13">
      <c r="A622">
        <v>620</v>
      </c>
      <c r="B622" t="s">
        <v>259</v>
      </c>
      <c r="C622" t="s">
        <v>78</v>
      </c>
      <c r="D622" t="s">
        <v>79</v>
      </c>
      <c r="E622" t="s">
        <v>183</v>
      </c>
      <c r="F622">
        <v>12288</v>
      </c>
      <c r="G622">
        <f>MAX(I620,I621)</f>
        <v>1301538</v>
      </c>
      <c r="H622">
        <f>CEILING((dram_access_latency+F622/dram_bandwidth)*frequency,1)</f>
        <v>281</v>
      </c>
      <c r="I622">
        <f>G622+H622</f>
        <v>1301819</v>
      </c>
      <c r="J622">
        <f>IF(AND(D622&lt;&gt;"dram",D622&lt;&gt;"control"),H622,0)</f>
        <v>0</v>
      </c>
      <c r="K622">
        <f>IF(D622="dram",H622,0)</f>
        <v>281</v>
      </c>
      <c r="L622">
        <v>12288</v>
      </c>
      <c r="M622">
        <v>0</v>
      </c>
    </row>
    <row r="623" spans="1:13">
      <c r="A623">
        <v>621</v>
      </c>
      <c r="B623" t="s">
        <v>260</v>
      </c>
      <c r="C623" t="s">
        <v>78</v>
      </c>
      <c r="D623" t="s">
        <v>79</v>
      </c>
      <c r="E623" t="s">
        <v>183</v>
      </c>
      <c r="F623">
        <v>256</v>
      </c>
      <c r="G623">
        <f>MAX(I620,I622)</f>
        <v>1301819</v>
      </c>
      <c r="H623">
        <f>CEILING((dram_access_latency+F623/dram_bandwidth)*frequency,1)</f>
        <v>104</v>
      </c>
      <c r="I623">
        <f>G623+H623</f>
        <v>1301923</v>
      </c>
      <c r="J623">
        <f>IF(AND(D623&lt;&gt;"dram",D623&lt;&gt;"control"),H623,0)</f>
        <v>0</v>
      </c>
      <c r="K623">
        <f>IF(D623="dram",H623,0)</f>
        <v>104</v>
      </c>
      <c r="L623">
        <v>256</v>
      </c>
      <c r="M623">
        <v>0</v>
      </c>
    </row>
    <row r="624" spans="1:13">
      <c r="A624">
        <v>622</v>
      </c>
      <c r="B624" t="s">
        <v>261</v>
      </c>
      <c r="C624" t="s">
        <v>78</v>
      </c>
      <c r="D624" t="s">
        <v>79</v>
      </c>
      <c r="E624" t="s">
        <v>183</v>
      </c>
      <c r="F624">
        <v>96</v>
      </c>
      <c r="G624">
        <f>MAX(I620,I623)</f>
        <v>1301923</v>
      </c>
      <c r="H624">
        <f>CEILING((dram_access_latency+F624/dram_bandwidth)*frequency,1)</f>
        <v>102</v>
      </c>
      <c r="I624">
        <f>G624+H624</f>
        <v>1302025</v>
      </c>
      <c r="J624">
        <f>IF(AND(D624&lt;&gt;"dram",D624&lt;&gt;"control"),H624,0)</f>
        <v>0</v>
      </c>
      <c r="K624">
        <f>IF(D624="dram",H624,0)</f>
        <v>102</v>
      </c>
      <c r="L624">
        <v>96</v>
      </c>
      <c r="M624">
        <v>0</v>
      </c>
    </row>
    <row r="625" spans="1:13">
      <c r="A625">
        <v>623</v>
      </c>
      <c r="B625" t="s">
        <v>262</v>
      </c>
      <c r="C625" t="s">
        <v>78</v>
      </c>
      <c r="D625" t="s">
        <v>79</v>
      </c>
      <c r="E625" t="s">
        <v>183</v>
      </c>
      <c r="F625">
        <v>2</v>
      </c>
      <c r="G625">
        <f>MAX(I620,I624)</f>
        <v>1302025</v>
      </c>
      <c r="H625">
        <f>CEILING((dram_access_latency+F625/dram_bandwidth)*frequency,1)</f>
        <v>101</v>
      </c>
      <c r="I625">
        <f>G625+H625</f>
        <v>1302126</v>
      </c>
      <c r="J625">
        <f>IF(AND(D625&lt;&gt;"dram",D625&lt;&gt;"control"),H625,0)</f>
        <v>0</v>
      </c>
      <c r="K625">
        <f>IF(D625="dram",H625,0)</f>
        <v>101</v>
      </c>
      <c r="L625">
        <v>2</v>
      </c>
      <c r="M625">
        <v>0</v>
      </c>
    </row>
    <row r="626" spans="1:13">
      <c r="A626">
        <v>624</v>
      </c>
      <c r="B626" t="s">
        <v>46</v>
      </c>
      <c r="C626" t="s">
        <v>85</v>
      </c>
      <c r="D626" t="s">
        <v>17</v>
      </c>
      <c r="E626" t="s">
        <v>183</v>
      </c>
      <c r="F626">
        <v>0</v>
      </c>
      <c r="G626">
        <f>MAX(I619,I622,I623,I624,I625,I621)</f>
        <v>1302126</v>
      </c>
      <c r="H626">
        <f>'Operations'!I18</f>
        <v>256</v>
      </c>
      <c r="I626">
        <f>G626+H626</f>
        <v>1302382</v>
      </c>
      <c r="J626">
        <f>IF(AND(D626&lt;&gt;"dram",D626&lt;&gt;"control"),H626,0)</f>
        <v>256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263</v>
      </c>
      <c r="C627" t="s">
        <v>82</v>
      </c>
      <c r="D627" t="s">
        <v>83</v>
      </c>
      <c r="E627" t="s">
        <v>183</v>
      </c>
      <c r="F627">
        <v>0</v>
      </c>
      <c r="G627">
        <f>MAX(I620,I619)</f>
        <v>1300998</v>
      </c>
      <c r="H627">
        <f>0</f>
        <v>692</v>
      </c>
      <c r="I627">
        <f>G627+H627</f>
        <v>1301690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264</v>
      </c>
      <c r="C628" t="s">
        <v>87</v>
      </c>
      <c r="D628" t="s">
        <v>79</v>
      </c>
      <c r="E628" t="s">
        <v>183</v>
      </c>
      <c r="F628">
        <v>256</v>
      </c>
      <c r="G628">
        <f>MAX(I627,I625)</f>
        <v>1302126</v>
      </c>
      <c r="H628">
        <f>CEILING((dram_access_latency+F628/dram_bandwidth)*frequency,1)</f>
        <v>104</v>
      </c>
      <c r="I628">
        <f>G628+H628</f>
        <v>1302230</v>
      </c>
      <c r="J628">
        <f>IF(AND(D628&lt;&gt;"dram",D628&lt;&gt;"control"),H628,0)</f>
        <v>0</v>
      </c>
      <c r="K628">
        <f>IF(D628="dram",H628,0)</f>
        <v>104</v>
      </c>
      <c r="L628">
        <v>0</v>
      </c>
      <c r="M628">
        <v>256</v>
      </c>
    </row>
    <row r="629" spans="1:13">
      <c r="A629">
        <v>627</v>
      </c>
      <c r="B629" t="s">
        <v>259</v>
      </c>
      <c r="C629" t="s">
        <v>78</v>
      </c>
      <c r="D629" t="s">
        <v>79</v>
      </c>
      <c r="E629" t="s">
        <v>184</v>
      </c>
      <c r="F629">
        <v>12288</v>
      </c>
      <c r="G629">
        <f>MAX(I627,I628)</f>
        <v>1302230</v>
      </c>
      <c r="H629">
        <f>CEILING((dram_access_latency+F629/dram_bandwidth)*frequency,1)</f>
        <v>281</v>
      </c>
      <c r="I629">
        <f>G629+H629</f>
        <v>1302511</v>
      </c>
      <c r="J629">
        <f>IF(AND(D629&lt;&gt;"dram",D629&lt;&gt;"control"),H629,0)</f>
        <v>0</v>
      </c>
      <c r="K629">
        <f>IF(D629="dram",H629,0)</f>
        <v>281</v>
      </c>
      <c r="L629">
        <v>12288</v>
      </c>
      <c r="M629">
        <v>0</v>
      </c>
    </row>
    <row r="630" spans="1:13">
      <c r="A630">
        <v>628</v>
      </c>
      <c r="B630" t="s">
        <v>260</v>
      </c>
      <c r="C630" t="s">
        <v>78</v>
      </c>
      <c r="D630" t="s">
        <v>79</v>
      </c>
      <c r="E630" t="s">
        <v>184</v>
      </c>
      <c r="F630">
        <v>256</v>
      </c>
      <c r="G630">
        <f>MAX(I627,I629)</f>
        <v>1302511</v>
      </c>
      <c r="H630">
        <f>CEILING((dram_access_latency+F630/dram_bandwidth)*frequency,1)</f>
        <v>104</v>
      </c>
      <c r="I630">
        <f>G630+H630</f>
        <v>1302615</v>
      </c>
      <c r="J630">
        <f>IF(AND(D630&lt;&gt;"dram",D630&lt;&gt;"control"),H630,0)</f>
        <v>0</v>
      </c>
      <c r="K630">
        <f>IF(D630="dram",H630,0)</f>
        <v>104</v>
      </c>
      <c r="L630">
        <v>256</v>
      </c>
      <c r="M630">
        <v>0</v>
      </c>
    </row>
    <row r="631" spans="1:13">
      <c r="A631">
        <v>629</v>
      </c>
      <c r="B631" t="s">
        <v>261</v>
      </c>
      <c r="C631" t="s">
        <v>78</v>
      </c>
      <c r="D631" t="s">
        <v>79</v>
      </c>
      <c r="E631" t="s">
        <v>184</v>
      </c>
      <c r="F631">
        <v>96</v>
      </c>
      <c r="G631">
        <f>MAX(I627,I630)</f>
        <v>1302615</v>
      </c>
      <c r="H631">
        <f>CEILING((dram_access_latency+F631/dram_bandwidth)*frequency,1)</f>
        <v>102</v>
      </c>
      <c r="I631">
        <f>G631+H631</f>
        <v>1302717</v>
      </c>
      <c r="J631">
        <f>IF(AND(D631&lt;&gt;"dram",D631&lt;&gt;"control"),H631,0)</f>
        <v>0</v>
      </c>
      <c r="K631">
        <f>IF(D631="dram",H631,0)</f>
        <v>102</v>
      </c>
      <c r="L631">
        <v>96</v>
      </c>
      <c r="M631">
        <v>0</v>
      </c>
    </row>
    <row r="632" spans="1:13">
      <c r="A632">
        <v>630</v>
      </c>
      <c r="B632" t="s">
        <v>262</v>
      </c>
      <c r="C632" t="s">
        <v>78</v>
      </c>
      <c r="D632" t="s">
        <v>79</v>
      </c>
      <c r="E632" t="s">
        <v>184</v>
      </c>
      <c r="F632">
        <v>2</v>
      </c>
      <c r="G632">
        <f>MAX(I627,I631)</f>
        <v>1302717</v>
      </c>
      <c r="H632">
        <f>CEILING((dram_access_latency+F632/dram_bandwidth)*frequency,1)</f>
        <v>101</v>
      </c>
      <c r="I632">
        <f>G632+H632</f>
        <v>1302818</v>
      </c>
      <c r="J632">
        <f>IF(AND(D632&lt;&gt;"dram",D632&lt;&gt;"control"),H632,0)</f>
        <v>0</v>
      </c>
      <c r="K632">
        <f>IF(D632="dram",H632,0)</f>
        <v>101</v>
      </c>
      <c r="L632">
        <v>2</v>
      </c>
      <c r="M632">
        <v>0</v>
      </c>
    </row>
    <row r="633" spans="1:13">
      <c r="A633">
        <v>631</v>
      </c>
      <c r="B633" t="s">
        <v>46</v>
      </c>
      <c r="C633" t="s">
        <v>85</v>
      </c>
      <c r="D633" t="s">
        <v>17</v>
      </c>
      <c r="E633" t="s">
        <v>184</v>
      </c>
      <c r="F633">
        <v>0</v>
      </c>
      <c r="G633">
        <f>MAX(I626,I629,I630,I631,I632,I628)</f>
        <v>1302818</v>
      </c>
      <c r="H633">
        <f>'Operations'!I18</f>
        <v>256</v>
      </c>
      <c r="I633">
        <f>G633+H633</f>
        <v>1303074</v>
      </c>
      <c r="J633">
        <f>IF(AND(D633&lt;&gt;"dram",D633&lt;&gt;"control"),H633,0)</f>
        <v>256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263</v>
      </c>
      <c r="C634" t="s">
        <v>82</v>
      </c>
      <c r="D634" t="s">
        <v>83</v>
      </c>
      <c r="E634" t="s">
        <v>184</v>
      </c>
      <c r="F634">
        <v>0</v>
      </c>
      <c r="G634">
        <f>MAX(I627,I626)</f>
        <v>1301690</v>
      </c>
      <c r="H634">
        <f>0</f>
        <v>692</v>
      </c>
      <c r="I634">
        <f>G634+H634</f>
        <v>1302382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264</v>
      </c>
      <c r="C635" t="s">
        <v>87</v>
      </c>
      <c r="D635" t="s">
        <v>79</v>
      </c>
      <c r="E635" t="s">
        <v>184</v>
      </c>
      <c r="F635">
        <v>256</v>
      </c>
      <c r="G635">
        <f>MAX(I634,I632)</f>
        <v>1302818</v>
      </c>
      <c r="H635">
        <f>CEILING((dram_access_latency+F635/dram_bandwidth)*frequency,1)</f>
        <v>104</v>
      </c>
      <c r="I635">
        <f>G635+H635</f>
        <v>1302922</v>
      </c>
      <c r="J635">
        <f>IF(AND(D635&lt;&gt;"dram",D635&lt;&gt;"control"),H635,0)</f>
        <v>0</v>
      </c>
      <c r="K635">
        <f>IF(D635="dram",H635,0)</f>
        <v>104</v>
      </c>
      <c r="L635">
        <v>0</v>
      </c>
      <c r="M635">
        <v>256</v>
      </c>
    </row>
    <row r="636" spans="1:13">
      <c r="A636">
        <v>634</v>
      </c>
      <c r="B636" t="s">
        <v>259</v>
      </c>
      <c r="C636" t="s">
        <v>78</v>
      </c>
      <c r="D636" t="s">
        <v>79</v>
      </c>
      <c r="E636" t="s">
        <v>185</v>
      </c>
      <c r="F636">
        <v>12288</v>
      </c>
      <c r="G636">
        <f>MAX(I634,I635)</f>
        <v>1302922</v>
      </c>
      <c r="H636">
        <f>CEILING((dram_access_latency+F636/dram_bandwidth)*frequency,1)</f>
        <v>281</v>
      </c>
      <c r="I636">
        <f>G636+H636</f>
        <v>1303203</v>
      </c>
      <c r="J636">
        <f>IF(AND(D636&lt;&gt;"dram",D636&lt;&gt;"control"),H636,0)</f>
        <v>0</v>
      </c>
      <c r="K636">
        <f>IF(D636="dram",H636,0)</f>
        <v>281</v>
      </c>
      <c r="L636">
        <v>12288</v>
      </c>
      <c r="M636">
        <v>0</v>
      </c>
    </row>
    <row r="637" spans="1:13">
      <c r="A637">
        <v>635</v>
      </c>
      <c r="B637" t="s">
        <v>260</v>
      </c>
      <c r="C637" t="s">
        <v>78</v>
      </c>
      <c r="D637" t="s">
        <v>79</v>
      </c>
      <c r="E637" t="s">
        <v>185</v>
      </c>
      <c r="F637">
        <v>256</v>
      </c>
      <c r="G637">
        <f>MAX(I634,I636)</f>
        <v>1303203</v>
      </c>
      <c r="H637">
        <f>CEILING((dram_access_latency+F637/dram_bandwidth)*frequency,1)</f>
        <v>104</v>
      </c>
      <c r="I637">
        <f>G637+H637</f>
        <v>1303307</v>
      </c>
      <c r="J637">
        <f>IF(AND(D637&lt;&gt;"dram",D637&lt;&gt;"control"),H637,0)</f>
        <v>0</v>
      </c>
      <c r="K637">
        <f>IF(D637="dram",H637,0)</f>
        <v>104</v>
      </c>
      <c r="L637">
        <v>256</v>
      </c>
      <c r="M637">
        <v>0</v>
      </c>
    </row>
    <row r="638" spans="1:13">
      <c r="A638">
        <v>636</v>
      </c>
      <c r="B638" t="s">
        <v>261</v>
      </c>
      <c r="C638" t="s">
        <v>78</v>
      </c>
      <c r="D638" t="s">
        <v>79</v>
      </c>
      <c r="E638" t="s">
        <v>185</v>
      </c>
      <c r="F638">
        <v>96</v>
      </c>
      <c r="G638">
        <f>MAX(I634,I637)</f>
        <v>1303307</v>
      </c>
      <c r="H638">
        <f>CEILING((dram_access_latency+F638/dram_bandwidth)*frequency,1)</f>
        <v>102</v>
      </c>
      <c r="I638">
        <f>G638+H638</f>
        <v>1303409</v>
      </c>
      <c r="J638">
        <f>IF(AND(D638&lt;&gt;"dram",D638&lt;&gt;"control"),H638,0)</f>
        <v>0</v>
      </c>
      <c r="K638">
        <f>IF(D638="dram",H638,0)</f>
        <v>102</v>
      </c>
      <c r="L638">
        <v>96</v>
      </c>
      <c r="M638">
        <v>0</v>
      </c>
    </row>
    <row r="639" spans="1:13">
      <c r="A639">
        <v>637</v>
      </c>
      <c r="B639" t="s">
        <v>262</v>
      </c>
      <c r="C639" t="s">
        <v>78</v>
      </c>
      <c r="D639" t="s">
        <v>79</v>
      </c>
      <c r="E639" t="s">
        <v>185</v>
      </c>
      <c r="F639">
        <v>2</v>
      </c>
      <c r="G639">
        <f>MAX(I634,I638)</f>
        <v>1303409</v>
      </c>
      <c r="H639">
        <f>CEILING((dram_access_latency+F639/dram_bandwidth)*frequency,1)</f>
        <v>101</v>
      </c>
      <c r="I639">
        <f>G639+H639</f>
        <v>1303510</v>
      </c>
      <c r="J639">
        <f>IF(AND(D639&lt;&gt;"dram",D639&lt;&gt;"control"),H639,0)</f>
        <v>0</v>
      </c>
      <c r="K639">
        <f>IF(D639="dram",H639,0)</f>
        <v>101</v>
      </c>
      <c r="L639">
        <v>2</v>
      </c>
      <c r="M639">
        <v>0</v>
      </c>
    </row>
    <row r="640" spans="1:13">
      <c r="A640">
        <v>638</v>
      </c>
      <c r="B640" t="s">
        <v>46</v>
      </c>
      <c r="C640" t="s">
        <v>85</v>
      </c>
      <c r="D640" t="s">
        <v>17</v>
      </c>
      <c r="E640" t="s">
        <v>185</v>
      </c>
      <c r="F640">
        <v>0</v>
      </c>
      <c r="G640">
        <f>MAX(I633,I636,I637,I638,I639,I635)</f>
        <v>1303510</v>
      </c>
      <c r="H640">
        <f>'Operations'!I18</f>
        <v>256</v>
      </c>
      <c r="I640">
        <f>G640+H640</f>
        <v>1303766</v>
      </c>
      <c r="J640">
        <f>IF(AND(D640&lt;&gt;"dram",D640&lt;&gt;"control"),H640,0)</f>
        <v>256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263</v>
      </c>
      <c r="C641" t="s">
        <v>82</v>
      </c>
      <c r="D641" t="s">
        <v>83</v>
      </c>
      <c r="E641" t="s">
        <v>185</v>
      </c>
      <c r="F641">
        <v>0</v>
      </c>
      <c r="G641">
        <f>MAX(I634,I633)</f>
        <v>1302382</v>
      </c>
      <c r="H641">
        <f>0</f>
        <v>692</v>
      </c>
      <c r="I641">
        <f>G641+H641</f>
        <v>1303074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264</v>
      </c>
      <c r="C642" t="s">
        <v>87</v>
      </c>
      <c r="D642" t="s">
        <v>79</v>
      </c>
      <c r="E642" t="s">
        <v>185</v>
      </c>
      <c r="F642">
        <v>256</v>
      </c>
      <c r="G642">
        <f>MAX(I641,I639)</f>
        <v>1303510</v>
      </c>
      <c r="H642">
        <f>CEILING((dram_access_latency+F642/dram_bandwidth)*frequency,1)</f>
        <v>104</v>
      </c>
      <c r="I642">
        <f>G642+H642</f>
        <v>1303614</v>
      </c>
      <c r="J642">
        <f>IF(AND(D642&lt;&gt;"dram",D642&lt;&gt;"control"),H642,0)</f>
        <v>0</v>
      </c>
      <c r="K642">
        <f>IF(D642="dram",H642,0)</f>
        <v>104</v>
      </c>
      <c r="L642">
        <v>0</v>
      </c>
      <c r="M642">
        <v>256</v>
      </c>
    </row>
    <row r="643" spans="1:13">
      <c r="A643">
        <v>641</v>
      </c>
      <c r="B643" t="s">
        <v>259</v>
      </c>
      <c r="C643" t="s">
        <v>78</v>
      </c>
      <c r="D643" t="s">
        <v>79</v>
      </c>
      <c r="E643" t="s">
        <v>186</v>
      </c>
      <c r="F643">
        <v>12288</v>
      </c>
      <c r="G643">
        <f>MAX(I641,I642)</f>
        <v>1303614</v>
      </c>
      <c r="H643">
        <f>CEILING((dram_access_latency+F643/dram_bandwidth)*frequency,1)</f>
        <v>281</v>
      </c>
      <c r="I643">
        <f>G643+H643</f>
        <v>1303895</v>
      </c>
      <c r="J643">
        <f>IF(AND(D643&lt;&gt;"dram",D643&lt;&gt;"control"),H643,0)</f>
        <v>0</v>
      </c>
      <c r="K643">
        <f>IF(D643="dram",H643,0)</f>
        <v>281</v>
      </c>
      <c r="L643">
        <v>12288</v>
      </c>
      <c r="M643">
        <v>0</v>
      </c>
    </row>
    <row r="644" spans="1:13">
      <c r="A644">
        <v>642</v>
      </c>
      <c r="B644" t="s">
        <v>260</v>
      </c>
      <c r="C644" t="s">
        <v>78</v>
      </c>
      <c r="D644" t="s">
        <v>79</v>
      </c>
      <c r="E644" t="s">
        <v>186</v>
      </c>
      <c r="F644">
        <v>256</v>
      </c>
      <c r="G644">
        <f>MAX(I641,I643)</f>
        <v>1303895</v>
      </c>
      <c r="H644">
        <f>CEILING((dram_access_latency+F644/dram_bandwidth)*frequency,1)</f>
        <v>104</v>
      </c>
      <c r="I644">
        <f>G644+H644</f>
        <v>1303999</v>
      </c>
      <c r="J644">
        <f>IF(AND(D644&lt;&gt;"dram",D644&lt;&gt;"control"),H644,0)</f>
        <v>0</v>
      </c>
      <c r="K644">
        <f>IF(D644="dram",H644,0)</f>
        <v>104</v>
      </c>
      <c r="L644">
        <v>256</v>
      </c>
      <c r="M644">
        <v>0</v>
      </c>
    </row>
    <row r="645" spans="1:13">
      <c r="A645">
        <v>643</v>
      </c>
      <c r="B645" t="s">
        <v>261</v>
      </c>
      <c r="C645" t="s">
        <v>78</v>
      </c>
      <c r="D645" t="s">
        <v>79</v>
      </c>
      <c r="E645" t="s">
        <v>186</v>
      </c>
      <c r="F645">
        <v>96</v>
      </c>
      <c r="G645">
        <f>MAX(I641,I644)</f>
        <v>1303999</v>
      </c>
      <c r="H645">
        <f>CEILING((dram_access_latency+F645/dram_bandwidth)*frequency,1)</f>
        <v>102</v>
      </c>
      <c r="I645">
        <f>G645+H645</f>
        <v>1304101</v>
      </c>
      <c r="J645">
        <f>IF(AND(D645&lt;&gt;"dram",D645&lt;&gt;"control"),H645,0)</f>
        <v>0</v>
      </c>
      <c r="K645">
        <f>IF(D645="dram",H645,0)</f>
        <v>102</v>
      </c>
      <c r="L645">
        <v>96</v>
      </c>
      <c r="M645">
        <v>0</v>
      </c>
    </row>
    <row r="646" spans="1:13">
      <c r="A646">
        <v>644</v>
      </c>
      <c r="B646" t="s">
        <v>262</v>
      </c>
      <c r="C646" t="s">
        <v>78</v>
      </c>
      <c r="D646" t="s">
        <v>79</v>
      </c>
      <c r="E646" t="s">
        <v>186</v>
      </c>
      <c r="F646">
        <v>2</v>
      </c>
      <c r="G646">
        <f>MAX(I641,I645)</f>
        <v>1304101</v>
      </c>
      <c r="H646">
        <f>CEILING((dram_access_latency+F646/dram_bandwidth)*frequency,1)</f>
        <v>101</v>
      </c>
      <c r="I646">
        <f>G646+H646</f>
        <v>1304202</v>
      </c>
      <c r="J646">
        <f>IF(AND(D646&lt;&gt;"dram",D646&lt;&gt;"control"),H646,0)</f>
        <v>0</v>
      </c>
      <c r="K646">
        <f>IF(D646="dram",H646,0)</f>
        <v>101</v>
      </c>
      <c r="L646">
        <v>2</v>
      </c>
      <c r="M646">
        <v>0</v>
      </c>
    </row>
    <row r="647" spans="1:13">
      <c r="A647">
        <v>645</v>
      </c>
      <c r="B647" t="s">
        <v>46</v>
      </c>
      <c r="C647" t="s">
        <v>85</v>
      </c>
      <c r="D647" t="s">
        <v>17</v>
      </c>
      <c r="E647" t="s">
        <v>186</v>
      </c>
      <c r="F647">
        <v>0</v>
      </c>
      <c r="G647">
        <f>MAX(I640,I643,I644,I645,I646,I642)</f>
        <v>1304202</v>
      </c>
      <c r="H647">
        <f>'Operations'!I18</f>
        <v>256</v>
      </c>
      <c r="I647">
        <f>G647+H647</f>
        <v>1304458</v>
      </c>
      <c r="J647">
        <f>IF(AND(D647&lt;&gt;"dram",D647&lt;&gt;"control"),H647,0)</f>
        <v>256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263</v>
      </c>
      <c r="C648" t="s">
        <v>82</v>
      </c>
      <c r="D648" t="s">
        <v>83</v>
      </c>
      <c r="E648" t="s">
        <v>186</v>
      </c>
      <c r="F648">
        <v>0</v>
      </c>
      <c r="G648">
        <f>MAX(I641,I640)</f>
        <v>1303074</v>
      </c>
      <c r="H648">
        <f>0</f>
        <v>692</v>
      </c>
      <c r="I648">
        <f>G648+H648</f>
        <v>1303766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264</v>
      </c>
      <c r="C649" t="s">
        <v>87</v>
      </c>
      <c r="D649" t="s">
        <v>79</v>
      </c>
      <c r="E649" t="s">
        <v>186</v>
      </c>
      <c r="F649">
        <v>256</v>
      </c>
      <c r="G649">
        <f>MAX(I648,I646)</f>
        <v>1304202</v>
      </c>
      <c r="H649">
        <f>CEILING((dram_access_latency+F649/dram_bandwidth)*frequency,1)</f>
        <v>104</v>
      </c>
      <c r="I649">
        <f>G649+H649</f>
        <v>1304306</v>
      </c>
      <c r="J649">
        <f>IF(AND(D649&lt;&gt;"dram",D649&lt;&gt;"control"),H649,0)</f>
        <v>0</v>
      </c>
      <c r="K649">
        <f>IF(D649="dram",H649,0)</f>
        <v>104</v>
      </c>
      <c r="L649">
        <v>0</v>
      </c>
      <c r="M649">
        <v>256</v>
      </c>
    </row>
    <row r="650" spans="1:13">
      <c r="A650">
        <v>648</v>
      </c>
      <c r="B650" t="s">
        <v>259</v>
      </c>
      <c r="C650" t="s">
        <v>78</v>
      </c>
      <c r="D650" t="s">
        <v>79</v>
      </c>
      <c r="E650" t="s">
        <v>187</v>
      </c>
      <c r="F650">
        <v>12288</v>
      </c>
      <c r="G650">
        <f>MAX(I648,I649)</f>
        <v>1304306</v>
      </c>
      <c r="H650">
        <f>CEILING((dram_access_latency+F650/dram_bandwidth)*frequency,1)</f>
        <v>281</v>
      </c>
      <c r="I650">
        <f>G650+H650</f>
        <v>1304587</v>
      </c>
      <c r="J650">
        <f>IF(AND(D650&lt;&gt;"dram",D650&lt;&gt;"control"),H650,0)</f>
        <v>0</v>
      </c>
      <c r="K650">
        <f>IF(D650="dram",H650,0)</f>
        <v>281</v>
      </c>
      <c r="L650">
        <v>12288</v>
      </c>
      <c r="M650">
        <v>0</v>
      </c>
    </row>
    <row r="651" spans="1:13">
      <c r="A651">
        <v>649</v>
      </c>
      <c r="B651" t="s">
        <v>260</v>
      </c>
      <c r="C651" t="s">
        <v>78</v>
      </c>
      <c r="D651" t="s">
        <v>79</v>
      </c>
      <c r="E651" t="s">
        <v>187</v>
      </c>
      <c r="F651">
        <v>256</v>
      </c>
      <c r="G651">
        <f>MAX(I648,I650)</f>
        <v>1304587</v>
      </c>
      <c r="H651">
        <f>CEILING((dram_access_latency+F651/dram_bandwidth)*frequency,1)</f>
        <v>104</v>
      </c>
      <c r="I651">
        <f>G651+H651</f>
        <v>1304691</v>
      </c>
      <c r="J651">
        <f>IF(AND(D651&lt;&gt;"dram",D651&lt;&gt;"control"),H651,0)</f>
        <v>0</v>
      </c>
      <c r="K651">
        <f>IF(D651="dram",H651,0)</f>
        <v>104</v>
      </c>
      <c r="L651">
        <v>256</v>
      </c>
      <c r="M651">
        <v>0</v>
      </c>
    </row>
    <row r="652" spans="1:13">
      <c r="A652">
        <v>650</v>
      </c>
      <c r="B652" t="s">
        <v>261</v>
      </c>
      <c r="C652" t="s">
        <v>78</v>
      </c>
      <c r="D652" t="s">
        <v>79</v>
      </c>
      <c r="E652" t="s">
        <v>187</v>
      </c>
      <c r="F652">
        <v>96</v>
      </c>
      <c r="G652">
        <f>MAX(I648,I651)</f>
        <v>1304691</v>
      </c>
      <c r="H652">
        <f>CEILING((dram_access_latency+F652/dram_bandwidth)*frequency,1)</f>
        <v>102</v>
      </c>
      <c r="I652">
        <f>G652+H652</f>
        <v>1304793</v>
      </c>
      <c r="J652">
        <f>IF(AND(D652&lt;&gt;"dram",D652&lt;&gt;"control"),H652,0)</f>
        <v>0</v>
      </c>
      <c r="K652">
        <f>IF(D652="dram",H652,0)</f>
        <v>102</v>
      </c>
      <c r="L652">
        <v>96</v>
      </c>
      <c r="M652">
        <v>0</v>
      </c>
    </row>
    <row r="653" spans="1:13">
      <c r="A653">
        <v>651</v>
      </c>
      <c r="B653" t="s">
        <v>262</v>
      </c>
      <c r="C653" t="s">
        <v>78</v>
      </c>
      <c r="D653" t="s">
        <v>79</v>
      </c>
      <c r="E653" t="s">
        <v>187</v>
      </c>
      <c r="F653">
        <v>2</v>
      </c>
      <c r="G653">
        <f>MAX(I648,I652)</f>
        <v>1304793</v>
      </c>
      <c r="H653">
        <f>CEILING((dram_access_latency+F653/dram_bandwidth)*frequency,1)</f>
        <v>101</v>
      </c>
      <c r="I653">
        <f>G653+H653</f>
        <v>1304894</v>
      </c>
      <c r="J653">
        <f>IF(AND(D653&lt;&gt;"dram",D653&lt;&gt;"control"),H653,0)</f>
        <v>0</v>
      </c>
      <c r="K653">
        <f>IF(D653="dram",H653,0)</f>
        <v>101</v>
      </c>
      <c r="L653">
        <v>2</v>
      </c>
      <c r="M653">
        <v>0</v>
      </c>
    </row>
    <row r="654" spans="1:13">
      <c r="A654">
        <v>652</v>
      </c>
      <c r="B654" t="s">
        <v>46</v>
      </c>
      <c r="C654" t="s">
        <v>85</v>
      </c>
      <c r="D654" t="s">
        <v>17</v>
      </c>
      <c r="E654" t="s">
        <v>187</v>
      </c>
      <c r="F654">
        <v>0</v>
      </c>
      <c r="G654">
        <f>MAX(I647,I650,I651,I652,I653,I649)</f>
        <v>1304894</v>
      </c>
      <c r="H654">
        <f>'Operations'!I18</f>
        <v>256</v>
      </c>
      <c r="I654">
        <f>G654+H654</f>
        <v>1305150</v>
      </c>
      <c r="J654">
        <f>IF(AND(D654&lt;&gt;"dram",D654&lt;&gt;"control"),H654,0)</f>
        <v>256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263</v>
      </c>
      <c r="C655" t="s">
        <v>82</v>
      </c>
      <c r="D655" t="s">
        <v>83</v>
      </c>
      <c r="E655" t="s">
        <v>187</v>
      </c>
      <c r="F655">
        <v>0</v>
      </c>
      <c r="G655">
        <f>MAX(I648,I647)</f>
        <v>1303766</v>
      </c>
      <c r="H655">
        <f>0</f>
        <v>692</v>
      </c>
      <c r="I655">
        <f>G655+H655</f>
        <v>1304458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264</v>
      </c>
      <c r="C656" t="s">
        <v>87</v>
      </c>
      <c r="D656" t="s">
        <v>79</v>
      </c>
      <c r="E656" t="s">
        <v>187</v>
      </c>
      <c r="F656">
        <v>256</v>
      </c>
      <c r="G656">
        <f>MAX(I655,I653)</f>
        <v>1304894</v>
      </c>
      <c r="H656">
        <f>CEILING((dram_access_latency+F656/dram_bandwidth)*frequency,1)</f>
        <v>104</v>
      </c>
      <c r="I656">
        <f>G656+H656</f>
        <v>1304998</v>
      </c>
      <c r="J656">
        <f>IF(AND(D656&lt;&gt;"dram",D656&lt;&gt;"control"),H656,0)</f>
        <v>0</v>
      </c>
      <c r="K656">
        <f>IF(D656="dram",H656,0)</f>
        <v>104</v>
      </c>
      <c r="L656">
        <v>0</v>
      </c>
      <c r="M656">
        <v>256</v>
      </c>
    </row>
    <row r="657" spans="1:13">
      <c r="A657">
        <v>655</v>
      </c>
      <c r="B657" t="s">
        <v>259</v>
      </c>
      <c r="C657" t="s">
        <v>78</v>
      </c>
      <c r="D657" t="s">
        <v>79</v>
      </c>
      <c r="E657" t="s">
        <v>188</v>
      </c>
      <c r="F657">
        <v>12288</v>
      </c>
      <c r="G657">
        <f>MAX(I655,I656)</f>
        <v>1304998</v>
      </c>
      <c r="H657">
        <f>CEILING((dram_access_latency+F657/dram_bandwidth)*frequency,1)</f>
        <v>281</v>
      </c>
      <c r="I657">
        <f>G657+H657</f>
        <v>1305279</v>
      </c>
      <c r="J657">
        <f>IF(AND(D657&lt;&gt;"dram",D657&lt;&gt;"control"),H657,0)</f>
        <v>0</v>
      </c>
      <c r="K657">
        <f>IF(D657="dram",H657,0)</f>
        <v>281</v>
      </c>
      <c r="L657">
        <v>12288</v>
      </c>
      <c r="M657">
        <v>0</v>
      </c>
    </row>
    <row r="658" spans="1:13">
      <c r="A658">
        <v>656</v>
      </c>
      <c r="B658" t="s">
        <v>260</v>
      </c>
      <c r="C658" t="s">
        <v>78</v>
      </c>
      <c r="D658" t="s">
        <v>79</v>
      </c>
      <c r="E658" t="s">
        <v>188</v>
      </c>
      <c r="F658">
        <v>256</v>
      </c>
      <c r="G658">
        <f>MAX(I655,I657)</f>
        <v>1305279</v>
      </c>
      <c r="H658">
        <f>CEILING((dram_access_latency+F658/dram_bandwidth)*frequency,1)</f>
        <v>104</v>
      </c>
      <c r="I658">
        <f>G658+H658</f>
        <v>1305383</v>
      </c>
      <c r="J658">
        <f>IF(AND(D658&lt;&gt;"dram",D658&lt;&gt;"control"),H658,0)</f>
        <v>0</v>
      </c>
      <c r="K658">
        <f>IF(D658="dram",H658,0)</f>
        <v>104</v>
      </c>
      <c r="L658">
        <v>256</v>
      </c>
      <c r="M658">
        <v>0</v>
      </c>
    </row>
    <row r="659" spans="1:13">
      <c r="A659">
        <v>657</v>
      </c>
      <c r="B659" t="s">
        <v>261</v>
      </c>
      <c r="C659" t="s">
        <v>78</v>
      </c>
      <c r="D659" t="s">
        <v>79</v>
      </c>
      <c r="E659" t="s">
        <v>188</v>
      </c>
      <c r="F659">
        <v>96</v>
      </c>
      <c r="G659">
        <f>MAX(I655,I658)</f>
        <v>1305383</v>
      </c>
      <c r="H659">
        <f>CEILING((dram_access_latency+F659/dram_bandwidth)*frequency,1)</f>
        <v>102</v>
      </c>
      <c r="I659">
        <f>G659+H659</f>
        <v>1305485</v>
      </c>
      <c r="J659">
        <f>IF(AND(D659&lt;&gt;"dram",D659&lt;&gt;"control"),H659,0)</f>
        <v>0</v>
      </c>
      <c r="K659">
        <f>IF(D659="dram",H659,0)</f>
        <v>102</v>
      </c>
      <c r="L659">
        <v>96</v>
      </c>
      <c r="M659">
        <v>0</v>
      </c>
    </row>
    <row r="660" spans="1:13">
      <c r="A660">
        <v>658</v>
      </c>
      <c r="B660" t="s">
        <v>262</v>
      </c>
      <c r="C660" t="s">
        <v>78</v>
      </c>
      <c r="D660" t="s">
        <v>79</v>
      </c>
      <c r="E660" t="s">
        <v>188</v>
      </c>
      <c r="F660">
        <v>2</v>
      </c>
      <c r="G660">
        <f>MAX(I655,I659)</f>
        <v>1305485</v>
      </c>
      <c r="H660">
        <f>CEILING((dram_access_latency+F660/dram_bandwidth)*frequency,1)</f>
        <v>101</v>
      </c>
      <c r="I660">
        <f>G660+H660</f>
        <v>1305586</v>
      </c>
      <c r="J660">
        <f>IF(AND(D660&lt;&gt;"dram",D660&lt;&gt;"control"),H660,0)</f>
        <v>0</v>
      </c>
      <c r="K660">
        <f>IF(D660="dram",H660,0)</f>
        <v>101</v>
      </c>
      <c r="L660">
        <v>2</v>
      </c>
      <c r="M660">
        <v>0</v>
      </c>
    </row>
    <row r="661" spans="1:13">
      <c r="A661">
        <v>659</v>
      </c>
      <c r="B661" t="s">
        <v>46</v>
      </c>
      <c r="C661" t="s">
        <v>85</v>
      </c>
      <c r="D661" t="s">
        <v>17</v>
      </c>
      <c r="E661" t="s">
        <v>188</v>
      </c>
      <c r="F661">
        <v>0</v>
      </c>
      <c r="G661">
        <f>MAX(I654,I657,I658,I659,I660,I656)</f>
        <v>1305586</v>
      </c>
      <c r="H661">
        <f>'Operations'!I18</f>
        <v>256</v>
      </c>
      <c r="I661">
        <f>G661+H661</f>
        <v>1305842</v>
      </c>
      <c r="J661">
        <f>IF(AND(D661&lt;&gt;"dram",D661&lt;&gt;"control"),H661,0)</f>
        <v>256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263</v>
      </c>
      <c r="C662" t="s">
        <v>82</v>
      </c>
      <c r="D662" t="s">
        <v>83</v>
      </c>
      <c r="E662" t="s">
        <v>188</v>
      </c>
      <c r="F662">
        <v>0</v>
      </c>
      <c r="G662">
        <f>MAX(I655,I654)</f>
        <v>1304458</v>
      </c>
      <c r="H662">
        <f>0</f>
        <v>692</v>
      </c>
      <c r="I662">
        <f>G662+H662</f>
        <v>1305150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264</v>
      </c>
      <c r="C663" t="s">
        <v>87</v>
      </c>
      <c r="D663" t="s">
        <v>79</v>
      </c>
      <c r="E663" t="s">
        <v>188</v>
      </c>
      <c r="F663">
        <v>256</v>
      </c>
      <c r="G663">
        <f>MAX(I662,I660)</f>
        <v>1305586</v>
      </c>
      <c r="H663">
        <f>CEILING((dram_access_latency+F663/dram_bandwidth)*frequency,1)</f>
        <v>104</v>
      </c>
      <c r="I663">
        <f>G663+H663</f>
        <v>1305690</v>
      </c>
      <c r="J663">
        <f>IF(AND(D663&lt;&gt;"dram",D663&lt;&gt;"control"),H663,0)</f>
        <v>0</v>
      </c>
      <c r="K663">
        <f>IF(D663="dram",H663,0)</f>
        <v>104</v>
      </c>
      <c r="L663">
        <v>0</v>
      </c>
      <c r="M663">
        <v>256</v>
      </c>
    </row>
    <row r="664" spans="1:13">
      <c r="A664">
        <v>662</v>
      </c>
      <c r="B664" t="s">
        <v>259</v>
      </c>
      <c r="C664" t="s">
        <v>78</v>
      </c>
      <c r="D664" t="s">
        <v>79</v>
      </c>
      <c r="E664" t="s">
        <v>189</v>
      </c>
      <c r="F664">
        <v>12288</v>
      </c>
      <c r="G664">
        <f>MAX(I662,I663)</f>
        <v>1305690</v>
      </c>
      <c r="H664">
        <f>CEILING((dram_access_latency+F664/dram_bandwidth)*frequency,1)</f>
        <v>281</v>
      </c>
      <c r="I664">
        <f>G664+H664</f>
        <v>1305971</v>
      </c>
      <c r="J664">
        <f>IF(AND(D664&lt;&gt;"dram",D664&lt;&gt;"control"),H664,0)</f>
        <v>0</v>
      </c>
      <c r="K664">
        <f>IF(D664="dram",H664,0)</f>
        <v>281</v>
      </c>
      <c r="L664">
        <v>12288</v>
      </c>
      <c r="M664">
        <v>0</v>
      </c>
    </row>
    <row r="665" spans="1:13">
      <c r="A665">
        <v>663</v>
      </c>
      <c r="B665" t="s">
        <v>260</v>
      </c>
      <c r="C665" t="s">
        <v>78</v>
      </c>
      <c r="D665" t="s">
        <v>79</v>
      </c>
      <c r="E665" t="s">
        <v>189</v>
      </c>
      <c r="F665">
        <v>256</v>
      </c>
      <c r="G665">
        <f>MAX(I662,I664)</f>
        <v>1305971</v>
      </c>
      <c r="H665">
        <f>CEILING((dram_access_latency+F665/dram_bandwidth)*frequency,1)</f>
        <v>104</v>
      </c>
      <c r="I665">
        <f>G665+H665</f>
        <v>1306075</v>
      </c>
      <c r="J665">
        <f>IF(AND(D665&lt;&gt;"dram",D665&lt;&gt;"control"),H665,0)</f>
        <v>0</v>
      </c>
      <c r="K665">
        <f>IF(D665="dram",H665,0)</f>
        <v>104</v>
      </c>
      <c r="L665">
        <v>256</v>
      </c>
      <c r="M665">
        <v>0</v>
      </c>
    </row>
    <row r="666" spans="1:13">
      <c r="A666">
        <v>664</v>
      </c>
      <c r="B666" t="s">
        <v>261</v>
      </c>
      <c r="C666" t="s">
        <v>78</v>
      </c>
      <c r="D666" t="s">
        <v>79</v>
      </c>
      <c r="E666" t="s">
        <v>189</v>
      </c>
      <c r="F666">
        <v>96</v>
      </c>
      <c r="G666">
        <f>MAX(I662,I665)</f>
        <v>1306075</v>
      </c>
      <c r="H666">
        <f>CEILING((dram_access_latency+F666/dram_bandwidth)*frequency,1)</f>
        <v>102</v>
      </c>
      <c r="I666">
        <f>G666+H666</f>
        <v>1306177</v>
      </c>
      <c r="J666">
        <f>IF(AND(D666&lt;&gt;"dram",D666&lt;&gt;"control"),H666,0)</f>
        <v>0</v>
      </c>
      <c r="K666">
        <f>IF(D666="dram",H666,0)</f>
        <v>102</v>
      </c>
      <c r="L666">
        <v>96</v>
      </c>
      <c r="M666">
        <v>0</v>
      </c>
    </row>
    <row r="667" spans="1:13">
      <c r="A667">
        <v>665</v>
      </c>
      <c r="B667" t="s">
        <v>262</v>
      </c>
      <c r="C667" t="s">
        <v>78</v>
      </c>
      <c r="D667" t="s">
        <v>79</v>
      </c>
      <c r="E667" t="s">
        <v>189</v>
      </c>
      <c r="F667">
        <v>2</v>
      </c>
      <c r="G667">
        <f>MAX(I662,I666)</f>
        <v>1306177</v>
      </c>
      <c r="H667">
        <f>CEILING((dram_access_latency+F667/dram_bandwidth)*frequency,1)</f>
        <v>101</v>
      </c>
      <c r="I667">
        <f>G667+H667</f>
        <v>1306278</v>
      </c>
      <c r="J667">
        <f>IF(AND(D667&lt;&gt;"dram",D667&lt;&gt;"control"),H667,0)</f>
        <v>0</v>
      </c>
      <c r="K667">
        <f>IF(D667="dram",H667,0)</f>
        <v>101</v>
      </c>
      <c r="L667">
        <v>2</v>
      </c>
      <c r="M667">
        <v>0</v>
      </c>
    </row>
    <row r="668" spans="1:13">
      <c r="A668">
        <v>666</v>
      </c>
      <c r="B668" t="s">
        <v>46</v>
      </c>
      <c r="C668" t="s">
        <v>85</v>
      </c>
      <c r="D668" t="s">
        <v>17</v>
      </c>
      <c r="E668" t="s">
        <v>189</v>
      </c>
      <c r="F668">
        <v>0</v>
      </c>
      <c r="G668">
        <f>MAX(I661,I664,I665,I666,I667,I663)</f>
        <v>1306278</v>
      </c>
      <c r="H668">
        <f>'Operations'!I18</f>
        <v>256</v>
      </c>
      <c r="I668">
        <f>G668+H668</f>
        <v>1306534</v>
      </c>
      <c r="J668">
        <f>IF(AND(D668&lt;&gt;"dram",D668&lt;&gt;"control"),H668,0)</f>
        <v>256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263</v>
      </c>
      <c r="C669" t="s">
        <v>82</v>
      </c>
      <c r="D669" t="s">
        <v>83</v>
      </c>
      <c r="E669" t="s">
        <v>189</v>
      </c>
      <c r="F669">
        <v>0</v>
      </c>
      <c r="G669">
        <f>MAX(I662,I661)</f>
        <v>1305150</v>
      </c>
      <c r="H669">
        <f>0</f>
        <v>692</v>
      </c>
      <c r="I669">
        <f>G669+H669</f>
        <v>1305842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264</v>
      </c>
      <c r="C670" t="s">
        <v>87</v>
      </c>
      <c r="D670" t="s">
        <v>79</v>
      </c>
      <c r="E670" t="s">
        <v>189</v>
      </c>
      <c r="F670">
        <v>256</v>
      </c>
      <c r="G670">
        <f>MAX(I669,I667)</f>
        <v>1306278</v>
      </c>
      <c r="H670">
        <f>CEILING((dram_access_latency+F670/dram_bandwidth)*frequency,1)</f>
        <v>104</v>
      </c>
      <c r="I670">
        <f>G670+H670</f>
        <v>1306382</v>
      </c>
      <c r="J670">
        <f>IF(AND(D670&lt;&gt;"dram",D670&lt;&gt;"control"),H670,0)</f>
        <v>0</v>
      </c>
      <c r="K670">
        <f>IF(D670="dram",H670,0)</f>
        <v>104</v>
      </c>
      <c r="L670">
        <v>0</v>
      </c>
      <c r="M670">
        <v>256</v>
      </c>
    </row>
    <row r="671" spans="1:13">
      <c r="A671">
        <v>669</v>
      </c>
      <c r="B671" t="s">
        <v>259</v>
      </c>
      <c r="C671" t="s">
        <v>78</v>
      </c>
      <c r="D671" t="s">
        <v>79</v>
      </c>
      <c r="E671" t="s">
        <v>190</v>
      </c>
      <c r="F671">
        <v>12288</v>
      </c>
      <c r="G671">
        <f>MAX(I669,I670)</f>
        <v>1306382</v>
      </c>
      <c r="H671">
        <f>CEILING((dram_access_latency+F671/dram_bandwidth)*frequency,1)</f>
        <v>281</v>
      </c>
      <c r="I671">
        <f>G671+H671</f>
        <v>1306663</v>
      </c>
      <c r="J671">
        <f>IF(AND(D671&lt;&gt;"dram",D671&lt;&gt;"control"),H671,0)</f>
        <v>0</v>
      </c>
      <c r="K671">
        <f>IF(D671="dram",H671,0)</f>
        <v>281</v>
      </c>
      <c r="L671">
        <v>12288</v>
      </c>
      <c r="M671">
        <v>0</v>
      </c>
    </row>
    <row r="672" spans="1:13">
      <c r="A672">
        <v>670</v>
      </c>
      <c r="B672" t="s">
        <v>260</v>
      </c>
      <c r="C672" t="s">
        <v>78</v>
      </c>
      <c r="D672" t="s">
        <v>79</v>
      </c>
      <c r="E672" t="s">
        <v>190</v>
      </c>
      <c r="F672">
        <v>256</v>
      </c>
      <c r="G672">
        <f>MAX(I669,I671)</f>
        <v>1306663</v>
      </c>
      <c r="H672">
        <f>CEILING((dram_access_latency+F672/dram_bandwidth)*frequency,1)</f>
        <v>104</v>
      </c>
      <c r="I672">
        <f>G672+H672</f>
        <v>1306767</v>
      </c>
      <c r="J672">
        <f>IF(AND(D672&lt;&gt;"dram",D672&lt;&gt;"control"),H672,0)</f>
        <v>0</v>
      </c>
      <c r="K672">
        <f>IF(D672="dram",H672,0)</f>
        <v>104</v>
      </c>
      <c r="L672">
        <v>256</v>
      </c>
      <c r="M672">
        <v>0</v>
      </c>
    </row>
    <row r="673" spans="1:13">
      <c r="A673">
        <v>671</v>
      </c>
      <c r="B673" t="s">
        <v>261</v>
      </c>
      <c r="C673" t="s">
        <v>78</v>
      </c>
      <c r="D673" t="s">
        <v>79</v>
      </c>
      <c r="E673" t="s">
        <v>190</v>
      </c>
      <c r="F673">
        <v>96</v>
      </c>
      <c r="G673">
        <f>MAX(I669,I672)</f>
        <v>1306767</v>
      </c>
      <c r="H673">
        <f>CEILING((dram_access_latency+F673/dram_bandwidth)*frequency,1)</f>
        <v>102</v>
      </c>
      <c r="I673">
        <f>G673+H673</f>
        <v>1306869</v>
      </c>
      <c r="J673">
        <f>IF(AND(D673&lt;&gt;"dram",D673&lt;&gt;"control"),H673,0)</f>
        <v>0</v>
      </c>
      <c r="K673">
        <f>IF(D673="dram",H673,0)</f>
        <v>102</v>
      </c>
      <c r="L673">
        <v>96</v>
      </c>
      <c r="M673">
        <v>0</v>
      </c>
    </row>
    <row r="674" spans="1:13">
      <c r="A674">
        <v>672</v>
      </c>
      <c r="B674" t="s">
        <v>262</v>
      </c>
      <c r="C674" t="s">
        <v>78</v>
      </c>
      <c r="D674" t="s">
        <v>79</v>
      </c>
      <c r="E674" t="s">
        <v>190</v>
      </c>
      <c r="F674">
        <v>2</v>
      </c>
      <c r="G674">
        <f>MAX(I669,I673)</f>
        <v>1306869</v>
      </c>
      <c r="H674">
        <f>CEILING((dram_access_latency+F674/dram_bandwidth)*frequency,1)</f>
        <v>101</v>
      </c>
      <c r="I674">
        <f>G674+H674</f>
        <v>1306970</v>
      </c>
      <c r="J674">
        <f>IF(AND(D674&lt;&gt;"dram",D674&lt;&gt;"control"),H674,0)</f>
        <v>0</v>
      </c>
      <c r="K674">
        <f>IF(D674="dram",H674,0)</f>
        <v>101</v>
      </c>
      <c r="L674">
        <v>2</v>
      </c>
      <c r="M674">
        <v>0</v>
      </c>
    </row>
    <row r="675" spans="1:13">
      <c r="A675">
        <v>673</v>
      </c>
      <c r="B675" t="s">
        <v>46</v>
      </c>
      <c r="C675" t="s">
        <v>85</v>
      </c>
      <c r="D675" t="s">
        <v>17</v>
      </c>
      <c r="E675" t="s">
        <v>190</v>
      </c>
      <c r="F675">
        <v>0</v>
      </c>
      <c r="G675">
        <f>MAX(I668,I671,I672,I673,I674,I670)</f>
        <v>1306970</v>
      </c>
      <c r="H675">
        <f>'Operations'!I18</f>
        <v>256</v>
      </c>
      <c r="I675">
        <f>G675+H675</f>
        <v>1307226</v>
      </c>
      <c r="J675">
        <f>IF(AND(D675&lt;&gt;"dram",D675&lt;&gt;"control"),H675,0)</f>
        <v>256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263</v>
      </c>
      <c r="C676" t="s">
        <v>82</v>
      </c>
      <c r="D676" t="s">
        <v>83</v>
      </c>
      <c r="E676" t="s">
        <v>190</v>
      </c>
      <c r="F676">
        <v>0</v>
      </c>
      <c r="G676">
        <f>MAX(I669,I668)</f>
        <v>1305842</v>
      </c>
      <c r="H676">
        <f>0</f>
        <v>692</v>
      </c>
      <c r="I676">
        <f>G676+H676</f>
        <v>1306534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264</v>
      </c>
      <c r="C677" t="s">
        <v>87</v>
      </c>
      <c r="D677" t="s">
        <v>79</v>
      </c>
      <c r="E677" t="s">
        <v>190</v>
      </c>
      <c r="F677">
        <v>256</v>
      </c>
      <c r="G677">
        <f>MAX(I676,I674)</f>
        <v>1306970</v>
      </c>
      <c r="H677">
        <f>CEILING((dram_access_latency+F677/dram_bandwidth)*frequency,1)</f>
        <v>104</v>
      </c>
      <c r="I677">
        <f>G677+H677</f>
        <v>1307074</v>
      </c>
      <c r="J677">
        <f>IF(AND(D677&lt;&gt;"dram",D677&lt;&gt;"control"),H677,0)</f>
        <v>0</v>
      </c>
      <c r="K677">
        <f>IF(D677="dram",H677,0)</f>
        <v>104</v>
      </c>
      <c r="L677">
        <v>0</v>
      </c>
      <c r="M677">
        <v>256</v>
      </c>
    </row>
    <row r="678" spans="1:13">
      <c r="A678">
        <v>676</v>
      </c>
      <c r="B678" t="s">
        <v>259</v>
      </c>
      <c r="C678" t="s">
        <v>78</v>
      </c>
      <c r="D678" t="s">
        <v>79</v>
      </c>
      <c r="E678" t="s">
        <v>191</v>
      </c>
      <c r="F678">
        <v>12288</v>
      </c>
      <c r="G678">
        <f>MAX(I676,I677)</f>
        <v>1307074</v>
      </c>
      <c r="H678">
        <f>CEILING((dram_access_latency+F678/dram_bandwidth)*frequency,1)</f>
        <v>281</v>
      </c>
      <c r="I678">
        <f>G678+H678</f>
        <v>1307355</v>
      </c>
      <c r="J678">
        <f>IF(AND(D678&lt;&gt;"dram",D678&lt;&gt;"control"),H678,0)</f>
        <v>0</v>
      </c>
      <c r="K678">
        <f>IF(D678="dram",H678,0)</f>
        <v>281</v>
      </c>
      <c r="L678">
        <v>12288</v>
      </c>
      <c r="M678">
        <v>0</v>
      </c>
    </row>
    <row r="679" spans="1:13">
      <c r="A679">
        <v>677</v>
      </c>
      <c r="B679" t="s">
        <v>260</v>
      </c>
      <c r="C679" t="s">
        <v>78</v>
      </c>
      <c r="D679" t="s">
        <v>79</v>
      </c>
      <c r="E679" t="s">
        <v>191</v>
      </c>
      <c r="F679">
        <v>256</v>
      </c>
      <c r="G679">
        <f>MAX(I676,I678)</f>
        <v>1307355</v>
      </c>
      <c r="H679">
        <f>CEILING((dram_access_latency+F679/dram_bandwidth)*frequency,1)</f>
        <v>104</v>
      </c>
      <c r="I679">
        <f>G679+H679</f>
        <v>1307459</v>
      </c>
      <c r="J679">
        <f>IF(AND(D679&lt;&gt;"dram",D679&lt;&gt;"control"),H679,0)</f>
        <v>0</v>
      </c>
      <c r="K679">
        <f>IF(D679="dram",H679,0)</f>
        <v>104</v>
      </c>
      <c r="L679">
        <v>256</v>
      </c>
      <c r="M679">
        <v>0</v>
      </c>
    </row>
    <row r="680" spans="1:13">
      <c r="A680">
        <v>678</v>
      </c>
      <c r="B680" t="s">
        <v>261</v>
      </c>
      <c r="C680" t="s">
        <v>78</v>
      </c>
      <c r="D680" t="s">
        <v>79</v>
      </c>
      <c r="E680" t="s">
        <v>191</v>
      </c>
      <c r="F680">
        <v>96</v>
      </c>
      <c r="G680">
        <f>MAX(I676,I679)</f>
        <v>1307459</v>
      </c>
      <c r="H680">
        <f>CEILING((dram_access_latency+F680/dram_bandwidth)*frequency,1)</f>
        <v>102</v>
      </c>
      <c r="I680">
        <f>G680+H680</f>
        <v>1307561</v>
      </c>
      <c r="J680">
        <f>IF(AND(D680&lt;&gt;"dram",D680&lt;&gt;"control"),H680,0)</f>
        <v>0</v>
      </c>
      <c r="K680">
        <f>IF(D680="dram",H680,0)</f>
        <v>102</v>
      </c>
      <c r="L680">
        <v>96</v>
      </c>
      <c r="M680">
        <v>0</v>
      </c>
    </row>
    <row r="681" spans="1:13">
      <c r="A681">
        <v>679</v>
      </c>
      <c r="B681" t="s">
        <v>262</v>
      </c>
      <c r="C681" t="s">
        <v>78</v>
      </c>
      <c r="D681" t="s">
        <v>79</v>
      </c>
      <c r="E681" t="s">
        <v>191</v>
      </c>
      <c r="F681">
        <v>2</v>
      </c>
      <c r="G681">
        <f>MAX(I676,I680)</f>
        <v>1307561</v>
      </c>
      <c r="H681">
        <f>CEILING((dram_access_latency+F681/dram_bandwidth)*frequency,1)</f>
        <v>101</v>
      </c>
      <c r="I681">
        <f>G681+H681</f>
        <v>1307662</v>
      </c>
      <c r="J681">
        <f>IF(AND(D681&lt;&gt;"dram",D681&lt;&gt;"control"),H681,0)</f>
        <v>0</v>
      </c>
      <c r="K681">
        <f>IF(D681="dram",H681,0)</f>
        <v>101</v>
      </c>
      <c r="L681">
        <v>2</v>
      </c>
      <c r="M681">
        <v>0</v>
      </c>
    </row>
    <row r="682" spans="1:13">
      <c r="A682">
        <v>680</v>
      </c>
      <c r="B682" t="s">
        <v>46</v>
      </c>
      <c r="C682" t="s">
        <v>85</v>
      </c>
      <c r="D682" t="s">
        <v>17</v>
      </c>
      <c r="E682" t="s">
        <v>191</v>
      </c>
      <c r="F682">
        <v>0</v>
      </c>
      <c r="G682">
        <f>MAX(I675,I678,I679,I680,I681,I677)</f>
        <v>1307662</v>
      </c>
      <c r="H682">
        <f>'Operations'!I18</f>
        <v>256</v>
      </c>
      <c r="I682">
        <f>G682+H682</f>
        <v>1307918</v>
      </c>
      <c r="J682">
        <f>IF(AND(D682&lt;&gt;"dram",D682&lt;&gt;"control"),H682,0)</f>
        <v>256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263</v>
      </c>
      <c r="C683" t="s">
        <v>82</v>
      </c>
      <c r="D683" t="s">
        <v>83</v>
      </c>
      <c r="E683" t="s">
        <v>191</v>
      </c>
      <c r="F683">
        <v>0</v>
      </c>
      <c r="G683">
        <f>MAX(I676,I675)</f>
        <v>1306534</v>
      </c>
      <c r="H683">
        <f>0</f>
        <v>692</v>
      </c>
      <c r="I683">
        <f>G683+H683</f>
        <v>1307226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264</v>
      </c>
      <c r="C684" t="s">
        <v>87</v>
      </c>
      <c r="D684" t="s">
        <v>79</v>
      </c>
      <c r="E684" t="s">
        <v>191</v>
      </c>
      <c r="F684">
        <v>256</v>
      </c>
      <c r="G684">
        <f>MAX(I683,I681)</f>
        <v>1307662</v>
      </c>
      <c r="H684">
        <f>CEILING((dram_access_latency+F684/dram_bandwidth)*frequency,1)</f>
        <v>104</v>
      </c>
      <c r="I684">
        <f>G684+H684</f>
        <v>1307766</v>
      </c>
      <c r="J684">
        <f>IF(AND(D684&lt;&gt;"dram",D684&lt;&gt;"control"),H684,0)</f>
        <v>0</v>
      </c>
      <c r="K684">
        <f>IF(D684="dram",H684,0)</f>
        <v>104</v>
      </c>
      <c r="L684">
        <v>0</v>
      </c>
      <c r="M684">
        <v>256</v>
      </c>
    </row>
    <row r="685" spans="1:13">
      <c r="A685">
        <v>683</v>
      </c>
      <c r="B685" t="s">
        <v>259</v>
      </c>
      <c r="C685" t="s">
        <v>78</v>
      </c>
      <c r="D685" t="s">
        <v>79</v>
      </c>
      <c r="E685" t="s">
        <v>192</v>
      </c>
      <c r="F685">
        <v>12288</v>
      </c>
      <c r="G685">
        <f>MAX(I683,I684)</f>
        <v>1307766</v>
      </c>
      <c r="H685">
        <f>CEILING((dram_access_latency+F685/dram_bandwidth)*frequency,1)</f>
        <v>281</v>
      </c>
      <c r="I685">
        <f>G685+H685</f>
        <v>1308047</v>
      </c>
      <c r="J685">
        <f>IF(AND(D685&lt;&gt;"dram",D685&lt;&gt;"control"),H685,0)</f>
        <v>0</v>
      </c>
      <c r="K685">
        <f>IF(D685="dram",H685,0)</f>
        <v>281</v>
      </c>
      <c r="L685">
        <v>12288</v>
      </c>
      <c r="M685">
        <v>0</v>
      </c>
    </row>
    <row r="686" spans="1:13">
      <c r="A686">
        <v>684</v>
      </c>
      <c r="B686" t="s">
        <v>260</v>
      </c>
      <c r="C686" t="s">
        <v>78</v>
      </c>
      <c r="D686" t="s">
        <v>79</v>
      </c>
      <c r="E686" t="s">
        <v>192</v>
      </c>
      <c r="F686">
        <v>256</v>
      </c>
      <c r="G686">
        <f>MAX(I683,I685)</f>
        <v>1308047</v>
      </c>
      <c r="H686">
        <f>CEILING((dram_access_latency+F686/dram_bandwidth)*frequency,1)</f>
        <v>104</v>
      </c>
      <c r="I686">
        <f>G686+H686</f>
        <v>1308151</v>
      </c>
      <c r="J686">
        <f>IF(AND(D686&lt;&gt;"dram",D686&lt;&gt;"control"),H686,0)</f>
        <v>0</v>
      </c>
      <c r="K686">
        <f>IF(D686="dram",H686,0)</f>
        <v>104</v>
      </c>
      <c r="L686">
        <v>256</v>
      </c>
      <c r="M686">
        <v>0</v>
      </c>
    </row>
    <row r="687" spans="1:13">
      <c r="A687">
        <v>685</v>
      </c>
      <c r="B687" t="s">
        <v>261</v>
      </c>
      <c r="C687" t="s">
        <v>78</v>
      </c>
      <c r="D687" t="s">
        <v>79</v>
      </c>
      <c r="E687" t="s">
        <v>192</v>
      </c>
      <c r="F687">
        <v>96</v>
      </c>
      <c r="G687">
        <f>MAX(I683,I686)</f>
        <v>1308151</v>
      </c>
      <c r="H687">
        <f>CEILING((dram_access_latency+F687/dram_bandwidth)*frequency,1)</f>
        <v>102</v>
      </c>
      <c r="I687">
        <f>G687+H687</f>
        <v>1308253</v>
      </c>
      <c r="J687">
        <f>IF(AND(D687&lt;&gt;"dram",D687&lt;&gt;"control"),H687,0)</f>
        <v>0</v>
      </c>
      <c r="K687">
        <f>IF(D687="dram",H687,0)</f>
        <v>102</v>
      </c>
      <c r="L687">
        <v>96</v>
      </c>
      <c r="M687">
        <v>0</v>
      </c>
    </row>
    <row r="688" spans="1:13">
      <c r="A688">
        <v>686</v>
      </c>
      <c r="B688" t="s">
        <v>262</v>
      </c>
      <c r="C688" t="s">
        <v>78</v>
      </c>
      <c r="D688" t="s">
        <v>79</v>
      </c>
      <c r="E688" t="s">
        <v>192</v>
      </c>
      <c r="F688">
        <v>2</v>
      </c>
      <c r="G688">
        <f>MAX(I683,I687)</f>
        <v>1308253</v>
      </c>
      <c r="H688">
        <f>CEILING((dram_access_latency+F688/dram_bandwidth)*frequency,1)</f>
        <v>101</v>
      </c>
      <c r="I688">
        <f>G688+H688</f>
        <v>1308354</v>
      </c>
      <c r="J688">
        <f>IF(AND(D688&lt;&gt;"dram",D688&lt;&gt;"control"),H688,0)</f>
        <v>0</v>
      </c>
      <c r="K688">
        <f>IF(D688="dram",H688,0)</f>
        <v>101</v>
      </c>
      <c r="L688">
        <v>2</v>
      </c>
      <c r="M688">
        <v>0</v>
      </c>
    </row>
    <row r="689" spans="1:13">
      <c r="A689">
        <v>687</v>
      </c>
      <c r="B689" t="s">
        <v>46</v>
      </c>
      <c r="C689" t="s">
        <v>85</v>
      </c>
      <c r="D689" t="s">
        <v>17</v>
      </c>
      <c r="E689" t="s">
        <v>192</v>
      </c>
      <c r="F689">
        <v>0</v>
      </c>
      <c r="G689">
        <f>MAX(I682,I685,I686,I687,I688,I684)</f>
        <v>1308354</v>
      </c>
      <c r="H689">
        <f>'Operations'!I18</f>
        <v>256</v>
      </c>
      <c r="I689">
        <f>G689+H689</f>
        <v>1308610</v>
      </c>
      <c r="J689">
        <f>IF(AND(D689&lt;&gt;"dram",D689&lt;&gt;"control"),H689,0)</f>
        <v>256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263</v>
      </c>
      <c r="C690" t="s">
        <v>82</v>
      </c>
      <c r="D690" t="s">
        <v>83</v>
      </c>
      <c r="E690" t="s">
        <v>192</v>
      </c>
      <c r="F690">
        <v>0</v>
      </c>
      <c r="G690">
        <f>MAX(I683,I682)</f>
        <v>1307226</v>
      </c>
      <c r="H690">
        <f>0</f>
        <v>692</v>
      </c>
      <c r="I690">
        <f>G690+H690</f>
        <v>1307918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264</v>
      </c>
      <c r="C691" t="s">
        <v>87</v>
      </c>
      <c r="D691" t="s">
        <v>79</v>
      </c>
      <c r="E691" t="s">
        <v>192</v>
      </c>
      <c r="F691">
        <v>256</v>
      </c>
      <c r="G691">
        <f>MAX(I690,I688)</f>
        <v>1308354</v>
      </c>
      <c r="H691">
        <f>CEILING((dram_access_latency+F691/dram_bandwidth)*frequency,1)</f>
        <v>104</v>
      </c>
      <c r="I691">
        <f>G691+H691</f>
        <v>1308458</v>
      </c>
      <c r="J691">
        <f>IF(AND(D691&lt;&gt;"dram",D691&lt;&gt;"control"),H691,0)</f>
        <v>0</v>
      </c>
      <c r="K691">
        <f>IF(D691="dram",H691,0)</f>
        <v>104</v>
      </c>
      <c r="L691">
        <v>0</v>
      </c>
      <c r="M691">
        <v>256</v>
      </c>
    </row>
    <row r="692" spans="1:13">
      <c r="A692">
        <v>690</v>
      </c>
      <c r="B692" t="s">
        <v>259</v>
      </c>
      <c r="C692" t="s">
        <v>78</v>
      </c>
      <c r="D692" t="s">
        <v>79</v>
      </c>
      <c r="E692" t="s">
        <v>193</v>
      </c>
      <c r="F692">
        <v>12288</v>
      </c>
      <c r="G692">
        <f>MAX(I690,I691)</f>
        <v>1308458</v>
      </c>
      <c r="H692">
        <f>CEILING((dram_access_latency+F692/dram_bandwidth)*frequency,1)</f>
        <v>281</v>
      </c>
      <c r="I692">
        <f>G692+H692</f>
        <v>1308739</v>
      </c>
      <c r="J692">
        <f>IF(AND(D692&lt;&gt;"dram",D692&lt;&gt;"control"),H692,0)</f>
        <v>0</v>
      </c>
      <c r="K692">
        <f>IF(D692="dram",H692,0)</f>
        <v>281</v>
      </c>
      <c r="L692">
        <v>12288</v>
      </c>
      <c r="M692">
        <v>0</v>
      </c>
    </row>
    <row r="693" spans="1:13">
      <c r="A693">
        <v>691</v>
      </c>
      <c r="B693" t="s">
        <v>260</v>
      </c>
      <c r="C693" t="s">
        <v>78</v>
      </c>
      <c r="D693" t="s">
        <v>79</v>
      </c>
      <c r="E693" t="s">
        <v>193</v>
      </c>
      <c r="F693">
        <v>256</v>
      </c>
      <c r="G693">
        <f>MAX(I690,I692)</f>
        <v>1308739</v>
      </c>
      <c r="H693">
        <f>CEILING((dram_access_latency+F693/dram_bandwidth)*frequency,1)</f>
        <v>104</v>
      </c>
      <c r="I693">
        <f>G693+H693</f>
        <v>1308843</v>
      </c>
      <c r="J693">
        <f>IF(AND(D693&lt;&gt;"dram",D693&lt;&gt;"control"),H693,0)</f>
        <v>0</v>
      </c>
      <c r="K693">
        <f>IF(D693="dram",H693,0)</f>
        <v>104</v>
      </c>
      <c r="L693">
        <v>256</v>
      </c>
      <c r="M693">
        <v>0</v>
      </c>
    </row>
    <row r="694" spans="1:13">
      <c r="A694">
        <v>692</v>
      </c>
      <c r="B694" t="s">
        <v>261</v>
      </c>
      <c r="C694" t="s">
        <v>78</v>
      </c>
      <c r="D694" t="s">
        <v>79</v>
      </c>
      <c r="E694" t="s">
        <v>193</v>
      </c>
      <c r="F694">
        <v>96</v>
      </c>
      <c r="G694">
        <f>MAX(I690,I693)</f>
        <v>1308843</v>
      </c>
      <c r="H694">
        <f>CEILING((dram_access_latency+F694/dram_bandwidth)*frequency,1)</f>
        <v>102</v>
      </c>
      <c r="I694">
        <f>G694+H694</f>
        <v>1308945</v>
      </c>
      <c r="J694">
        <f>IF(AND(D694&lt;&gt;"dram",D694&lt;&gt;"control"),H694,0)</f>
        <v>0</v>
      </c>
      <c r="K694">
        <f>IF(D694="dram",H694,0)</f>
        <v>102</v>
      </c>
      <c r="L694">
        <v>96</v>
      </c>
      <c r="M694">
        <v>0</v>
      </c>
    </row>
    <row r="695" spans="1:13">
      <c r="A695">
        <v>693</v>
      </c>
      <c r="B695" t="s">
        <v>262</v>
      </c>
      <c r="C695" t="s">
        <v>78</v>
      </c>
      <c r="D695" t="s">
        <v>79</v>
      </c>
      <c r="E695" t="s">
        <v>193</v>
      </c>
      <c r="F695">
        <v>2</v>
      </c>
      <c r="G695">
        <f>MAX(I690,I694)</f>
        <v>1308945</v>
      </c>
      <c r="H695">
        <f>CEILING((dram_access_latency+F695/dram_bandwidth)*frequency,1)</f>
        <v>101</v>
      </c>
      <c r="I695">
        <f>G695+H695</f>
        <v>1309046</v>
      </c>
      <c r="J695">
        <f>IF(AND(D695&lt;&gt;"dram",D695&lt;&gt;"control"),H695,0)</f>
        <v>0</v>
      </c>
      <c r="K695">
        <f>IF(D695="dram",H695,0)</f>
        <v>101</v>
      </c>
      <c r="L695">
        <v>2</v>
      </c>
      <c r="M695">
        <v>0</v>
      </c>
    </row>
    <row r="696" spans="1:13">
      <c r="A696">
        <v>694</v>
      </c>
      <c r="B696" t="s">
        <v>46</v>
      </c>
      <c r="C696" t="s">
        <v>85</v>
      </c>
      <c r="D696" t="s">
        <v>17</v>
      </c>
      <c r="E696" t="s">
        <v>193</v>
      </c>
      <c r="F696">
        <v>0</v>
      </c>
      <c r="G696">
        <f>MAX(I689,I692,I693,I694,I695,I691)</f>
        <v>1309046</v>
      </c>
      <c r="H696">
        <f>'Operations'!I18</f>
        <v>256</v>
      </c>
      <c r="I696">
        <f>G696+H696</f>
        <v>1309302</v>
      </c>
      <c r="J696">
        <f>IF(AND(D696&lt;&gt;"dram",D696&lt;&gt;"control"),H696,0)</f>
        <v>256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263</v>
      </c>
      <c r="C697" t="s">
        <v>82</v>
      </c>
      <c r="D697" t="s">
        <v>83</v>
      </c>
      <c r="E697" t="s">
        <v>193</v>
      </c>
      <c r="F697">
        <v>0</v>
      </c>
      <c r="G697">
        <f>MAX(I690,I689)</f>
        <v>1307918</v>
      </c>
      <c r="H697">
        <f>0</f>
        <v>692</v>
      </c>
      <c r="I697">
        <f>G697+H697</f>
        <v>1308610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264</v>
      </c>
      <c r="C698" t="s">
        <v>87</v>
      </c>
      <c r="D698" t="s">
        <v>79</v>
      </c>
      <c r="E698" t="s">
        <v>193</v>
      </c>
      <c r="F698">
        <v>256</v>
      </c>
      <c r="G698">
        <f>MAX(I697,I695)</f>
        <v>1309046</v>
      </c>
      <c r="H698">
        <f>CEILING((dram_access_latency+F698/dram_bandwidth)*frequency,1)</f>
        <v>104</v>
      </c>
      <c r="I698">
        <f>G698+H698</f>
        <v>1309150</v>
      </c>
      <c r="J698">
        <f>IF(AND(D698&lt;&gt;"dram",D698&lt;&gt;"control"),H698,0)</f>
        <v>0</v>
      </c>
      <c r="K698">
        <f>IF(D698="dram",H698,0)</f>
        <v>104</v>
      </c>
      <c r="L698">
        <v>0</v>
      </c>
      <c r="M698">
        <v>256</v>
      </c>
    </row>
    <row r="699" spans="1:13">
      <c r="A699">
        <v>697</v>
      </c>
      <c r="B699" t="s">
        <v>259</v>
      </c>
      <c r="C699" t="s">
        <v>78</v>
      </c>
      <c r="D699" t="s">
        <v>79</v>
      </c>
      <c r="E699" t="s">
        <v>194</v>
      </c>
      <c r="F699">
        <v>12288</v>
      </c>
      <c r="G699">
        <f>MAX(I697,I698)</f>
        <v>1309150</v>
      </c>
      <c r="H699">
        <f>CEILING((dram_access_latency+F699/dram_bandwidth)*frequency,1)</f>
        <v>281</v>
      </c>
      <c r="I699">
        <f>G699+H699</f>
        <v>1309431</v>
      </c>
      <c r="J699">
        <f>IF(AND(D699&lt;&gt;"dram",D699&lt;&gt;"control"),H699,0)</f>
        <v>0</v>
      </c>
      <c r="K699">
        <f>IF(D699="dram",H699,0)</f>
        <v>281</v>
      </c>
      <c r="L699">
        <v>12288</v>
      </c>
      <c r="M699">
        <v>0</v>
      </c>
    </row>
    <row r="700" spans="1:13">
      <c r="A700">
        <v>698</v>
      </c>
      <c r="B700" t="s">
        <v>260</v>
      </c>
      <c r="C700" t="s">
        <v>78</v>
      </c>
      <c r="D700" t="s">
        <v>79</v>
      </c>
      <c r="E700" t="s">
        <v>194</v>
      </c>
      <c r="F700">
        <v>256</v>
      </c>
      <c r="G700">
        <f>MAX(I697,I699)</f>
        <v>1309431</v>
      </c>
      <c r="H700">
        <f>CEILING((dram_access_latency+F700/dram_bandwidth)*frequency,1)</f>
        <v>104</v>
      </c>
      <c r="I700">
        <f>G700+H700</f>
        <v>1309535</v>
      </c>
      <c r="J700">
        <f>IF(AND(D700&lt;&gt;"dram",D700&lt;&gt;"control"),H700,0)</f>
        <v>0</v>
      </c>
      <c r="K700">
        <f>IF(D700="dram",H700,0)</f>
        <v>104</v>
      </c>
      <c r="L700">
        <v>256</v>
      </c>
      <c r="M700">
        <v>0</v>
      </c>
    </row>
    <row r="701" spans="1:13">
      <c r="A701">
        <v>699</v>
      </c>
      <c r="B701" t="s">
        <v>261</v>
      </c>
      <c r="C701" t="s">
        <v>78</v>
      </c>
      <c r="D701" t="s">
        <v>79</v>
      </c>
      <c r="E701" t="s">
        <v>194</v>
      </c>
      <c r="F701">
        <v>96</v>
      </c>
      <c r="G701">
        <f>MAX(I697,I700)</f>
        <v>1309535</v>
      </c>
      <c r="H701">
        <f>CEILING((dram_access_latency+F701/dram_bandwidth)*frequency,1)</f>
        <v>102</v>
      </c>
      <c r="I701">
        <f>G701+H701</f>
        <v>1309637</v>
      </c>
      <c r="J701">
        <f>IF(AND(D701&lt;&gt;"dram",D701&lt;&gt;"control"),H701,0)</f>
        <v>0</v>
      </c>
      <c r="K701">
        <f>IF(D701="dram",H701,0)</f>
        <v>102</v>
      </c>
      <c r="L701">
        <v>96</v>
      </c>
      <c r="M701">
        <v>0</v>
      </c>
    </row>
    <row r="702" spans="1:13">
      <c r="A702">
        <v>700</v>
      </c>
      <c r="B702" t="s">
        <v>262</v>
      </c>
      <c r="C702" t="s">
        <v>78</v>
      </c>
      <c r="D702" t="s">
        <v>79</v>
      </c>
      <c r="E702" t="s">
        <v>194</v>
      </c>
      <c r="F702">
        <v>2</v>
      </c>
      <c r="G702">
        <f>MAX(I697,I701)</f>
        <v>1309637</v>
      </c>
      <c r="H702">
        <f>CEILING((dram_access_latency+F702/dram_bandwidth)*frequency,1)</f>
        <v>101</v>
      </c>
      <c r="I702">
        <f>G702+H702</f>
        <v>1309738</v>
      </c>
      <c r="J702">
        <f>IF(AND(D702&lt;&gt;"dram",D702&lt;&gt;"control"),H702,0)</f>
        <v>0</v>
      </c>
      <c r="K702">
        <f>IF(D702="dram",H702,0)</f>
        <v>101</v>
      </c>
      <c r="L702">
        <v>2</v>
      </c>
      <c r="M702">
        <v>0</v>
      </c>
    </row>
    <row r="703" spans="1:13">
      <c r="A703">
        <v>701</v>
      </c>
      <c r="B703" t="s">
        <v>46</v>
      </c>
      <c r="C703" t="s">
        <v>85</v>
      </c>
      <c r="D703" t="s">
        <v>17</v>
      </c>
      <c r="E703" t="s">
        <v>194</v>
      </c>
      <c r="F703">
        <v>0</v>
      </c>
      <c r="G703">
        <f>MAX(I696,I699,I700,I701,I702,I698)</f>
        <v>1309738</v>
      </c>
      <c r="H703">
        <f>'Operations'!I18</f>
        <v>256</v>
      </c>
      <c r="I703">
        <f>G703+H703</f>
        <v>1309994</v>
      </c>
      <c r="J703">
        <f>IF(AND(D703&lt;&gt;"dram",D703&lt;&gt;"control"),H703,0)</f>
        <v>256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263</v>
      </c>
      <c r="C704" t="s">
        <v>82</v>
      </c>
      <c r="D704" t="s">
        <v>83</v>
      </c>
      <c r="E704" t="s">
        <v>194</v>
      </c>
      <c r="F704">
        <v>0</v>
      </c>
      <c r="G704">
        <f>MAX(I697,I696)</f>
        <v>1308610</v>
      </c>
      <c r="H704">
        <f>0</f>
        <v>692</v>
      </c>
      <c r="I704">
        <f>G704+H704</f>
        <v>1309302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264</v>
      </c>
      <c r="C705" t="s">
        <v>87</v>
      </c>
      <c r="D705" t="s">
        <v>79</v>
      </c>
      <c r="E705" t="s">
        <v>194</v>
      </c>
      <c r="F705">
        <v>256</v>
      </c>
      <c r="G705">
        <f>MAX(I704,I702)</f>
        <v>1309738</v>
      </c>
      <c r="H705">
        <f>CEILING((dram_access_latency+F705/dram_bandwidth)*frequency,1)</f>
        <v>104</v>
      </c>
      <c r="I705">
        <f>G705+H705</f>
        <v>1309842</v>
      </c>
      <c r="J705">
        <f>IF(AND(D705&lt;&gt;"dram",D705&lt;&gt;"control"),H705,0)</f>
        <v>0</v>
      </c>
      <c r="K705">
        <f>IF(D705="dram",H705,0)</f>
        <v>104</v>
      </c>
      <c r="L705">
        <v>0</v>
      </c>
      <c r="M705">
        <v>256</v>
      </c>
    </row>
    <row r="706" spans="1:13">
      <c r="A706">
        <v>704</v>
      </c>
      <c r="B706" t="s">
        <v>259</v>
      </c>
      <c r="C706" t="s">
        <v>78</v>
      </c>
      <c r="D706" t="s">
        <v>79</v>
      </c>
      <c r="E706" t="s">
        <v>206</v>
      </c>
      <c r="F706">
        <v>12288</v>
      </c>
      <c r="G706">
        <f>MAX(I704,I705)</f>
        <v>1309842</v>
      </c>
      <c r="H706">
        <f>CEILING((dram_access_latency+F706/dram_bandwidth)*frequency,1)</f>
        <v>281</v>
      </c>
      <c r="I706">
        <f>G706+H706</f>
        <v>1310123</v>
      </c>
      <c r="J706">
        <f>IF(AND(D706&lt;&gt;"dram",D706&lt;&gt;"control"),H706,0)</f>
        <v>0</v>
      </c>
      <c r="K706">
        <f>IF(D706="dram",H706,0)</f>
        <v>281</v>
      </c>
      <c r="L706">
        <v>12288</v>
      </c>
      <c r="M706">
        <v>0</v>
      </c>
    </row>
    <row r="707" spans="1:13">
      <c r="A707">
        <v>705</v>
      </c>
      <c r="B707" t="s">
        <v>260</v>
      </c>
      <c r="C707" t="s">
        <v>78</v>
      </c>
      <c r="D707" t="s">
        <v>79</v>
      </c>
      <c r="E707" t="s">
        <v>206</v>
      </c>
      <c r="F707">
        <v>256</v>
      </c>
      <c r="G707">
        <f>MAX(I704,I706)</f>
        <v>1310123</v>
      </c>
      <c r="H707">
        <f>CEILING((dram_access_latency+F707/dram_bandwidth)*frequency,1)</f>
        <v>104</v>
      </c>
      <c r="I707">
        <f>G707+H707</f>
        <v>1310227</v>
      </c>
      <c r="J707">
        <f>IF(AND(D707&lt;&gt;"dram",D707&lt;&gt;"control"),H707,0)</f>
        <v>0</v>
      </c>
      <c r="K707">
        <f>IF(D707="dram",H707,0)</f>
        <v>104</v>
      </c>
      <c r="L707">
        <v>256</v>
      </c>
      <c r="M707">
        <v>0</v>
      </c>
    </row>
    <row r="708" spans="1:13">
      <c r="A708">
        <v>706</v>
      </c>
      <c r="B708" t="s">
        <v>261</v>
      </c>
      <c r="C708" t="s">
        <v>78</v>
      </c>
      <c r="D708" t="s">
        <v>79</v>
      </c>
      <c r="E708" t="s">
        <v>206</v>
      </c>
      <c r="F708">
        <v>96</v>
      </c>
      <c r="G708">
        <f>MAX(I704,I707)</f>
        <v>1310227</v>
      </c>
      <c r="H708">
        <f>CEILING((dram_access_latency+F708/dram_bandwidth)*frequency,1)</f>
        <v>102</v>
      </c>
      <c r="I708">
        <f>G708+H708</f>
        <v>1310329</v>
      </c>
      <c r="J708">
        <f>IF(AND(D708&lt;&gt;"dram",D708&lt;&gt;"control"),H708,0)</f>
        <v>0</v>
      </c>
      <c r="K708">
        <f>IF(D708="dram",H708,0)</f>
        <v>102</v>
      </c>
      <c r="L708">
        <v>96</v>
      </c>
      <c r="M708">
        <v>0</v>
      </c>
    </row>
    <row r="709" spans="1:13">
      <c r="A709">
        <v>707</v>
      </c>
      <c r="B709" t="s">
        <v>262</v>
      </c>
      <c r="C709" t="s">
        <v>78</v>
      </c>
      <c r="D709" t="s">
        <v>79</v>
      </c>
      <c r="E709" t="s">
        <v>206</v>
      </c>
      <c r="F709">
        <v>2</v>
      </c>
      <c r="G709">
        <f>MAX(I704,I708)</f>
        <v>1310329</v>
      </c>
      <c r="H709">
        <f>CEILING((dram_access_latency+F709/dram_bandwidth)*frequency,1)</f>
        <v>101</v>
      </c>
      <c r="I709">
        <f>G709+H709</f>
        <v>1310430</v>
      </c>
      <c r="J709">
        <f>IF(AND(D709&lt;&gt;"dram",D709&lt;&gt;"control"),H709,0)</f>
        <v>0</v>
      </c>
      <c r="K709">
        <f>IF(D709="dram",H709,0)</f>
        <v>101</v>
      </c>
      <c r="L709">
        <v>2</v>
      </c>
      <c r="M709">
        <v>0</v>
      </c>
    </row>
    <row r="710" spans="1:13">
      <c r="A710">
        <v>708</v>
      </c>
      <c r="B710" t="s">
        <v>46</v>
      </c>
      <c r="C710" t="s">
        <v>85</v>
      </c>
      <c r="D710" t="s">
        <v>17</v>
      </c>
      <c r="E710" t="s">
        <v>206</v>
      </c>
      <c r="F710">
        <v>0</v>
      </c>
      <c r="G710">
        <f>MAX(I703,I706,I707,I708,I709,I705)</f>
        <v>1310430</v>
      </c>
      <c r="H710">
        <f>'Operations'!I18</f>
        <v>256</v>
      </c>
      <c r="I710">
        <f>G710+H710</f>
        <v>1310686</v>
      </c>
      <c r="J710">
        <f>IF(AND(D710&lt;&gt;"dram",D710&lt;&gt;"control"),H710,0)</f>
        <v>256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263</v>
      </c>
      <c r="C711" t="s">
        <v>82</v>
      </c>
      <c r="D711" t="s">
        <v>83</v>
      </c>
      <c r="E711" t="s">
        <v>206</v>
      </c>
      <c r="F711">
        <v>0</v>
      </c>
      <c r="G711">
        <f>MAX(I704,I703)</f>
        <v>1309302</v>
      </c>
      <c r="H711">
        <f>0</f>
        <v>692</v>
      </c>
      <c r="I711">
        <f>G711+H711</f>
        <v>1309994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264</v>
      </c>
      <c r="C712" t="s">
        <v>87</v>
      </c>
      <c r="D712" t="s">
        <v>79</v>
      </c>
      <c r="E712" t="s">
        <v>206</v>
      </c>
      <c r="F712">
        <v>256</v>
      </c>
      <c r="G712">
        <f>MAX(I711,I709)</f>
        <v>1310430</v>
      </c>
      <c r="H712">
        <f>CEILING((dram_access_latency+F712/dram_bandwidth)*frequency,1)</f>
        <v>104</v>
      </c>
      <c r="I712">
        <f>G712+H712</f>
        <v>1310534</v>
      </c>
      <c r="J712">
        <f>IF(AND(D712&lt;&gt;"dram",D712&lt;&gt;"control"),H712,0)</f>
        <v>0</v>
      </c>
      <c r="K712">
        <f>IF(D712="dram",H712,0)</f>
        <v>104</v>
      </c>
      <c r="L712">
        <v>0</v>
      </c>
      <c r="M712">
        <v>256</v>
      </c>
    </row>
    <row r="713" spans="1:13">
      <c r="A713">
        <v>711</v>
      </c>
      <c r="B713" t="s">
        <v>259</v>
      </c>
      <c r="C713" t="s">
        <v>78</v>
      </c>
      <c r="D713" t="s">
        <v>79</v>
      </c>
      <c r="E713" t="s">
        <v>207</v>
      </c>
      <c r="F713">
        <v>12288</v>
      </c>
      <c r="G713">
        <f>MAX(I711,I712)</f>
        <v>1310534</v>
      </c>
      <c r="H713">
        <f>CEILING((dram_access_latency+F713/dram_bandwidth)*frequency,1)</f>
        <v>281</v>
      </c>
      <c r="I713">
        <f>G713+H713</f>
        <v>1310815</v>
      </c>
      <c r="J713">
        <f>IF(AND(D713&lt;&gt;"dram",D713&lt;&gt;"control"),H713,0)</f>
        <v>0</v>
      </c>
      <c r="K713">
        <f>IF(D713="dram",H713,0)</f>
        <v>281</v>
      </c>
      <c r="L713">
        <v>12288</v>
      </c>
      <c r="M713">
        <v>0</v>
      </c>
    </row>
    <row r="714" spans="1:13">
      <c r="A714">
        <v>712</v>
      </c>
      <c r="B714" t="s">
        <v>260</v>
      </c>
      <c r="C714" t="s">
        <v>78</v>
      </c>
      <c r="D714" t="s">
        <v>79</v>
      </c>
      <c r="E714" t="s">
        <v>207</v>
      </c>
      <c r="F714">
        <v>256</v>
      </c>
      <c r="G714">
        <f>MAX(I711,I713)</f>
        <v>1310815</v>
      </c>
      <c r="H714">
        <f>CEILING((dram_access_latency+F714/dram_bandwidth)*frequency,1)</f>
        <v>104</v>
      </c>
      <c r="I714">
        <f>G714+H714</f>
        <v>1310919</v>
      </c>
      <c r="J714">
        <f>IF(AND(D714&lt;&gt;"dram",D714&lt;&gt;"control"),H714,0)</f>
        <v>0</v>
      </c>
      <c r="K714">
        <f>IF(D714="dram",H714,0)</f>
        <v>104</v>
      </c>
      <c r="L714">
        <v>256</v>
      </c>
      <c r="M714">
        <v>0</v>
      </c>
    </row>
    <row r="715" spans="1:13">
      <c r="A715">
        <v>713</v>
      </c>
      <c r="B715" t="s">
        <v>261</v>
      </c>
      <c r="C715" t="s">
        <v>78</v>
      </c>
      <c r="D715" t="s">
        <v>79</v>
      </c>
      <c r="E715" t="s">
        <v>207</v>
      </c>
      <c r="F715">
        <v>96</v>
      </c>
      <c r="G715">
        <f>MAX(I711,I714)</f>
        <v>1310919</v>
      </c>
      <c r="H715">
        <f>CEILING((dram_access_latency+F715/dram_bandwidth)*frequency,1)</f>
        <v>102</v>
      </c>
      <c r="I715">
        <f>G715+H715</f>
        <v>1311021</v>
      </c>
      <c r="J715">
        <f>IF(AND(D715&lt;&gt;"dram",D715&lt;&gt;"control"),H715,0)</f>
        <v>0</v>
      </c>
      <c r="K715">
        <f>IF(D715="dram",H715,0)</f>
        <v>102</v>
      </c>
      <c r="L715">
        <v>96</v>
      </c>
      <c r="M715">
        <v>0</v>
      </c>
    </row>
    <row r="716" spans="1:13">
      <c r="A716">
        <v>714</v>
      </c>
      <c r="B716" t="s">
        <v>262</v>
      </c>
      <c r="C716" t="s">
        <v>78</v>
      </c>
      <c r="D716" t="s">
        <v>79</v>
      </c>
      <c r="E716" t="s">
        <v>207</v>
      </c>
      <c r="F716">
        <v>2</v>
      </c>
      <c r="G716">
        <f>MAX(I711,I715)</f>
        <v>1311021</v>
      </c>
      <c r="H716">
        <f>CEILING((dram_access_latency+F716/dram_bandwidth)*frequency,1)</f>
        <v>101</v>
      </c>
      <c r="I716">
        <f>G716+H716</f>
        <v>1311122</v>
      </c>
      <c r="J716">
        <f>IF(AND(D716&lt;&gt;"dram",D716&lt;&gt;"control"),H716,0)</f>
        <v>0</v>
      </c>
      <c r="K716">
        <f>IF(D716="dram",H716,0)</f>
        <v>101</v>
      </c>
      <c r="L716">
        <v>2</v>
      </c>
      <c r="M716">
        <v>0</v>
      </c>
    </row>
    <row r="717" spans="1:13">
      <c r="A717">
        <v>715</v>
      </c>
      <c r="B717" t="s">
        <v>46</v>
      </c>
      <c r="C717" t="s">
        <v>85</v>
      </c>
      <c r="D717" t="s">
        <v>17</v>
      </c>
      <c r="E717" t="s">
        <v>207</v>
      </c>
      <c r="F717">
        <v>0</v>
      </c>
      <c r="G717">
        <f>MAX(I710,I713,I714,I715,I716,I712)</f>
        <v>1311122</v>
      </c>
      <c r="H717">
        <f>'Operations'!I18</f>
        <v>256</v>
      </c>
      <c r="I717">
        <f>G717+H717</f>
        <v>1311378</v>
      </c>
      <c r="J717">
        <f>IF(AND(D717&lt;&gt;"dram",D717&lt;&gt;"control"),H717,0)</f>
        <v>256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263</v>
      </c>
      <c r="C718" t="s">
        <v>82</v>
      </c>
      <c r="D718" t="s">
        <v>83</v>
      </c>
      <c r="E718" t="s">
        <v>207</v>
      </c>
      <c r="F718">
        <v>0</v>
      </c>
      <c r="G718">
        <f>MAX(I711,I710)</f>
        <v>1309994</v>
      </c>
      <c r="H718">
        <f>0</f>
        <v>692</v>
      </c>
      <c r="I718">
        <f>G718+H718</f>
        <v>1310686</v>
      </c>
      <c r="J718">
        <f>IF(AND(D718&lt;&gt;"dram",D718&lt;&gt;"control"),H718,0)</f>
        <v>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264</v>
      </c>
      <c r="C719" t="s">
        <v>87</v>
      </c>
      <c r="D719" t="s">
        <v>79</v>
      </c>
      <c r="E719" t="s">
        <v>207</v>
      </c>
      <c r="F719">
        <v>256</v>
      </c>
      <c r="G719">
        <f>MAX(I718,I716)</f>
        <v>1311122</v>
      </c>
      <c r="H719">
        <f>CEILING((dram_access_latency+F719/dram_bandwidth)*frequency,1)</f>
        <v>104</v>
      </c>
      <c r="I719">
        <f>G719+H719</f>
        <v>1311226</v>
      </c>
      <c r="J719">
        <f>IF(AND(D719&lt;&gt;"dram",D719&lt;&gt;"control"),H719,0)</f>
        <v>0</v>
      </c>
      <c r="K719">
        <f>IF(D719="dram",H719,0)</f>
        <v>104</v>
      </c>
      <c r="L719">
        <v>0</v>
      </c>
      <c r="M719">
        <v>256</v>
      </c>
    </row>
    <row r="720" spans="1:13">
      <c r="A720">
        <v>718</v>
      </c>
      <c r="B720" t="s">
        <v>259</v>
      </c>
      <c r="C720" t="s">
        <v>78</v>
      </c>
      <c r="D720" t="s">
        <v>79</v>
      </c>
      <c r="E720" t="s">
        <v>208</v>
      </c>
      <c r="F720">
        <v>12288</v>
      </c>
      <c r="G720">
        <f>MAX(I718,I719)</f>
        <v>1311226</v>
      </c>
      <c r="H720">
        <f>CEILING((dram_access_latency+F720/dram_bandwidth)*frequency,1)</f>
        <v>281</v>
      </c>
      <c r="I720">
        <f>G720+H720</f>
        <v>1311507</v>
      </c>
      <c r="J720">
        <f>IF(AND(D720&lt;&gt;"dram",D720&lt;&gt;"control"),H720,0)</f>
        <v>0</v>
      </c>
      <c r="K720">
        <f>IF(D720="dram",H720,0)</f>
        <v>281</v>
      </c>
      <c r="L720">
        <v>12288</v>
      </c>
      <c r="M720">
        <v>0</v>
      </c>
    </row>
    <row r="721" spans="1:13">
      <c r="A721">
        <v>719</v>
      </c>
      <c r="B721" t="s">
        <v>260</v>
      </c>
      <c r="C721" t="s">
        <v>78</v>
      </c>
      <c r="D721" t="s">
        <v>79</v>
      </c>
      <c r="E721" t="s">
        <v>208</v>
      </c>
      <c r="F721">
        <v>256</v>
      </c>
      <c r="G721">
        <f>MAX(I718,I720)</f>
        <v>1311507</v>
      </c>
      <c r="H721">
        <f>CEILING((dram_access_latency+F721/dram_bandwidth)*frequency,1)</f>
        <v>104</v>
      </c>
      <c r="I721">
        <f>G721+H721</f>
        <v>1311611</v>
      </c>
      <c r="J721">
        <f>IF(AND(D721&lt;&gt;"dram",D721&lt;&gt;"control"),H721,0)</f>
        <v>0</v>
      </c>
      <c r="K721">
        <f>IF(D721="dram",H721,0)</f>
        <v>104</v>
      </c>
      <c r="L721">
        <v>256</v>
      </c>
      <c r="M721">
        <v>0</v>
      </c>
    </row>
    <row r="722" spans="1:13">
      <c r="A722">
        <v>720</v>
      </c>
      <c r="B722" t="s">
        <v>261</v>
      </c>
      <c r="C722" t="s">
        <v>78</v>
      </c>
      <c r="D722" t="s">
        <v>79</v>
      </c>
      <c r="E722" t="s">
        <v>208</v>
      </c>
      <c r="F722">
        <v>96</v>
      </c>
      <c r="G722">
        <f>MAX(I718,I721)</f>
        <v>1311611</v>
      </c>
      <c r="H722">
        <f>CEILING((dram_access_latency+F722/dram_bandwidth)*frequency,1)</f>
        <v>102</v>
      </c>
      <c r="I722">
        <f>G722+H722</f>
        <v>1311713</v>
      </c>
      <c r="J722">
        <f>IF(AND(D722&lt;&gt;"dram",D722&lt;&gt;"control"),H722,0)</f>
        <v>0</v>
      </c>
      <c r="K722">
        <f>IF(D722="dram",H722,0)</f>
        <v>102</v>
      </c>
      <c r="L722">
        <v>96</v>
      </c>
      <c r="M722">
        <v>0</v>
      </c>
    </row>
    <row r="723" spans="1:13">
      <c r="A723">
        <v>721</v>
      </c>
      <c r="B723" t="s">
        <v>262</v>
      </c>
      <c r="C723" t="s">
        <v>78</v>
      </c>
      <c r="D723" t="s">
        <v>79</v>
      </c>
      <c r="E723" t="s">
        <v>208</v>
      </c>
      <c r="F723">
        <v>2</v>
      </c>
      <c r="G723">
        <f>MAX(I718,I722)</f>
        <v>1311713</v>
      </c>
      <c r="H723">
        <f>CEILING((dram_access_latency+F723/dram_bandwidth)*frequency,1)</f>
        <v>101</v>
      </c>
      <c r="I723">
        <f>G723+H723</f>
        <v>1311814</v>
      </c>
      <c r="J723">
        <f>IF(AND(D723&lt;&gt;"dram",D723&lt;&gt;"control"),H723,0)</f>
        <v>0</v>
      </c>
      <c r="K723">
        <f>IF(D723="dram",H723,0)</f>
        <v>101</v>
      </c>
      <c r="L723">
        <v>2</v>
      </c>
      <c r="M723">
        <v>0</v>
      </c>
    </row>
    <row r="724" spans="1:13">
      <c r="A724">
        <v>722</v>
      </c>
      <c r="B724" t="s">
        <v>46</v>
      </c>
      <c r="C724" t="s">
        <v>85</v>
      </c>
      <c r="D724" t="s">
        <v>17</v>
      </c>
      <c r="E724" t="s">
        <v>208</v>
      </c>
      <c r="F724">
        <v>0</v>
      </c>
      <c r="G724">
        <f>MAX(I717,I720,I721,I722,I723,I719)</f>
        <v>1311814</v>
      </c>
      <c r="H724">
        <f>'Operations'!I18</f>
        <v>256</v>
      </c>
      <c r="I724">
        <f>G724+H724</f>
        <v>1312070</v>
      </c>
      <c r="J724">
        <f>IF(AND(D724&lt;&gt;"dram",D724&lt;&gt;"control"),H724,0)</f>
        <v>256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263</v>
      </c>
      <c r="C725" t="s">
        <v>82</v>
      </c>
      <c r="D725" t="s">
        <v>83</v>
      </c>
      <c r="E725" t="s">
        <v>208</v>
      </c>
      <c r="F725">
        <v>0</v>
      </c>
      <c r="G725">
        <f>MAX(I718,I717)</f>
        <v>1310686</v>
      </c>
      <c r="H725">
        <f>0</f>
        <v>692</v>
      </c>
      <c r="I725">
        <f>G725+H725</f>
        <v>1311378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264</v>
      </c>
      <c r="C726" t="s">
        <v>87</v>
      </c>
      <c r="D726" t="s">
        <v>79</v>
      </c>
      <c r="E726" t="s">
        <v>208</v>
      </c>
      <c r="F726">
        <v>256</v>
      </c>
      <c r="G726">
        <f>MAX(I725,I723)</f>
        <v>1311814</v>
      </c>
      <c r="H726">
        <f>CEILING((dram_access_latency+F726/dram_bandwidth)*frequency,1)</f>
        <v>104</v>
      </c>
      <c r="I726">
        <f>G726+H726</f>
        <v>1311918</v>
      </c>
      <c r="J726">
        <f>IF(AND(D726&lt;&gt;"dram",D726&lt;&gt;"control"),H726,0)</f>
        <v>0</v>
      </c>
      <c r="K726">
        <f>IF(D726="dram",H726,0)</f>
        <v>104</v>
      </c>
      <c r="L726">
        <v>0</v>
      </c>
      <c r="M726">
        <v>256</v>
      </c>
    </row>
    <row r="727" spans="1:13">
      <c r="A727">
        <v>725</v>
      </c>
      <c r="B727" t="s">
        <v>259</v>
      </c>
      <c r="C727" t="s">
        <v>78</v>
      </c>
      <c r="D727" t="s">
        <v>79</v>
      </c>
      <c r="E727" t="s">
        <v>209</v>
      </c>
      <c r="F727">
        <v>12288</v>
      </c>
      <c r="G727">
        <f>MAX(I725,I726)</f>
        <v>1311918</v>
      </c>
      <c r="H727">
        <f>CEILING((dram_access_latency+F727/dram_bandwidth)*frequency,1)</f>
        <v>281</v>
      </c>
      <c r="I727">
        <f>G727+H727</f>
        <v>1312199</v>
      </c>
      <c r="J727">
        <f>IF(AND(D727&lt;&gt;"dram",D727&lt;&gt;"control"),H727,0)</f>
        <v>0</v>
      </c>
      <c r="K727">
        <f>IF(D727="dram",H727,0)</f>
        <v>281</v>
      </c>
      <c r="L727">
        <v>12288</v>
      </c>
      <c r="M727">
        <v>0</v>
      </c>
    </row>
    <row r="728" spans="1:13">
      <c r="A728">
        <v>726</v>
      </c>
      <c r="B728" t="s">
        <v>260</v>
      </c>
      <c r="C728" t="s">
        <v>78</v>
      </c>
      <c r="D728" t="s">
        <v>79</v>
      </c>
      <c r="E728" t="s">
        <v>209</v>
      </c>
      <c r="F728">
        <v>256</v>
      </c>
      <c r="G728">
        <f>MAX(I725,I727)</f>
        <v>1312199</v>
      </c>
      <c r="H728">
        <f>CEILING((dram_access_latency+F728/dram_bandwidth)*frequency,1)</f>
        <v>104</v>
      </c>
      <c r="I728">
        <f>G728+H728</f>
        <v>1312303</v>
      </c>
      <c r="J728">
        <f>IF(AND(D728&lt;&gt;"dram",D728&lt;&gt;"control"),H728,0)</f>
        <v>0</v>
      </c>
      <c r="K728">
        <f>IF(D728="dram",H728,0)</f>
        <v>104</v>
      </c>
      <c r="L728">
        <v>256</v>
      </c>
      <c r="M728">
        <v>0</v>
      </c>
    </row>
    <row r="729" spans="1:13">
      <c r="A729">
        <v>727</v>
      </c>
      <c r="B729" t="s">
        <v>261</v>
      </c>
      <c r="C729" t="s">
        <v>78</v>
      </c>
      <c r="D729" t="s">
        <v>79</v>
      </c>
      <c r="E729" t="s">
        <v>209</v>
      </c>
      <c r="F729">
        <v>96</v>
      </c>
      <c r="G729">
        <f>MAX(I725,I728)</f>
        <v>1312303</v>
      </c>
      <c r="H729">
        <f>CEILING((dram_access_latency+F729/dram_bandwidth)*frequency,1)</f>
        <v>102</v>
      </c>
      <c r="I729">
        <f>G729+H729</f>
        <v>1312405</v>
      </c>
      <c r="J729">
        <f>IF(AND(D729&lt;&gt;"dram",D729&lt;&gt;"control"),H729,0)</f>
        <v>0</v>
      </c>
      <c r="K729">
        <f>IF(D729="dram",H729,0)</f>
        <v>102</v>
      </c>
      <c r="L729">
        <v>96</v>
      </c>
      <c r="M729">
        <v>0</v>
      </c>
    </row>
    <row r="730" spans="1:13">
      <c r="A730">
        <v>728</v>
      </c>
      <c r="B730" t="s">
        <v>262</v>
      </c>
      <c r="C730" t="s">
        <v>78</v>
      </c>
      <c r="D730" t="s">
        <v>79</v>
      </c>
      <c r="E730" t="s">
        <v>209</v>
      </c>
      <c r="F730">
        <v>2</v>
      </c>
      <c r="G730">
        <f>MAX(I725,I729)</f>
        <v>1312405</v>
      </c>
      <c r="H730">
        <f>CEILING((dram_access_latency+F730/dram_bandwidth)*frequency,1)</f>
        <v>101</v>
      </c>
      <c r="I730">
        <f>G730+H730</f>
        <v>1312506</v>
      </c>
      <c r="J730">
        <f>IF(AND(D730&lt;&gt;"dram",D730&lt;&gt;"control"),H730,0)</f>
        <v>0</v>
      </c>
      <c r="K730">
        <f>IF(D730="dram",H730,0)</f>
        <v>101</v>
      </c>
      <c r="L730">
        <v>2</v>
      </c>
      <c r="M730">
        <v>0</v>
      </c>
    </row>
    <row r="731" spans="1:13">
      <c r="A731">
        <v>729</v>
      </c>
      <c r="B731" t="s">
        <v>46</v>
      </c>
      <c r="C731" t="s">
        <v>85</v>
      </c>
      <c r="D731" t="s">
        <v>17</v>
      </c>
      <c r="E731" t="s">
        <v>209</v>
      </c>
      <c r="F731">
        <v>0</v>
      </c>
      <c r="G731">
        <f>MAX(I724,I727,I728,I729,I730,I726)</f>
        <v>1312506</v>
      </c>
      <c r="H731">
        <f>'Operations'!I18</f>
        <v>256</v>
      </c>
      <c r="I731">
        <f>G731+H731</f>
        <v>1312762</v>
      </c>
      <c r="J731">
        <f>IF(AND(D731&lt;&gt;"dram",D731&lt;&gt;"control"),H731,0)</f>
        <v>256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263</v>
      </c>
      <c r="C732" t="s">
        <v>82</v>
      </c>
      <c r="D732" t="s">
        <v>83</v>
      </c>
      <c r="E732" t="s">
        <v>209</v>
      </c>
      <c r="F732">
        <v>0</v>
      </c>
      <c r="G732">
        <f>MAX(I725,I724)</f>
        <v>1311378</v>
      </c>
      <c r="H732">
        <f>0</f>
        <v>692</v>
      </c>
      <c r="I732">
        <f>G732+H732</f>
        <v>1312070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264</v>
      </c>
      <c r="C733" t="s">
        <v>87</v>
      </c>
      <c r="D733" t="s">
        <v>79</v>
      </c>
      <c r="E733" t="s">
        <v>209</v>
      </c>
      <c r="F733">
        <v>256</v>
      </c>
      <c r="G733">
        <f>MAX(I732,I730)</f>
        <v>1312506</v>
      </c>
      <c r="H733">
        <f>CEILING((dram_access_latency+F733/dram_bandwidth)*frequency,1)</f>
        <v>104</v>
      </c>
      <c r="I733">
        <f>G733+H733</f>
        <v>1312610</v>
      </c>
      <c r="J733">
        <f>IF(AND(D733&lt;&gt;"dram",D733&lt;&gt;"control"),H733,0)</f>
        <v>0</v>
      </c>
      <c r="K733">
        <f>IF(D733="dram",H733,0)</f>
        <v>104</v>
      </c>
      <c r="L733">
        <v>0</v>
      </c>
      <c r="M733">
        <v>256</v>
      </c>
    </row>
    <row r="734" spans="1:13">
      <c r="A734">
        <v>732</v>
      </c>
      <c r="B734" t="s">
        <v>259</v>
      </c>
      <c r="C734" t="s">
        <v>78</v>
      </c>
      <c r="D734" t="s">
        <v>79</v>
      </c>
      <c r="E734" t="s">
        <v>210</v>
      </c>
      <c r="F734">
        <v>12288</v>
      </c>
      <c r="G734">
        <f>MAX(I732,I733)</f>
        <v>1312610</v>
      </c>
      <c r="H734">
        <f>CEILING((dram_access_latency+F734/dram_bandwidth)*frequency,1)</f>
        <v>281</v>
      </c>
      <c r="I734">
        <f>G734+H734</f>
        <v>1312891</v>
      </c>
      <c r="J734">
        <f>IF(AND(D734&lt;&gt;"dram",D734&lt;&gt;"control"),H734,0)</f>
        <v>0</v>
      </c>
      <c r="K734">
        <f>IF(D734="dram",H734,0)</f>
        <v>281</v>
      </c>
      <c r="L734">
        <v>12288</v>
      </c>
      <c r="M734">
        <v>0</v>
      </c>
    </row>
    <row r="735" spans="1:13">
      <c r="A735">
        <v>733</v>
      </c>
      <c r="B735" t="s">
        <v>260</v>
      </c>
      <c r="C735" t="s">
        <v>78</v>
      </c>
      <c r="D735" t="s">
        <v>79</v>
      </c>
      <c r="E735" t="s">
        <v>210</v>
      </c>
      <c r="F735">
        <v>256</v>
      </c>
      <c r="G735">
        <f>MAX(I732,I734)</f>
        <v>1312891</v>
      </c>
      <c r="H735">
        <f>CEILING((dram_access_latency+F735/dram_bandwidth)*frequency,1)</f>
        <v>104</v>
      </c>
      <c r="I735">
        <f>G735+H735</f>
        <v>1312995</v>
      </c>
      <c r="J735">
        <f>IF(AND(D735&lt;&gt;"dram",D735&lt;&gt;"control"),H735,0)</f>
        <v>0</v>
      </c>
      <c r="K735">
        <f>IF(D735="dram",H735,0)</f>
        <v>104</v>
      </c>
      <c r="L735">
        <v>256</v>
      </c>
      <c r="M735">
        <v>0</v>
      </c>
    </row>
    <row r="736" spans="1:13">
      <c r="A736">
        <v>734</v>
      </c>
      <c r="B736" t="s">
        <v>261</v>
      </c>
      <c r="C736" t="s">
        <v>78</v>
      </c>
      <c r="D736" t="s">
        <v>79</v>
      </c>
      <c r="E736" t="s">
        <v>210</v>
      </c>
      <c r="F736">
        <v>96</v>
      </c>
      <c r="G736">
        <f>MAX(I732,I735)</f>
        <v>1312995</v>
      </c>
      <c r="H736">
        <f>CEILING((dram_access_latency+F736/dram_bandwidth)*frequency,1)</f>
        <v>102</v>
      </c>
      <c r="I736">
        <f>G736+H736</f>
        <v>1313097</v>
      </c>
      <c r="J736">
        <f>IF(AND(D736&lt;&gt;"dram",D736&lt;&gt;"control"),H736,0)</f>
        <v>0</v>
      </c>
      <c r="K736">
        <f>IF(D736="dram",H736,0)</f>
        <v>102</v>
      </c>
      <c r="L736">
        <v>96</v>
      </c>
      <c r="M736">
        <v>0</v>
      </c>
    </row>
    <row r="737" spans="1:13">
      <c r="A737">
        <v>735</v>
      </c>
      <c r="B737" t="s">
        <v>262</v>
      </c>
      <c r="C737" t="s">
        <v>78</v>
      </c>
      <c r="D737" t="s">
        <v>79</v>
      </c>
      <c r="E737" t="s">
        <v>210</v>
      </c>
      <c r="F737">
        <v>2</v>
      </c>
      <c r="G737">
        <f>MAX(I732,I736)</f>
        <v>1313097</v>
      </c>
      <c r="H737">
        <f>CEILING((dram_access_latency+F737/dram_bandwidth)*frequency,1)</f>
        <v>101</v>
      </c>
      <c r="I737">
        <f>G737+H737</f>
        <v>1313198</v>
      </c>
      <c r="J737">
        <f>IF(AND(D737&lt;&gt;"dram",D737&lt;&gt;"control"),H737,0)</f>
        <v>0</v>
      </c>
      <c r="K737">
        <f>IF(D737="dram",H737,0)</f>
        <v>101</v>
      </c>
      <c r="L737">
        <v>2</v>
      </c>
      <c r="M737">
        <v>0</v>
      </c>
    </row>
    <row r="738" spans="1:13">
      <c r="A738">
        <v>736</v>
      </c>
      <c r="B738" t="s">
        <v>46</v>
      </c>
      <c r="C738" t="s">
        <v>85</v>
      </c>
      <c r="D738" t="s">
        <v>17</v>
      </c>
      <c r="E738" t="s">
        <v>210</v>
      </c>
      <c r="F738">
        <v>0</v>
      </c>
      <c r="G738">
        <f>MAX(I731,I734,I735,I736,I737,I733)</f>
        <v>1313198</v>
      </c>
      <c r="H738">
        <f>'Operations'!I18</f>
        <v>256</v>
      </c>
      <c r="I738">
        <f>G738+H738</f>
        <v>1313454</v>
      </c>
      <c r="J738">
        <f>IF(AND(D738&lt;&gt;"dram",D738&lt;&gt;"control"),H738,0)</f>
        <v>256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263</v>
      </c>
      <c r="C739" t="s">
        <v>82</v>
      </c>
      <c r="D739" t="s">
        <v>83</v>
      </c>
      <c r="E739" t="s">
        <v>210</v>
      </c>
      <c r="F739">
        <v>0</v>
      </c>
      <c r="G739">
        <f>MAX(I732,I731)</f>
        <v>1312070</v>
      </c>
      <c r="H739">
        <f>0</f>
        <v>692</v>
      </c>
      <c r="I739">
        <f>G739+H739</f>
        <v>1312762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264</v>
      </c>
      <c r="C740" t="s">
        <v>87</v>
      </c>
      <c r="D740" t="s">
        <v>79</v>
      </c>
      <c r="E740" t="s">
        <v>210</v>
      </c>
      <c r="F740">
        <v>256</v>
      </c>
      <c r="G740">
        <f>MAX(I739,I737)</f>
        <v>1313198</v>
      </c>
      <c r="H740">
        <f>CEILING((dram_access_latency+F740/dram_bandwidth)*frequency,1)</f>
        <v>104</v>
      </c>
      <c r="I740">
        <f>G740+H740</f>
        <v>1313302</v>
      </c>
      <c r="J740">
        <f>IF(AND(D740&lt;&gt;"dram",D740&lt;&gt;"control"),H740,0)</f>
        <v>0</v>
      </c>
      <c r="K740">
        <f>IF(D740="dram",H740,0)</f>
        <v>104</v>
      </c>
      <c r="L740">
        <v>0</v>
      </c>
      <c r="M740">
        <v>256</v>
      </c>
    </row>
    <row r="741" spans="1:13">
      <c r="A741">
        <v>739</v>
      </c>
      <c r="B741" t="s">
        <v>259</v>
      </c>
      <c r="C741" t="s">
        <v>78</v>
      </c>
      <c r="D741" t="s">
        <v>79</v>
      </c>
      <c r="E741" t="s">
        <v>211</v>
      </c>
      <c r="F741">
        <v>12288</v>
      </c>
      <c r="G741">
        <f>MAX(I739,I740)</f>
        <v>1313302</v>
      </c>
      <c r="H741">
        <f>CEILING((dram_access_latency+F741/dram_bandwidth)*frequency,1)</f>
        <v>281</v>
      </c>
      <c r="I741">
        <f>G741+H741</f>
        <v>1313583</v>
      </c>
      <c r="J741">
        <f>IF(AND(D741&lt;&gt;"dram",D741&lt;&gt;"control"),H741,0)</f>
        <v>0</v>
      </c>
      <c r="K741">
        <f>IF(D741="dram",H741,0)</f>
        <v>281</v>
      </c>
      <c r="L741">
        <v>12288</v>
      </c>
      <c r="M741">
        <v>0</v>
      </c>
    </row>
    <row r="742" spans="1:13">
      <c r="A742">
        <v>740</v>
      </c>
      <c r="B742" t="s">
        <v>260</v>
      </c>
      <c r="C742" t="s">
        <v>78</v>
      </c>
      <c r="D742" t="s">
        <v>79</v>
      </c>
      <c r="E742" t="s">
        <v>211</v>
      </c>
      <c r="F742">
        <v>256</v>
      </c>
      <c r="G742">
        <f>MAX(I739,I741)</f>
        <v>1313583</v>
      </c>
      <c r="H742">
        <f>CEILING((dram_access_latency+F742/dram_bandwidth)*frequency,1)</f>
        <v>104</v>
      </c>
      <c r="I742">
        <f>G742+H742</f>
        <v>1313687</v>
      </c>
      <c r="J742">
        <f>IF(AND(D742&lt;&gt;"dram",D742&lt;&gt;"control"),H742,0)</f>
        <v>0</v>
      </c>
      <c r="K742">
        <f>IF(D742="dram",H742,0)</f>
        <v>104</v>
      </c>
      <c r="L742">
        <v>256</v>
      </c>
      <c r="M742">
        <v>0</v>
      </c>
    </row>
    <row r="743" spans="1:13">
      <c r="A743">
        <v>741</v>
      </c>
      <c r="B743" t="s">
        <v>261</v>
      </c>
      <c r="C743" t="s">
        <v>78</v>
      </c>
      <c r="D743" t="s">
        <v>79</v>
      </c>
      <c r="E743" t="s">
        <v>211</v>
      </c>
      <c r="F743">
        <v>96</v>
      </c>
      <c r="G743">
        <f>MAX(I739,I742)</f>
        <v>1313687</v>
      </c>
      <c r="H743">
        <f>CEILING((dram_access_latency+F743/dram_bandwidth)*frequency,1)</f>
        <v>102</v>
      </c>
      <c r="I743">
        <f>G743+H743</f>
        <v>1313789</v>
      </c>
      <c r="J743">
        <f>IF(AND(D743&lt;&gt;"dram",D743&lt;&gt;"control"),H743,0)</f>
        <v>0</v>
      </c>
      <c r="K743">
        <f>IF(D743="dram",H743,0)</f>
        <v>102</v>
      </c>
      <c r="L743">
        <v>96</v>
      </c>
      <c r="M743">
        <v>0</v>
      </c>
    </row>
    <row r="744" spans="1:13">
      <c r="A744">
        <v>742</v>
      </c>
      <c r="B744" t="s">
        <v>262</v>
      </c>
      <c r="C744" t="s">
        <v>78</v>
      </c>
      <c r="D744" t="s">
        <v>79</v>
      </c>
      <c r="E744" t="s">
        <v>211</v>
      </c>
      <c r="F744">
        <v>2</v>
      </c>
      <c r="G744">
        <f>MAX(I739,I743)</f>
        <v>1313789</v>
      </c>
      <c r="H744">
        <f>CEILING((dram_access_latency+F744/dram_bandwidth)*frequency,1)</f>
        <v>101</v>
      </c>
      <c r="I744">
        <f>G744+H744</f>
        <v>1313890</v>
      </c>
      <c r="J744">
        <f>IF(AND(D744&lt;&gt;"dram",D744&lt;&gt;"control"),H744,0)</f>
        <v>0</v>
      </c>
      <c r="K744">
        <f>IF(D744="dram",H744,0)</f>
        <v>101</v>
      </c>
      <c r="L744">
        <v>2</v>
      </c>
      <c r="M744">
        <v>0</v>
      </c>
    </row>
    <row r="745" spans="1:13">
      <c r="A745">
        <v>743</v>
      </c>
      <c r="B745" t="s">
        <v>46</v>
      </c>
      <c r="C745" t="s">
        <v>85</v>
      </c>
      <c r="D745" t="s">
        <v>17</v>
      </c>
      <c r="E745" t="s">
        <v>211</v>
      </c>
      <c r="F745">
        <v>0</v>
      </c>
      <c r="G745">
        <f>MAX(I738,I741,I742,I743,I744,I740)</f>
        <v>1313890</v>
      </c>
      <c r="H745">
        <f>'Operations'!I18</f>
        <v>256</v>
      </c>
      <c r="I745">
        <f>G745+H745</f>
        <v>1314146</v>
      </c>
      <c r="J745">
        <f>IF(AND(D745&lt;&gt;"dram",D745&lt;&gt;"control"),H745,0)</f>
        <v>256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263</v>
      </c>
      <c r="C746" t="s">
        <v>82</v>
      </c>
      <c r="D746" t="s">
        <v>83</v>
      </c>
      <c r="E746" t="s">
        <v>211</v>
      </c>
      <c r="F746">
        <v>0</v>
      </c>
      <c r="G746">
        <f>MAX(I739,I738)</f>
        <v>1312762</v>
      </c>
      <c r="H746">
        <f>0</f>
        <v>692</v>
      </c>
      <c r="I746">
        <f>G746+H746</f>
        <v>1313454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264</v>
      </c>
      <c r="C747" t="s">
        <v>87</v>
      </c>
      <c r="D747" t="s">
        <v>79</v>
      </c>
      <c r="E747" t="s">
        <v>211</v>
      </c>
      <c r="F747">
        <v>256</v>
      </c>
      <c r="G747">
        <f>MAX(I746,I744)</f>
        <v>1313890</v>
      </c>
      <c r="H747">
        <f>CEILING((dram_access_latency+F747/dram_bandwidth)*frequency,1)</f>
        <v>104</v>
      </c>
      <c r="I747">
        <f>G747+H747</f>
        <v>1313994</v>
      </c>
      <c r="J747">
        <f>IF(AND(D747&lt;&gt;"dram",D747&lt;&gt;"control"),H747,0)</f>
        <v>0</v>
      </c>
      <c r="K747">
        <f>IF(D747="dram",H747,0)</f>
        <v>104</v>
      </c>
      <c r="L747">
        <v>0</v>
      </c>
      <c r="M747">
        <v>256</v>
      </c>
    </row>
    <row r="748" spans="1:13">
      <c r="A748">
        <v>746</v>
      </c>
      <c r="B748" t="s">
        <v>259</v>
      </c>
      <c r="C748" t="s">
        <v>78</v>
      </c>
      <c r="D748" t="s">
        <v>79</v>
      </c>
      <c r="E748" t="s">
        <v>212</v>
      </c>
      <c r="F748">
        <v>12288</v>
      </c>
      <c r="G748">
        <f>MAX(I746,I747)</f>
        <v>1313994</v>
      </c>
      <c r="H748">
        <f>CEILING((dram_access_latency+F748/dram_bandwidth)*frequency,1)</f>
        <v>281</v>
      </c>
      <c r="I748">
        <f>G748+H748</f>
        <v>1314275</v>
      </c>
      <c r="J748">
        <f>IF(AND(D748&lt;&gt;"dram",D748&lt;&gt;"control"),H748,0)</f>
        <v>0</v>
      </c>
      <c r="K748">
        <f>IF(D748="dram",H748,0)</f>
        <v>281</v>
      </c>
      <c r="L748">
        <v>12288</v>
      </c>
      <c r="M748">
        <v>0</v>
      </c>
    </row>
    <row r="749" spans="1:13">
      <c r="A749">
        <v>747</v>
      </c>
      <c r="B749" t="s">
        <v>260</v>
      </c>
      <c r="C749" t="s">
        <v>78</v>
      </c>
      <c r="D749" t="s">
        <v>79</v>
      </c>
      <c r="E749" t="s">
        <v>212</v>
      </c>
      <c r="F749">
        <v>256</v>
      </c>
      <c r="G749">
        <f>MAX(I746,I748)</f>
        <v>1314275</v>
      </c>
      <c r="H749">
        <f>CEILING((dram_access_latency+F749/dram_bandwidth)*frequency,1)</f>
        <v>104</v>
      </c>
      <c r="I749">
        <f>G749+H749</f>
        <v>1314379</v>
      </c>
      <c r="J749">
        <f>IF(AND(D749&lt;&gt;"dram",D749&lt;&gt;"control"),H749,0)</f>
        <v>0</v>
      </c>
      <c r="K749">
        <f>IF(D749="dram",H749,0)</f>
        <v>104</v>
      </c>
      <c r="L749">
        <v>256</v>
      </c>
      <c r="M749">
        <v>0</v>
      </c>
    </row>
    <row r="750" spans="1:13">
      <c r="A750">
        <v>748</v>
      </c>
      <c r="B750" t="s">
        <v>261</v>
      </c>
      <c r="C750" t="s">
        <v>78</v>
      </c>
      <c r="D750" t="s">
        <v>79</v>
      </c>
      <c r="E750" t="s">
        <v>212</v>
      </c>
      <c r="F750">
        <v>96</v>
      </c>
      <c r="G750">
        <f>MAX(I746,I749)</f>
        <v>1314379</v>
      </c>
      <c r="H750">
        <f>CEILING((dram_access_latency+F750/dram_bandwidth)*frequency,1)</f>
        <v>102</v>
      </c>
      <c r="I750">
        <f>G750+H750</f>
        <v>1314481</v>
      </c>
      <c r="J750">
        <f>IF(AND(D750&lt;&gt;"dram",D750&lt;&gt;"control"),H750,0)</f>
        <v>0</v>
      </c>
      <c r="K750">
        <f>IF(D750="dram",H750,0)</f>
        <v>102</v>
      </c>
      <c r="L750">
        <v>96</v>
      </c>
      <c r="M750">
        <v>0</v>
      </c>
    </row>
    <row r="751" spans="1:13">
      <c r="A751">
        <v>749</v>
      </c>
      <c r="B751" t="s">
        <v>262</v>
      </c>
      <c r="C751" t="s">
        <v>78</v>
      </c>
      <c r="D751" t="s">
        <v>79</v>
      </c>
      <c r="E751" t="s">
        <v>212</v>
      </c>
      <c r="F751">
        <v>2</v>
      </c>
      <c r="G751">
        <f>MAX(I746,I750)</f>
        <v>1314481</v>
      </c>
      <c r="H751">
        <f>CEILING((dram_access_latency+F751/dram_bandwidth)*frequency,1)</f>
        <v>101</v>
      </c>
      <c r="I751">
        <f>G751+H751</f>
        <v>1314582</v>
      </c>
      <c r="J751">
        <f>IF(AND(D751&lt;&gt;"dram",D751&lt;&gt;"control"),H751,0)</f>
        <v>0</v>
      </c>
      <c r="K751">
        <f>IF(D751="dram",H751,0)</f>
        <v>101</v>
      </c>
      <c r="L751">
        <v>2</v>
      </c>
      <c r="M751">
        <v>0</v>
      </c>
    </row>
    <row r="752" spans="1:13">
      <c r="A752">
        <v>750</v>
      </c>
      <c r="B752" t="s">
        <v>46</v>
      </c>
      <c r="C752" t="s">
        <v>85</v>
      </c>
      <c r="D752" t="s">
        <v>17</v>
      </c>
      <c r="E752" t="s">
        <v>212</v>
      </c>
      <c r="F752">
        <v>0</v>
      </c>
      <c r="G752">
        <f>MAX(I745,I748,I749,I750,I751,I747)</f>
        <v>1314582</v>
      </c>
      <c r="H752">
        <f>'Operations'!I18</f>
        <v>256</v>
      </c>
      <c r="I752">
        <f>G752+H752</f>
        <v>1314838</v>
      </c>
      <c r="J752">
        <f>IF(AND(D752&lt;&gt;"dram",D752&lt;&gt;"control"),H752,0)</f>
        <v>256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263</v>
      </c>
      <c r="C753" t="s">
        <v>82</v>
      </c>
      <c r="D753" t="s">
        <v>83</v>
      </c>
      <c r="E753" t="s">
        <v>212</v>
      </c>
      <c r="F753">
        <v>0</v>
      </c>
      <c r="G753">
        <f>MAX(I746,I745)</f>
        <v>1313454</v>
      </c>
      <c r="H753">
        <f>0</f>
        <v>692</v>
      </c>
      <c r="I753">
        <f>G753+H753</f>
        <v>1314146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264</v>
      </c>
      <c r="C754" t="s">
        <v>87</v>
      </c>
      <c r="D754" t="s">
        <v>79</v>
      </c>
      <c r="E754" t="s">
        <v>212</v>
      </c>
      <c r="F754">
        <v>256</v>
      </c>
      <c r="G754">
        <f>MAX(I753,I751)</f>
        <v>1314582</v>
      </c>
      <c r="H754">
        <f>CEILING((dram_access_latency+F754/dram_bandwidth)*frequency,1)</f>
        <v>104</v>
      </c>
      <c r="I754">
        <f>G754+H754</f>
        <v>1314686</v>
      </c>
      <c r="J754">
        <f>IF(AND(D754&lt;&gt;"dram",D754&lt;&gt;"control"),H754,0)</f>
        <v>0</v>
      </c>
      <c r="K754">
        <f>IF(D754="dram",H754,0)</f>
        <v>104</v>
      </c>
      <c r="L754">
        <v>0</v>
      </c>
      <c r="M754">
        <v>256</v>
      </c>
    </row>
    <row r="755" spans="1:13">
      <c r="A755">
        <v>753</v>
      </c>
      <c r="B755" t="s">
        <v>259</v>
      </c>
      <c r="C755" t="s">
        <v>78</v>
      </c>
      <c r="D755" t="s">
        <v>79</v>
      </c>
      <c r="E755" t="s">
        <v>213</v>
      </c>
      <c r="F755">
        <v>12288</v>
      </c>
      <c r="G755">
        <f>MAX(I753,I754)</f>
        <v>1314686</v>
      </c>
      <c r="H755">
        <f>CEILING((dram_access_latency+F755/dram_bandwidth)*frequency,1)</f>
        <v>281</v>
      </c>
      <c r="I755">
        <f>G755+H755</f>
        <v>1314967</v>
      </c>
      <c r="J755">
        <f>IF(AND(D755&lt;&gt;"dram",D755&lt;&gt;"control"),H755,0)</f>
        <v>0</v>
      </c>
      <c r="K755">
        <f>IF(D755="dram",H755,0)</f>
        <v>281</v>
      </c>
      <c r="L755">
        <v>12288</v>
      </c>
      <c r="M755">
        <v>0</v>
      </c>
    </row>
    <row r="756" spans="1:13">
      <c r="A756">
        <v>754</v>
      </c>
      <c r="B756" t="s">
        <v>260</v>
      </c>
      <c r="C756" t="s">
        <v>78</v>
      </c>
      <c r="D756" t="s">
        <v>79</v>
      </c>
      <c r="E756" t="s">
        <v>213</v>
      </c>
      <c r="F756">
        <v>256</v>
      </c>
      <c r="G756">
        <f>MAX(I753,I755)</f>
        <v>1314967</v>
      </c>
      <c r="H756">
        <f>CEILING((dram_access_latency+F756/dram_bandwidth)*frequency,1)</f>
        <v>104</v>
      </c>
      <c r="I756">
        <f>G756+H756</f>
        <v>1315071</v>
      </c>
      <c r="J756">
        <f>IF(AND(D756&lt;&gt;"dram",D756&lt;&gt;"control"),H756,0)</f>
        <v>0</v>
      </c>
      <c r="K756">
        <f>IF(D756="dram",H756,0)</f>
        <v>104</v>
      </c>
      <c r="L756">
        <v>256</v>
      </c>
      <c r="M756">
        <v>0</v>
      </c>
    </row>
    <row r="757" spans="1:13">
      <c r="A757">
        <v>755</v>
      </c>
      <c r="B757" t="s">
        <v>261</v>
      </c>
      <c r="C757" t="s">
        <v>78</v>
      </c>
      <c r="D757" t="s">
        <v>79</v>
      </c>
      <c r="E757" t="s">
        <v>213</v>
      </c>
      <c r="F757">
        <v>96</v>
      </c>
      <c r="G757">
        <f>MAX(I753,I756)</f>
        <v>1315071</v>
      </c>
      <c r="H757">
        <f>CEILING((dram_access_latency+F757/dram_bandwidth)*frequency,1)</f>
        <v>102</v>
      </c>
      <c r="I757">
        <f>G757+H757</f>
        <v>1315173</v>
      </c>
      <c r="J757">
        <f>IF(AND(D757&lt;&gt;"dram",D757&lt;&gt;"control"),H757,0)</f>
        <v>0</v>
      </c>
      <c r="K757">
        <f>IF(D757="dram",H757,0)</f>
        <v>102</v>
      </c>
      <c r="L757">
        <v>96</v>
      </c>
      <c r="M757">
        <v>0</v>
      </c>
    </row>
    <row r="758" spans="1:13">
      <c r="A758">
        <v>756</v>
      </c>
      <c r="B758" t="s">
        <v>262</v>
      </c>
      <c r="C758" t="s">
        <v>78</v>
      </c>
      <c r="D758" t="s">
        <v>79</v>
      </c>
      <c r="E758" t="s">
        <v>213</v>
      </c>
      <c r="F758">
        <v>2</v>
      </c>
      <c r="G758">
        <f>MAX(I753,I757)</f>
        <v>1315173</v>
      </c>
      <c r="H758">
        <f>CEILING((dram_access_latency+F758/dram_bandwidth)*frequency,1)</f>
        <v>101</v>
      </c>
      <c r="I758">
        <f>G758+H758</f>
        <v>1315274</v>
      </c>
      <c r="J758">
        <f>IF(AND(D758&lt;&gt;"dram",D758&lt;&gt;"control"),H758,0)</f>
        <v>0</v>
      </c>
      <c r="K758">
        <f>IF(D758="dram",H758,0)</f>
        <v>101</v>
      </c>
      <c r="L758">
        <v>2</v>
      </c>
      <c r="M758">
        <v>0</v>
      </c>
    </row>
    <row r="759" spans="1:13">
      <c r="A759">
        <v>757</v>
      </c>
      <c r="B759" t="s">
        <v>46</v>
      </c>
      <c r="C759" t="s">
        <v>85</v>
      </c>
      <c r="D759" t="s">
        <v>17</v>
      </c>
      <c r="E759" t="s">
        <v>213</v>
      </c>
      <c r="F759">
        <v>0</v>
      </c>
      <c r="G759">
        <f>MAX(I752,I755,I756,I757,I758,I754)</f>
        <v>1315274</v>
      </c>
      <c r="H759">
        <f>'Operations'!I18</f>
        <v>256</v>
      </c>
      <c r="I759">
        <f>G759+H759</f>
        <v>1315530</v>
      </c>
      <c r="J759">
        <f>IF(AND(D759&lt;&gt;"dram",D759&lt;&gt;"control"),H759,0)</f>
        <v>256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263</v>
      </c>
      <c r="C760" t="s">
        <v>82</v>
      </c>
      <c r="D760" t="s">
        <v>83</v>
      </c>
      <c r="E760" t="s">
        <v>213</v>
      </c>
      <c r="F760">
        <v>0</v>
      </c>
      <c r="G760">
        <f>MAX(I753,I752)</f>
        <v>1314146</v>
      </c>
      <c r="H760">
        <f>0</f>
        <v>692</v>
      </c>
      <c r="I760">
        <f>G760+H760</f>
        <v>1314838</v>
      </c>
      <c r="J760">
        <f>IF(AND(D760&lt;&gt;"dram",D760&lt;&gt;"control"),H760,0)</f>
        <v>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264</v>
      </c>
      <c r="C761" t="s">
        <v>87</v>
      </c>
      <c r="D761" t="s">
        <v>79</v>
      </c>
      <c r="E761" t="s">
        <v>213</v>
      </c>
      <c r="F761">
        <v>256</v>
      </c>
      <c r="G761">
        <f>MAX(I760,I758)</f>
        <v>1315274</v>
      </c>
      <c r="H761">
        <f>CEILING((dram_access_latency+F761/dram_bandwidth)*frequency,1)</f>
        <v>104</v>
      </c>
      <c r="I761">
        <f>G761+H761</f>
        <v>1315378</v>
      </c>
      <c r="J761">
        <f>IF(AND(D761&lt;&gt;"dram",D761&lt;&gt;"control"),H761,0)</f>
        <v>0</v>
      </c>
      <c r="K761">
        <f>IF(D761="dram",H761,0)</f>
        <v>104</v>
      </c>
      <c r="L761">
        <v>0</v>
      </c>
      <c r="M761">
        <v>256</v>
      </c>
    </row>
    <row r="762" spans="1:13">
      <c r="A762">
        <v>760</v>
      </c>
      <c r="B762" t="s">
        <v>259</v>
      </c>
      <c r="C762" t="s">
        <v>78</v>
      </c>
      <c r="D762" t="s">
        <v>79</v>
      </c>
      <c r="E762" t="s">
        <v>214</v>
      </c>
      <c r="F762">
        <v>12288</v>
      </c>
      <c r="G762">
        <f>MAX(I760,I761)</f>
        <v>1315378</v>
      </c>
      <c r="H762">
        <f>CEILING((dram_access_latency+F762/dram_bandwidth)*frequency,1)</f>
        <v>281</v>
      </c>
      <c r="I762">
        <f>G762+H762</f>
        <v>1315659</v>
      </c>
      <c r="J762">
        <f>IF(AND(D762&lt;&gt;"dram",D762&lt;&gt;"control"),H762,0)</f>
        <v>0</v>
      </c>
      <c r="K762">
        <f>IF(D762="dram",H762,0)</f>
        <v>281</v>
      </c>
      <c r="L762">
        <v>12288</v>
      </c>
      <c r="M762">
        <v>0</v>
      </c>
    </row>
    <row r="763" spans="1:13">
      <c r="A763">
        <v>761</v>
      </c>
      <c r="B763" t="s">
        <v>260</v>
      </c>
      <c r="C763" t="s">
        <v>78</v>
      </c>
      <c r="D763" t="s">
        <v>79</v>
      </c>
      <c r="E763" t="s">
        <v>214</v>
      </c>
      <c r="F763">
        <v>256</v>
      </c>
      <c r="G763">
        <f>MAX(I760,I762)</f>
        <v>1315659</v>
      </c>
      <c r="H763">
        <f>CEILING((dram_access_latency+F763/dram_bandwidth)*frequency,1)</f>
        <v>104</v>
      </c>
      <c r="I763">
        <f>G763+H763</f>
        <v>1315763</v>
      </c>
      <c r="J763">
        <f>IF(AND(D763&lt;&gt;"dram",D763&lt;&gt;"control"),H763,0)</f>
        <v>0</v>
      </c>
      <c r="K763">
        <f>IF(D763="dram",H763,0)</f>
        <v>104</v>
      </c>
      <c r="L763">
        <v>256</v>
      </c>
      <c r="M763">
        <v>0</v>
      </c>
    </row>
    <row r="764" spans="1:13">
      <c r="A764">
        <v>762</v>
      </c>
      <c r="B764" t="s">
        <v>261</v>
      </c>
      <c r="C764" t="s">
        <v>78</v>
      </c>
      <c r="D764" t="s">
        <v>79</v>
      </c>
      <c r="E764" t="s">
        <v>214</v>
      </c>
      <c r="F764">
        <v>96</v>
      </c>
      <c r="G764">
        <f>MAX(I760,I763)</f>
        <v>1315763</v>
      </c>
      <c r="H764">
        <f>CEILING((dram_access_latency+F764/dram_bandwidth)*frequency,1)</f>
        <v>102</v>
      </c>
      <c r="I764">
        <f>G764+H764</f>
        <v>1315865</v>
      </c>
      <c r="J764">
        <f>IF(AND(D764&lt;&gt;"dram",D764&lt;&gt;"control"),H764,0)</f>
        <v>0</v>
      </c>
      <c r="K764">
        <f>IF(D764="dram",H764,0)</f>
        <v>102</v>
      </c>
      <c r="L764">
        <v>96</v>
      </c>
      <c r="M764">
        <v>0</v>
      </c>
    </row>
    <row r="765" spans="1:13">
      <c r="A765">
        <v>763</v>
      </c>
      <c r="B765" t="s">
        <v>262</v>
      </c>
      <c r="C765" t="s">
        <v>78</v>
      </c>
      <c r="D765" t="s">
        <v>79</v>
      </c>
      <c r="E765" t="s">
        <v>214</v>
      </c>
      <c r="F765">
        <v>2</v>
      </c>
      <c r="G765">
        <f>MAX(I760,I764)</f>
        <v>1315865</v>
      </c>
      <c r="H765">
        <f>CEILING((dram_access_latency+F765/dram_bandwidth)*frequency,1)</f>
        <v>101</v>
      </c>
      <c r="I765">
        <f>G765+H765</f>
        <v>1315966</v>
      </c>
      <c r="J765">
        <f>IF(AND(D765&lt;&gt;"dram",D765&lt;&gt;"control"),H765,0)</f>
        <v>0</v>
      </c>
      <c r="K765">
        <f>IF(D765="dram",H765,0)</f>
        <v>101</v>
      </c>
      <c r="L765">
        <v>2</v>
      </c>
      <c r="M765">
        <v>0</v>
      </c>
    </row>
    <row r="766" spans="1:13">
      <c r="A766">
        <v>764</v>
      </c>
      <c r="B766" t="s">
        <v>46</v>
      </c>
      <c r="C766" t="s">
        <v>85</v>
      </c>
      <c r="D766" t="s">
        <v>17</v>
      </c>
      <c r="E766" t="s">
        <v>214</v>
      </c>
      <c r="F766">
        <v>0</v>
      </c>
      <c r="G766">
        <f>MAX(I759,I762,I763,I764,I765,I761)</f>
        <v>1315966</v>
      </c>
      <c r="H766">
        <f>'Operations'!I18</f>
        <v>256</v>
      </c>
      <c r="I766">
        <f>G766+H766</f>
        <v>1316222</v>
      </c>
      <c r="J766">
        <f>IF(AND(D766&lt;&gt;"dram",D766&lt;&gt;"control"),H766,0)</f>
        <v>256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263</v>
      </c>
      <c r="C767" t="s">
        <v>82</v>
      </c>
      <c r="D767" t="s">
        <v>83</v>
      </c>
      <c r="E767" t="s">
        <v>214</v>
      </c>
      <c r="F767">
        <v>0</v>
      </c>
      <c r="G767">
        <f>MAX(I760,I759)</f>
        <v>1314838</v>
      </c>
      <c r="H767">
        <f>0</f>
        <v>692</v>
      </c>
      <c r="I767">
        <f>G767+H767</f>
        <v>1315530</v>
      </c>
      <c r="J767">
        <f>IF(AND(D767&lt;&gt;"dram",D767&lt;&gt;"control"),H767,0)</f>
        <v>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264</v>
      </c>
      <c r="C768" t="s">
        <v>87</v>
      </c>
      <c r="D768" t="s">
        <v>79</v>
      </c>
      <c r="E768" t="s">
        <v>214</v>
      </c>
      <c r="F768">
        <v>256</v>
      </c>
      <c r="G768">
        <f>MAX(I767,I765)</f>
        <v>1315966</v>
      </c>
      <c r="H768">
        <f>CEILING((dram_access_latency+F768/dram_bandwidth)*frequency,1)</f>
        <v>104</v>
      </c>
      <c r="I768">
        <f>G768+H768</f>
        <v>1316070</v>
      </c>
      <c r="J768">
        <f>IF(AND(D768&lt;&gt;"dram",D768&lt;&gt;"control"),H768,0)</f>
        <v>0</v>
      </c>
      <c r="K768">
        <f>IF(D768="dram",H768,0)</f>
        <v>104</v>
      </c>
      <c r="L768">
        <v>0</v>
      </c>
      <c r="M768">
        <v>256</v>
      </c>
    </row>
    <row r="769" spans="1:13">
      <c r="A769">
        <v>767</v>
      </c>
      <c r="B769" t="s">
        <v>259</v>
      </c>
      <c r="C769" t="s">
        <v>78</v>
      </c>
      <c r="D769" t="s">
        <v>79</v>
      </c>
      <c r="E769" t="s">
        <v>215</v>
      </c>
      <c r="F769">
        <v>12288</v>
      </c>
      <c r="G769">
        <f>MAX(I767,I768)</f>
        <v>1316070</v>
      </c>
      <c r="H769">
        <f>CEILING((dram_access_latency+F769/dram_bandwidth)*frequency,1)</f>
        <v>281</v>
      </c>
      <c r="I769">
        <f>G769+H769</f>
        <v>1316351</v>
      </c>
      <c r="J769">
        <f>IF(AND(D769&lt;&gt;"dram",D769&lt;&gt;"control"),H769,0)</f>
        <v>0</v>
      </c>
      <c r="K769">
        <f>IF(D769="dram",H769,0)</f>
        <v>281</v>
      </c>
      <c r="L769">
        <v>12288</v>
      </c>
      <c r="M769">
        <v>0</v>
      </c>
    </row>
    <row r="770" spans="1:13">
      <c r="A770">
        <v>768</v>
      </c>
      <c r="B770" t="s">
        <v>260</v>
      </c>
      <c r="C770" t="s">
        <v>78</v>
      </c>
      <c r="D770" t="s">
        <v>79</v>
      </c>
      <c r="E770" t="s">
        <v>215</v>
      </c>
      <c r="F770">
        <v>256</v>
      </c>
      <c r="G770">
        <f>MAX(I767,I769)</f>
        <v>1316351</v>
      </c>
      <c r="H770">
        <f>CEILING((dram_access_latency+F770/dram_bandwidth)*frequency,1)</f>
        <v>104</v>
      </c>
      <c r="I770">
        <f>G770+H770</f>
        <v>1316455</v>
      </c>
      <c r="J770">
        <f>IF(AND(D770&lt;&gt;"dram",D770&lt;&gt;"control"),H770,0)</f>
        <v>0</v>
      </c>
      <c r="K770">
        <f>IF(D770="dram",H770,0)</f>
        <v>104</v>
      </c>
      <c r="L770">
        <v>256</v>
      </c>
      <c r="M770">
        <v>0</v>
      </c>
    </row>
    <row r="771" spans="1:13">
      <c r="A771">
        <v>769</v>
      </c>
      <c r="B771" t="s">
        <v>261</v>
      </c>
      <c r="C771" t="s">
        <v>78</v>
      </c>
      <c r="D771" t="s">
        <v>79</v>
      </c>
      <c r="E771" t="s">
        <v>215</v>
      </c>
      <c r="F771">
        <v>96</v>
      </c>
      <c r="G771">
        <f>MAX(I767,I770)</f>
        <v>1316455</v>
      </c>
      <c r="H771">
        <f>CEILING((dram_access_latency+F771/dram_bandwidth)*frequency,1)</f>
        <v>102</v>
      </c>
      <c r="I771">
        <f>G771+H771</f>
        <v>1316557</v>
      </c>
      <c r="J771">
        <f>IF(AND(D771&lt;&gt;"dram",D771&lt;&gt;"control"),H771,0)</f>
        <v>0</v>
      </c>
      <c r="K771">
        <f>IF(D771="dram",H771,0)</f>
        <v>102</v>
      </c>
      <c r="L771">
        <v>96</v>
      </c>
      <c r="M771">
        <v>0</v>
      </c>
    </row>
    <row r="772" spans="1:13">
      <c r="A772">
        <v>770</v>
      </c>
      <c r="B772" t="s">
        <v>262</v>
      </c>
      <c r="C772" t="s">
        <v>78</v>
      </c>
      <c r="D772" t="s">
        <v>79</v>
      </c>
      <c r="E772" t="s">
        <v>215</v>
      </c>
      <c r="F772">
        <v>2</v>
      </c>
      <c r="G772">
        <f>MAX(I767,I771)</f>
        <v>1316557</v>
      </c>
      <c r="H772">
        <f>CEILING((dram_access_latency+F772/dram_bandwidth)*frequency,1)</f>
        <v>101</v>
      </c>
      <c r="I772">
        <f>G772+H772</f>
        <v>1316658</v>
      </c>
      <c r="J772">
        <f>IF(AND(D772&lt;&gt;"dram",D772&lt;&gt;"control"),H772,0)</f>
        <v>0</v>
      </c>
      <c r="K772">
        <f>IF(D772="dram",H772,0)</f>
        <v>101</v>
      </c>
      <c r="L772">
        <v>2</v>
      </c>
      <c r="M772">
        <v>0</v>
      </c>
    </row>
    <row r="773" spans="1:13">
      <c r="A773">
        <v>771</v>
      </c>
      <c r="B773" t="s">
        <v>46</v>
      </c>
      <c r="C773" t="s">
        <v>85</v>
      </c>
      <c r="D773" t="s">
        <v>17</v>
      </c>
      <c r="E773" t="s">
        <v>215</v>
      </c>
      <c r="F773">
        <v>0</v>
      </c>
      <c r="G773">
        <f>MAX(I766,I769,I770,I771,I772,I768)</f>
        <v>1316658</v>
      </c>
      <c r="H773">
        <f>'Operations'!I18</f>
        <v>256</v>
      </c>
      <c r="I773">
        <f>G773+H773</f>
        <v>1316914</v>
      </c>
      <c r="J773">
        <f>IF(AND(D773&lt;&gt;"dram",D773&lt;&gt;"control"),H773,0)</f>
        <v>256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263</v>
      </c>
      <c r="C774" t="s">
        <v>82</v>
      </c>
      <c r="D774" t="s">
        <v>83</v>
      </c>
      <c r="E774" t="s">
        <v>215</v>
      </c>
      <c r="F774">
        <v>0</v>
      </c>
      <c r="G774">
        <f>MAX(I767,I766)</f>
        <v>1315530</v>
      </c>
      <c r="H774">
        <f>0</f>
        <v>692</v>
      </c>
      <c r="I774">
        <f>G774+H774</f>
        <v>1316222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264</v>
      </c>
      <c r="C775" t="s">
        <v>87</v>
      </c>
      <c r="D775" t="s">
        <v>79</v>
      </c>
      <c r="E775" t="s">
        <v>215</v>
      </c>
      <c r="F775">
        <v>256</v>
      </c>
      <c r="G775">
        <f>MAX(I774,I772)</f>
        <v>1316658</v>
      </c>
      <c r="H775">
        <f>CEILING((dram_access_latency+F775/dram_bandwidth)*frequency,1)</f>
        <v>104</v>
      </c>
      <c r="I775">
        <f>G775+H775</f>
        <v>1316762</v>
      </c>
      <c r="J775">
        <f>IF(AND(D775&lt;&gt;"dram",D775&lt;&gt;"control"),H775,0)</f>
        <v>0</v>
      </c>
      <c r="K775">
        <f>IF(D775="dram",H775,0)</f>
        <v>104</v>
      </c>
      <c r="L775">
        <v>0</v>
      </c>
      <c r="M775">
        <v>256</v>
      </c>
    </row>
    <row r="776" spans="1:13">
      <c r="A776">
        <v>774</v>
      </c>
      <c r="B776" t="s">
        <v>259</v>
      </c>
      <c r="C776" t="s">
        <v>78</v>
      </c>
      <c r="D776" t="s">
        <v>79</v>
      </c>
      <c r="E776" t="s">
        <v>216</v>
      </c>
      <c r="F776">
        <v>12288</v>
      </c>
      <c r="G776">
        <f>MAX(I774,I775)</f>
        <v>1316762</v>
      </c>
      <c r="H776">
        <f>CEILING((dram_access_latency+F776/dram_bandwidth)*frequency,1)</f>
        <v>281</v>
      </c>
      <c r="I776">
        <f>G776+H776</f>
        <v>1317043</v>
      </c>
      <c r="J776">
        <f>IF(AND(D776&lt;&gt;"dram",D776&lt;&gt;"control"),H776,0)</f>
        <v>0</v>
      </c>
      <c r="K776">
        <f>IF(D776="dram",H776,0)</f>
        <v>281</v>
      </c>
      <c r="L776">
        <v>12288</v>
      </c>
      <c r="M776">
        <v>0</v>
      </c>
    </row>
    <row r="777" spans="1:13">
      <c r="A777">
        <v>775</v>
      </c>
      <c r="B777" t="s">
        <v>260</v>
      </c>
      <c r="C777" t="s">
        <v>78</v>
      </c>
      <c r="D777" t="s">
        <v>79</v>
      </c>
      <c r="E777" t="s">
        <v>216</v>
      </c>
      <c r="F777">
        <v>256</v>
      </c>
      <c r="G777">
        <f>MAX(I774,I776)</f>
        <v>1317043</v>
      </c>
      <c r="H777">
        <f>CEILING((dram_access_latency+F777/dram_bandwidth)*frequency,1)</f>
        <v>104</v>
      </c>
      <c r="I777">
        <f>G777+H777</f>
        <v>1317147</v>
      </c>
      <c r="J777">
        <f>IF(AND(D777&lt;&gt;"dram",D777&lt;&gt;"control"),H777,0)</f>
        <v>0</v>
      </c>
      <c r="K777">
        <f>IF(D777="dram",H777,0)</f>
        <v>104</v>
      </c>
      <c r="L777">
        <v>256</v>
      </c>
      <c r="M777">
        <v>0</v>
      </c>
    </row>
    <row r="778" spans="1:13">
      <c r="A778">
        <v>776</v>
      </c>
      <c r="B778" t="s">
        <v>261</v>
      </c>
      <c r="C778" t="s">
        <v>78</v>
      </c>
      <c r="D778" t="s">
        <v>79</v>
      </c>
      <c r="E778" t="s">
        <v>216</v>
      </c>
      <c r="F778">
        <v>96</v>
      </c>
      <c r="G778">
        <f>MAX(I774,I777)</f>
        <v>1317147</v>
      </c>
      <c r="H778">
        <f>CEILING((dram_access_latency+F778/dram_bandwidth)*frequency,1)</f>
        <v>102</v>
      </c>
      <c r="I778">
        <f>G778+H778</f>
        <v>1317249</v>
      </c>
      <c r="J778">
        <f>IF(AND(D778&lt;&gt;"dram",D778&lt;&gt;"control"),H778,0)</f>
        <v>0</v>
      </c>
      <c r="K778">
        <f>IF(D778="dram",H778,0)</f>
        <v>102</v>
      </c>
      <c r="L778">
        <v>96</v>
      </c>
      <c r="M778">
        <v>0</v>
      </c>
    </row>
    <row r="779" spans="1:13">
      <c r="A779">
        <v>777</v>
      </c>
      <c r="B779" t="s">
        <v>262</v>
      </c>
      <c r="C779" t="s">
        <v>78</v>
      </c>
      <c r="D779" t="s">
        <v>79</v>
      </c>
      <c r="E779" t="s">
        <v>216</v>
      </c>
      <c r="F779">
        <v>2</v>
      </c>
      <c r="G779">
        <f>MAX(I774,I778)</f>
        <v>1317249</v>
      </c>
      <c r="H779">
        <f>CEILING((dram_access_latency+F779/dram_bandwidth)*frequency,1)</f>
        <v>101</v>
      </c>
      <c r="I779">
        <f>G779+H779</f>
        <v>1317350</v>
      </c>
      <c r="J779">
        <f>IF(AND(D779&lt;&gt;"dram",D779&lt;&gt;"control"),H779,0)</f>
        <v>0</v>
      </c>
      <c r="K779">
        <f>IF(D779="dram",H779,0)</f>
        <v>101</v>
      </c>
      <c r="L779">
        <v>2</v>
      </c>
      <c r="M779">
        <v>0</v>
      </c>
    </row>
    <row r="780" spans="1:13">
      <c r="A780">
        <v>778</v>
      </c>
      <c r="B780" t="s">
        <v>46</v>
      </c>
      <c r="C780" t="s">
        <v>85</v>
      </c>
      <c r="D780" t="s">
        <v>17</v>
      </c>
      <c r="E780" t="s">
        <v>216</v>
      </c>
      <c r="F780">
        <v>0</v>
      </c>
      <c r="G780">
        <f>MAX(I773,I776,I777,I778,I779,I775)</f>
        <v>1317350</v>
      </c>
      <c r="H780">
        <f>'Operations'!I18</f>
        <v>256</v>
      </c>
      <c r="I780">
        <f>G780+H780</f>
        <v>1317606</v>
      </c>
      <c r="J780">
        <f>IF(AND(D780&lt;&gt;"dram",D780&lt;&gt;"control"),H780,0)</f>
        <v>256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263</v>
      </c>
      <c r="C781" t="s">
        <v>82</v>
      </c>
      <c r="D781" t="s">
        <v>83</v>
      </c>
      <c r="E781" t="s">
        <v>216</v>
      </c>
      <c r="F781">
        <v>0</v>
      </c>
      <c r="G781">
        <f>MAX(I774,I773)</f>
        <v>1316222</v>
      </c>
      <c r="H781">
        <f>0</f>
        <v>692</v>
      </c>
      <c r="I781">
        <f>G781+H781</f>
        <v>1316914</v>
      </c>
      <c r="J781">
        <f>IF(AND(D781&lt;&gt;"dram",D781&lt;&gt;"control"),H781,0)</f>
        <v>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264</v>
      </c>
      <c r="C782" t="s">
        <v>87</v>
      </c>
      <c r="D782" t="s">
        <v>79</v>
      </c>
      <c r="E782" t="s">
        <v>216</v>
      </c>
      <c r="F782">
        <v>256</v>
      </c>
      <c r="G782">
        <f>MAX(I781,I779)</f>
        <v>1317350</v>
      </c>
      <c r="H782">
        <f>CEILING((dram_access_latency+F782/dram_bandwidth)*frequency,1)</f>
        <v>104</v>
      </c>
      <c r="I782">
        <f>G782+H782</f>
        <v>1317454</v>
      </c>
      <c r="J782">
        <f>IF(AND(D782&lt;&gt;"dram",D782&lt;&gt;"control"),H782,0)</f>
        <v>0</v>
      </c>
      <c r="K782">
        <f>IF(D782="dram",H782,0)</f>
        <v>104</v>
      </c>
      <c r="L782">
        <v>0</v>
      </c>
      <c r="M782">
        <v>256</v>
      </c>
    </row>
    <row r="783" spans="1:13">
      <c r="A783">
        <v>781</v>
      </c>
      <c r="B783" t="s">
        <v>259</v>
      </c>
      <c r="C783" t="s">
        <v>78</v>
      </c>
      <c r="D783" t="s">
        <v>79</v>
      </c>
      <c r="E783" t="s">
        <v>217</v>
      </c>
      <c r="F783">
        <v>12288</v>
      </c>
      <c r="G783">
        <f>MAX(I781,I782)</f>
        <v>1317454</v>
      </c>
      <c r="H783">
        <f>CEILING((dram_access_latency+F783/dram_bandwidth)*frequency,1)</f>
        <v>281</v>
      </c>
      <c r="I783">
        <f>G783+H783</f>
        <v>1317735</v>
      </c>
      <c r="J783">
        <f>IF(AND(D783&lt;&gt;"dram",D783&lt;&gt;"control"),H783,0)</f>
        <v>0</v>
      </c>
      <c r="K783">
        <f>IF(D783="dram",H783,0)</f>
        <v>281</v>
      </c>
      <c r="L783">
        <v>12288</v>
      </c>
      <c r="M783">
        <v>0</v>
      </c>
    </row>
    <row r="784" spans="1:13">
      <c r="A784">
        <v>782</v>
      </c>
      <c r="B784" t="s">
        <v>260</v>
      </c>
      <c r="C784" t="s">
        <v>78</v>
      </c>
      <c r="D784" t="s">
        <v>79</v>
      </c>
      <c r="E784" t="s">
        <v>217</v>
      </c>
      <c r="F784">
        <v>256</v>
      </c>
      <c r="G784">
        <f>MAX(I781,I783)</f>
        <v>1317735</v>
      </c>
      <c r="H784">
        <f>CEILING((dram_access_latency+F784/dram_bandwidth)*frequency,1)</f>
        <v>104</v>
      </c>
      <c r="I784">
        <f>G784+H784</f>
        <v>1317839</v>
      </c>
      <c r="J784">
        <f>IF(AND(D784&lt;&gt;"dram",D784&lt;&gt;"control"),H784,0)</f>
        <v>0</v>
      </c>
      <c r="K784">
        <f>IF(D784="dram",H784,0)</f>
        <v>104</v>
      </c>
      <c r="L784">
        <v>256</v>
      </c>
      <c r="M784">
        <v>0</v>
      </c>
    </row>
    <row r="785" spans="1:13">
      <c r="A785">
        <v>783</v>
      </c>
      <c r="B785" t="s">
        <v>261</v>
      </c>
      <c r="C785" t="s">
        <v>78</v>
      </c>
      <c r="D785" t="s">
        <v>79</v>
      </c>
      <c r="E785" t="s">
        <v>217</v>
      </c>
      <c r="F785">
        <v>96</v>
      </c>
      <c r="G785">
        <f>MAX(I781,I784)</f>
        <v>1317839</v>
      </c>
      <c r="H785">
        <f>CEILING((dram_access_latency+F785/dram_bandwidth)*frequency,1)</f>
        <v>102</v>
      </c>
      <c r="I785">
        <f>G785+H785</f>
        <v>1317941</v>
      </c>
      <c r="J785">
        <f>IF(AND(D785&lt;&gt;"dram",D785&lt;&gt;"control"),H785,0)</f>
        <v>0</v>
      </c>
      <c r="K785">
        <f>IF(D785="dram",H785,0)</f>
        <v>102</v>
      </c>
      <c r="L785">
        <v>96</v>
      </c>
      <c r="M785">
        <v>0</v>
      </c>
    </row>
    <row r="786" spans="1:13">
      <c r="A786">
        <v>784</v>
      </c>
      <c r="B786" t="s">
        <v>262</v>
      </c>
      <c r="C786" t="s">
        <v>78</v>
      </c>
      <c r="D786" t="s">
        <v>79</v>
      </c>
      <c r="E786" t="s">
        <v>217</v>
      </c>
      <c r="F786">
        <v>2</v>
      </c>
      <c r="G786">
        <f>MAX(I781,I785)</f>
        <v>1317941</v>
      </c>
      <c r="H786">
        <f>CEILING((dram_access_latency+F786/dram_bandwidth)*frequency,1)</f>
        <v>101</v>
      </c>
      <c r="I786">
        <f>G786+H786</f>
        <v>1318042</v>
      </c>
      <c r="J786">
        <f>IF(AND(D786&lt;&gt;"dram",D786&lt;&gt;"control"),H786,0)</f>
        <v>0</v>
      </c>
      <c r="K786">
        <f>IF(D786="dram",H786,0)</f>
        <v>101</v>
      </c>
      <c r="L786">
        <v>2</v>
      </c>
      <c r="M786">
        <v>0</v>
      </c>
    </row>
    <row r="787" spans="1:13">
      <c r="A787">
        <v>785</v>
      </c>
      <c r="B787" t="s">
        <v>46</v>
      </c>
      <c r="C787" t="s">
        <v>85</v>
      </c>
      <c r="D787" t="s">
        <v>17</v>
      </c>
      <c r="E787" t="s">
        <v>217</v>
      </c>
      <c r="F787">
        <v>0</v>
      </c>
      <c r="G787">
        <f>MAX(I780,I783,I784,I785,I786,I782)</f>
        <v>1318042</v>
      </c>
      <c r="H787">
        <f>'Operations'!I18</f>
        <v>256</v>
      </c>
      <c r="I787">
        <f>G787+H787</f>
        <v>1318298</v>
      </c>
      <c r="J787">
        <f>IF(AND(D787&lt;&gt;"dram",D787&lt;&gt;"control"),H787,0)</f>
        <v>256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263</v>
      </c>
      <c r="C788" t="s">
        <v>82</v>
      </c>
      <c r="D788" t="s">
        <v>83</v>
      </c>
      <c r="E788" t="s">
        <v>217</v>
      </c>
      <c r="F788">
        <v>0</v>
      </c>
      <c r="G788">
        <f>MAX(I781,I780)</f>
        <v>1316914</v>
      </c>
      <c r="H788">
        <f>0</f>
        <v>692</v>
      </c>
      <c r="I788">
        <f>G788+H788</f>
        <v>1317606</v>
      </c>
      <c r="J788">
        <f>IF(AND(D788&lt;&gt;"dram",D788&lt;&gt;"control"),H788,0)</f>
        <v>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264</v>
      </c>
      <c r="C789" t="s">
        <v>87</v>
      </c>
      <c r="D789" t="s">
        <v>79</v>
      </c>
      <c r="E789" t="s">
        <v>217</v>
      </c>
      <c r="F789">
        <v>256</v>
      </c>
      <c r="G789">
        <f>MAX(I788,I786)</f>
        <v>1318042</v>
      </c>
      <c r="H789">
        <f>CEILING((dram_access_latency+F789/dram_bandwidth)*frequency,1)</f>
        <v>104</v>
      </c>
      <c r="I789">
        <f>G789+H789</f>
        <v>1318146</v>
      </c>
      <c r="J789">
        <f>IF(AND(D789&lt;&gt;"dram",D789&lt;&gt;"control"),H789,0)</f>
        <v>0</v>
      </c>
      <c r="K789">
        <f>IF(D789="dram",H789,0)</f>
        <v>104</v>
      </c>
      <c r="L789">
        <v>0</v>
      </c>
      <c r="M789">
        <v>256</v>
      </c>
    </row>
    <row r="790" spans="1:13">
      <c r="A790">
        <v>788</v>
      </c>
      <c r="B790" t="s">
        <v>259</v>
      </c>
      <c r="C790" t="s">
        <v>78</v>
      </c>
      <c r="D790" t="s">
        <v>79</v>
      </c>
      <c r="E790" t="s">
        <v>218</v>
      </c>
      <c r="F790">
        <v>12288</v>
      </c>
      <c r="G790">
        <f>MAX(I788,I789)</f>
        <v>1318146</v>
      </c>
      <c r="H790">
        <f>CEILING((dram_access_latency+F790/dram_bandwidth)*frequency,1)</f>
        <v>281</v>
      </c>
      <c r="I790">
        <f>G790+H790</f>
        <v>1318427</v>
      </c>
      <c r="J790">
        <f>IF(AND(D790&lt;&gt;"dram",D790&lt;&gt;"control"),H790,0)</f>
        <v>0</v>
      </c>
      <c r="K790">
        <f>IF(D790="dram",H790,0)</f>
        <v>281</v>
      </c>
      <c r="L790">
        <v>12288</v>
      </c>
      <c r="M790">
        <v>0</v>
      </c>
    </row>
    <row r="791" spans="1:13">
      <c r="A791">
        <v>789</v>
      </c>
      <c r="B791" t="s">
        <v>260</v>
      </c>
      <c r="C791" t="s">
        <v>78</v>
      </c>
      <c r="D791" t="s">
        <v>79</v>
      </c>
      <c r="E791" t="s">
        <v>218</v>
      </c>
      <c r="F791">
        <v>256</v>
      </c>
      <c r="G791">
        <f>MAX(I788,I790)</f>
        <v>1318427</v>
      </c>
      <c r="H791">
        <f>CEILING((dram_access_latency+F791/dram_bandwidth)*frequency,1)</f>
        <v>104</v>
      </c>
      <c r="I791">
        <f>G791+H791</f>
        <v>1318531</v>
      </c>
      <c r="J791">
        <f>IF(AND(D791&lt;&gt;"dram",D791&lt;&gt;"control"),H791,0)</f>
        <v>0</v>
      </c>
      <c r="K791">
        <f>IF(D791="dram",H791,0)</f>
        <v>104</v>
      </c>
      <c r="L791">
        <v>256</v>
      </c>
      <c r="M791">
        <v>0</v>
      </c>
    </row>
    <row r="792" spans="1:13">
      <c r="A792">
        <v>790</v>
      </c>
      <c r="B792" t="s">
        <v>261</v>
      </c>
      <c r="C792" t="s">
        <v>78</v>
      </c>
      <c r="D792" t="s">
        <v>79</v>
      </c>
      <c r="E792" t="s">
        <v>218</v>
      </c>
      <c r="F792">
        <v>96</v>
      </c>
      <c r="G792">
        <f>MAX(I788,I791)</f>
        <v>1318531</v>
      </c>
      <c r="H792">
        <f>CEILING((dram_access_latency+F792/dram_bandwidth)*frequency,1)</f>
        <v>102</v>
      </c>
      <c r="I792">
        <f>G792+H792</f>
        <v>1318633</v>
      </c>
      <c r="J792">
        <f>IF(AND(D792&lt;&gt;"dram",D792&lt;&gt;"control"),H792,0)</f>
        <v>0</v>
      </c>
      <c r="K792">
        <f>IF(D792="dram",H792,0)</f>
        <v>102</v>
      </c>
      <c r="L792">
        <v>96</v>
      </c>
      <c r="M792">
        <v>0</v>
      </c>
    </row>
    <row r="793" spans="1:13">
      <c r="A793">
        <v>791</v>
      </c>
      <c r="B793" t="s">
        <v>262</v>
      </c>
      <c r="C793" t="s">
        <v>78</v>
      </c>
      <c r="D793" t="s">
        <v>79</v>
      </c>
      <c r="E793" t="s">
        <v>218</v>
      </c>
      <c r="F793">
        <v>2</v>
      </c>
      <c r="G793">
        <f>MAX(I788,I792)</f>
        <v>1318633</v>
      </c>
      <c r="H793">
        <f>CEILING((dram_access_latency+F793/dram_bandwidth)*frequency,1)</f>
        <v>101</v>
      </c>
      <c r="I793">
        <f>G793+H793</f>
        <v>1318734</v>
      </c>
      <c r="J793">
        <f>IF(AND(D793&lt;&gt;"dram",D793&lt;&gt;"control"),H793,0)</f>
        <v>0</v>
      </c>
      <c r="K793">
        <f>IF(D793="dram",H793,0)</f>
        <v>101</v>
      </c>
      <c r="L793">
        <v>2</v>
      </c>
      <c r="M793">
        <v>0</v>
      </c>
    </row>
    <row r="794" spans="1:13">
      <c r="A794">
        <v>792</v>
      </c>
      <c r="B794" t="s">
        <v>46</v>
      </c>
      <c r="C794" t="s">
        <v>85</v>
      </c>
      <c r="D794" t="s">
        <v>17</v>
      </c>
      <c r="E794" t="s">
        <v>218</v>
      </c>
      <c r="F794">
        <v>0</v>
      </c>
      <c r="G794">
        <f>MAX(I787,I790,I791,I792,I793,I789)</f>
        <v>1318734</v>
      </c>
      <c r="H794">
        <f>'Operations'!I18</f>
        <v>256</v>
      </c>
      <c r="I794">
        <f>G794+H794</f>
        <v>1318990</v>
      </c>
      <c r="J794">
        <f>IF(AND(D794&lt;&gt;"dram",D794&lt;&gt;"control"),H794,0)</f>
        <v>256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263</v>
      </c>
      <c r="C795" t="s">
        <v>82</v>
      </c>
      <c r="D795" t="s">
        <v>83</v>
      </c>
      <c r="E795" t="s">
        <v>218</v>
      </c>
      <c r="F795">
        <v>0</v>
      </c>
      <c r="G795">
        <f>MAX(I788,I787)</f>
        <v>1317606</v>
      </c>
      <c r="H795">
        <f>0</f>
        <v>692</v>
      </c>
      <c r="I795">
        <f>G795+H795</f>
        <v>1318298</v>
      </c>
      <c r="J795">
        <f>IF(AND(D795&lt;&gt;"dram",D795&lt;&gt;"control"),H795,0)</f>
        <v>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264</v>
      </c>
      <c r="C796" t="s">
        <v>87</v>
      </c>
      <c r="D796" t="s">
        <v>79</v>
      </c>
      <c r="E796" t="s">
        <v>218</v>
      </c>
      <c r="F796">
        <v>256</v>
      </c>
      <c r="G796">
        <f>MAX(I795,I793)</f>
        <v>1318734</v>
      </c>
      <c r="H796">
        <f>CEILING((dram_access_latency+F796/dram_bandwidth)*frequency,1)</f>
        <v>104</v>
      </c>
      <c r="I796">
        <f>G796+H796</f>
        <v>1318838</v>
      </c>
      <c r="J796">
        <f>IF(AND(D796&lt;&gt;"dram",D796&lt;&gt;"control"),H796,0)</f>
        <v>0</v>
      </c>
      <c r="K796">
        <f>IF(D796="dram",H796,0)</f>
        <v>104</v>
      </c>
      <c r="L796">
        <v>0</v>
      </c>
      <c r="M796">
        <v>256</v>
      </c>
    </row>
    <row r="797" spans="1:13">
      <c r="A797">
        <v>795</v>
      </c>
      <c r="B797" t="s">
        <v>259</v>
      </c>
      <c r="C797" t="s">
        <v>78</v>
      </c>
      <c r="D797" t="s">
        <v>79</v>
      </c>
      <c r="E797" t="s">
        <v>219</v>
      </c>
      <c r="F797">
        <v>12288</v>
      </c>
      <c r="G797">
        <f>MAX(I795,I796)</f>
        <v>1318838</v>
      </c>
      <c r="H797">
        <f>CEILING((dram_access_latency+F797/dram_bandwidth)*frequency,1)</f>
        <v>281</v>
      </c>
      <c r="I797">
        <f>G797+H797</f>
        <v>1319119</v>
      </c>
      <c r="J797">
        <f>IF(AND(D797&lt;&gt;"dram",D797&lt;&gt;"control"),H797,0)</f>
        <v>0</v>
      </c>
      <c r="K797">
        <f>IF(D797="dram",H797,0)</f>
        <v>281</v>
      </c>
      <c r="L797">
        <v>12288</v>
      </c>
      <c r="M797">
        <v>0</v>
      </c>
    </row>
    <row r="798" spans="1:13">
      <c r="A798">
        <v>796</v>
      </c>
      <c r="B798" t="s">
        <v>260</v>
      </c>
      <c r="C798" t="s">
        <v>78</v>
      </c>
      <c r="D798" t="s">
        <v>79</v>
      </c>
      <c r="E798" t="s">
        <v>219</v>
      </c>
      <c r="F798">
        <v>256</v>
      </c>
      <c r="G798">
        <f>MAX(I795,I797)</f>
        <v>1319119</v>
      </c>
      <c r="H798">
        <f>CEILING((dram_access_latency+F798/dram_bandwidth)*frequency,1)</f>
        <v>104</v>
      </c>
      <c r="I798">
        <f>G798+H798</f>
        <v>1319223</v>
      </c>
      <c r="J798">
        <f>IF(AND(D798&lt;&gt;"dram",D798&lt;&gt;"control"),H798,0)</f>
        <v>0</v>
      </c>
      <c r="K798">
        <f>IF(D798="dram",H798,0)</f>
        <v>104</v>
      </c>
      <c r="L798">
        <v>256</v>
      </c>
      <c r="M798">
        <v>0</v>
      </c>
    </row>
    <row r="799" spans="1:13">
      <c r="A799">
        <v>797</v>
      </c>
      <c r="B799" t="s">
        <v>261</v>
      </c>
      <c r="C799" t="s">
        <v>78</v>
      </c>
      <c r="D799" t="s">
        <v>79</v>
      </c>
      <c r="E799" t="s">
        <v>219</v>
      </c>
      <c r="F799">
        <v>96</v>
      </c>
      <c r="G799">
        <f>MAX(I795,I798)</f>
        <v>1319223</v>
      </c>
      <c r="H799">
        <f>CEILING((dram_access_latency+F799/dram_bandwidth)*frequency,1)</f>
        <v>102</v>
      </c>
      <c r="I799">
        <f>G799+H799</f>
        <v>1319325</v>
      </c>
      <c r="J799">
        <f>IF(AND(D799&lt;&gt;"dram",D799&lt;&gt;"control"),H799,0)</f>
        <v>0</v>
      </c>
      <c r="K799">
        <f>IF(D799="dram",H799,0)</f>
        <v>102</v>
      </c>
      <c r="L799">
        <v>96</v>
      </c>
      <c r="M799">
        <v>0</v>
      </c>
    </row>
    <row r="800" spans="1:13">
      <c r="A800">
        <v>798</v>
      </c>
      <c r="B800" t="s">
        <v>262</v>
      </c>
      <c r="C800" t="s">
        <v>78</v>
      </c>
      <c r="D800" t="s">
        <v>79</v>
      </c>
      <c r="E800" t="s">
        <v>219</v>
      </c>
      <c r="F800">
        <v>2</v>
      </c>
      <c r="G800">
        <f>MAX(I795,I799)</f>
        <v>1319325</v>
      </c>
      <c r="H800">
        <f>CEILING((dram_access_latency+F800/dram_bandwidth)*frequency,1)</f>
        <v>101</v>
      </c>
      <c r="I800">
        <f>G800+H800</f>
        <v>1319426</v>
      </c>
      <c r="J800">
        <f>IF(AND(D800&lt;&gt;"dram",D800&lt;&gt;"control"),H800,0)</f>
        <v>0</v>
      </c>
      <c r="K800">
        <f>IF(D800="dram",H800,0)</f>
        <v>101</v>
      </c>
      <c r="L800">
        <v>2</v>
      </c>
      <c r="M800">
        <v>0</v>
      </c>
    </row>
    <row r="801" spans="1:13">
      <c r="A801">
        <v>799</v>
      </c>
      <c r="B801" t="s">
        <v>46</v>
      </c>
      <c r="C801" t="s">
        <v>85</v>
      </c>
      <c r="D801" t="s">
        <v>17</v>
      </c>
      <c r="E801" t="s">
        <v>219</v>
      </c>
      <c r="F801">
        <v>0</v>
      </c>
      <c r="G801">
        <f>MAX(I794,I797,I798,I799,I800,I796)</f>
        <v>1319426</v>
      </c>
      <c r="H801">
        <f>'Operations'!I18</f>
        <v>256</v>
      </c>
      <c r="I801">
        <f>G801+H801</f>
        <v>1319682</v>
      </c>
      <c r="J801">
        <f>IF(AND(D801&lt;&gt;"dram",D801&lt;&gt;"control"),H801,0)</f>
        <v>256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263</v>
      </c>
      <c r="C802" t="s">
        <v>82</v>
      </c>
      <c r="D802" t="s">
        <v>83</v>
      </c>
      <c r="E802" t="s">
        <v>219</v>
      </c>
      <c r="F802">
        <v>0</v>
      </c>
      <c r="G802">
        <f>MAX(I795,I794)</f>
        <v>1318298</v>
      </c>
      <c r="H802">
        <f>0</f>
        <v>692</v>
      </c>
      <c r="I802">
        <f>G802+H802</f>
        <v>1318990</v>
      </c>
      <c r="J802">
        <f>IF(AND(D802&lt;&gt;"dram",D802&lt;&gt;"control"),H802,0)</f>
        <v>0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264</v>
      </c>
      <c r="C803" t="s">
        <v>87</v>
      </c>
      <c r="D803" t="s">
        <v>79</v>
      </c>
      <c r="E803" t="s">
        <v>219</v>
      </c>
      <c r="F803">
        <v>256</v>
      </c>
      <c r="G803">
        <f>MAX(I802,I800)</f>
        <v>1319426</v>
      </c>
      <c r="H803">
        <f>CEILING((dram_access_latency+F803/dram_bandwidth)*frequency,1)</f>
        <v>104</v>
      </c>
      <c r="I803">
        <f>G803+H803</f>
        <v>1319530</v>
      </c>
      <c r="J803">
        <f>IF(AND(D803&lt;&gt;"dram",D803&lt;&gt;"control"),H803,0)</f>
        <v>0</v>
      </c>
      <c r="K803">
        <f>IF(D803="dram",H803,0)</f>
        <v>104</v>
      </c>
      <c r="L803">
        <v>0</v>
      </c>
      <c r="M803">
        <v>256</v>
      </c>
    </row>
    <row r="804" spans="1:13">
      <c r="A804">
        <v>802</v>
      </c>
      <c r="B804" t="s">
        <v>259</v>
      </c>
      <c r="C804" t="s">
        <v>78</v>
      </c>
      <c r="D804" t="s">
        <v>79</v>
      </c>
      <c r="E804" t="s">
        <v>220</v>
      </c>
      <c r="F804">
        <v>12288</v>
      </c>
      <c r="G804">
        <f>MAX(I802,I803)</f>
        <v>1319530</v>
      </c>
      <c r="H804">
        <f>CEILING((dram_access_latency+F804/dram_bandwidth)*frequency,1)</f>
        <v>281</v>
      </c>
      <c r="I804">
        <f>G804+H804</f>
        <v>1319811</v>
      </c>
      <c r="J804">
        <f>IF(AND(D804&lt;&gt;"dram",D804&lt;&gt;"control"),H804,0)</f>
        <v>0</v>
      </c>
      <c r="K804">
        <f>IF(D804="dram",H804,0)</f>
        <v>281</v>
      </c>
      <c r="L804">
        <v>12288</v>
      </c>
      <c r="M804">
        <v>0</v>
      </c>
    </row>
    <row r="805" spans="1:13">
      <c r="A805">
        <v>803</v>
      </c>
      <c r="B805" t="s">
        <v>260</v>
      </c>
      <c r="C805" t="s">
        <v>78</v>
      </c>
      <c r="D805" t="s">
        <v>79</v>
      </c>
      <c r="E805" t="s">
        <v>220</v>
      </c>
      <c r="F805">
        <v>256</v>
      </c>
      <c r="G805">
        <f>MAX(I802,I804)</f>
        <v>1319811</v>
      </c>
      <c r="H805">
        <f>CEILING((dram_access_latency+F805/dram_bandwidth)*frequency,1)</f>
        <v>104</v>
      </c>
      <c r="I805">
        <f>G805+H805</f>
        <v>1319915</v>
      </c>
      <c r="J805">
        <f>IF(AND(D805&lt;&gt;"dram",D805&lt;&gt;"control"),H805,0)</f>
        <v>0</v>
      </c>
      <c r="K805">
        <f>IF(D805="dram",H805,0)</f>
        <v>104</v>
      </c>
      <c r="L805">
        <v>256</v>
      </c>
      <c r="M805">
        <v>0</v>
      </c>
    </row>
    <row r="806" spans="1:13">
      <c r="A806">
        <v>804</v>
      </c>
      <c r="B806" t="s">
        <v>261</v>
      </c>
      <c r="C806" t="s">
        <v>78</v>
      </c>
      <c r="D806" t="s">
        <v>79</v>
      </c>
      <c r="E806" t="s">
        <v>220</v>
      </c>
      <c r="F806">
        <v>96</v>
      </c>
      <c r="G806">
        <f>MAX(I802,I805)</f>
        <v>1319915</v>
      </c>
      <c r="H806">
        <f>CEILING((dram_access_latency+F806/dram_bandwidth)*frequency,1)</f>
        <v>102</v>
      </c>
      <c r="I806">
        <f>G806+H806</f>
        <v>1320017</v>
      </c>
      <c r="J806">
        <f>IF(AND(D806&lt;&gt;"dram",D806&lt;&gt;"control"),H806,0)</f>
        <v>0</v>
      </c>
      <c r="K806">
        <f>IF(D806="dram",H806,0)</f>
        <v>102</v>
      </c>
      <c r="L806">
        <v>96</v>
      </c>
      <c r="M806">
        <v>0</v>
      </c>
    </row>
    <row r="807" spans="1:13">
      <c r="A807">
        <v>805</v>
      </c>
      <c r="B807" t="s">
        <v>262</v>
      </c>
      <c r="C807" t="s">
        <v>78</v>
      </c>
      <c r="D807" t="s">
        <v>79</v>
      </c>
      <c r="E807" t="s">
        <v>220</v>
      </c>
      <c r="F807">
        <v>2</v>
      </c>
      <c r="G807">
        <f>MAX(I802,I806)</f>
        <v>1320017</v>
      </c>
      <c r="H807">
        <f>CEILING((dram_access_latency+F807/dram_bandwidth)*frequency,1)</f>
        <v>101</v>
      </c>
      <c r="I807">
        <f>G807+H807</f>
        <v>1320118</v>
      </c>
      <c r="J807">
        <f>IF(AND(D807&lt;&gt;"dram",D807&lt;&gt;"control"),H807,0)</f>
        <v>0</v>
      </c>
      <c r="K807">
        <f>IF(D807="dram",H807,0)</f>
        <v>101</v>
      </c>
      <c r="L807">
        <v>2</v>
      </c>
      <c r="M807">
        <v>0</v>
      </c>
    </row>
    <row r="808" spans="1:13">
      <c r="A808">
        <v>806</v>
      </c>
      <c r="B808" t="s">
        <v>46</v>
      </c>
      <c r="C808" t="s">
        <v>85</v>
      </c>
      <c r="D808" t="s">
        <v>17</v>
      </c>
      <c r="E808" t="s">
        <v>220</v>
      </c>
      <c r="F808">
        <v>0</v>
      </c>
      <c r="G808">
        <f>MAX(I801,I804,I805,I806,I807,I803)</f>
        <v>1320118</v>
      </c>
      <c r="H808">
        <f>'Operations'!I18</f>
        <v>256</v>
      </c>
      <c r="I808">
        <f>G808+H808</f>
        <v>1320374</v>
      </c>
      <c r="J808">
        <f>IF(AND(D808&lt;&gt;"dram",D808&lt;&gt;"control"),H808,0)</f>
        <v>256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263</v>
      </c>
      <c r="C809" t="s">
        <v>82</v>
      </c>
      <c r="D809" t="s">
        <v>83</v>
      </c>
      <c r="E809" t="s">
        <v>220</v>
      </c>
      <c r="F809">
        <v>0</v>
      </c>
      <c r="G809">
        <f>MAX(I802,I801)</f>
        <v>1318990</v>
      </c>
      <c r="H809">
        <f>0</f>
        <v>692</v>
      </c>
      <c r="I809">
        <f>G809+H809</f>
        <v>1319682</v>
      </c>
      <c r="J809">
        <f>IF(AND(D809&lt;&gt;"dram",D809&lt;&gt;"control"),H809,0)</f>
        <v>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264</v>
      </c>
      <c r="C810" t="s">
        <v>87</v>
      </c>
      <c r="D810" t="s">
        <v>79</v>
      </c>
      <c r="E810" t="s">
        <v>220</v>
      </c>
      <c r="F810">
        <v>256</v>
      </c>
      <c r="G810">
        <f>MAX(I809,I807)</f>
        <v>1320118</v>
      </c>
      <c r="H810">
        <f>CEILING((dram_access_latency+F810/dram_bandwidth)*frequency,1)</f>
        <v>104</v>
      </c>
      <c r="I810">
        <f>G810+H810</f>
        <v>1320222</v>
      </c>
      <c r="J810">
        <f>IF(AND(D810&lt;&gt;"dram",D810&lt;&gt;"control"),H810,0)</f>
        <v>0</v>
      </c>
      <c r="K810">
        <f>IF(D810="dram",H810,0)</f>
        <v>104</v>
      </c>
      <c r="L810">
        <v>0</v>
      </c>
      <c r="M810">
        <v>256</v>
      </c>
    </row>
    <row r="811" spans="1:13">
      <c r="A811">
        <v>809</v>
      </c>
      <c r="B811" t="s">
        <v>259</v>
      </c>
      <c r="C811" t="s">
        <v>78</v>
      </c>
      <c r="D811" t="s">
        <v>79</v>
      </c>
      <c r="E811" t="s">
        <v>221</v>
      </c>
      <c r="F811">
        <v>12288</v>
      </c>
      <c r="G811">
        <f>MAX(I809,I810)</f>
        <v>1320222</v>
      </c>
      <c r="H811">
        <f>CEILING((dram_access_latency+F811/dram_bandwidth)*frequency,1)</f>
        <v>281</v>
      </c>
      <c r="I811">
        <f>G811+H811</f>
        <v>1320503</v>
      </c>
      <c r="J811">
        <f>IF(AND(D811&lt;&gt;"dram",D811&lt;&gt;"control"),H811,0)</f>
        <v>0</v>
      </c>
      <c r="K811">
        <f>IF(D811="dram",H811,0)</f>
        <v>281</v>
      </c>
      <c r="L811">
        <v>12288</v>
      </c>
      <c r="M811">
        <v>0</v>
      </c>
    </row>
    <row r="812" spans="1:13">
      <c r="A812">
        <v>810</v>
      </c>
      <c r="B812" t="s">
        <v>260</v>
      </c>
      <c r="C812" t="s">
        <v>78</v>
      </c>
      <c r="D812" t="s">
        <v>79</v>
      </c>
      <c r="E812" t="s">
        <v>221</v>
      </c>
      <c r="F812">
        <v>256</v>
      </c>
      <c r="G812">
        <f>MAX(I809,I811)</f>
        <v>1320503</v>
      </c>
      <c r="H812">
        <f>CEILING((dram_access_latency+F812/dram_bandwidth)*frequency,1)</f>
        <v>104</v>
      </c>
      <c r="I812">
        <f>G812+H812</f>
        <v>1320607</v>
      </c>
      <c r="J812">
        <f>IF(AND(D812&lt;&gt;"dram",D812&lt;&gt;"control"),H812,0)</f>
        <v>0</v>
      </c>
      <c r="K812">
        <f>IF(D812="dram",H812,0)</f>
        <v>104</v>
      </c>
      <c r="L812">
        <v>256</v>
      </c>
      <c r="M812">
        <v>0</v>
      </c>
    </row>
    <row r="813" spans="1:13">
      <c r="A813">
        <v>811</v>
      </c>
      <c r="B813" t="s">
        <v>261</v>
      </c>
      <c r="C813" t="s">
        <v>78</v>
      </c>
      <c r="D813" t="s">
        <v>79</v>
      </c>
      <c r="E813" t="s">
        <v>221</v>
      </c>
      <c r="F813">
        <v>96</v>
      </c>
      <c r="G813">
        <f>MAX(I809,I812)</f>
        <v>1320607</v>
      </c>
      <c r="H813">
        <f>CEILING((dram_access_latency+F813/dram_bandwidth)*frequency,1)</f>
        <v>102</v>
      </c>
      <c r="I813">
        <f>G813+H813</f>
        <v>1320709</v>
      </c>
      <c r="J813">
        <f>IF(AND(D813&lt;&gt;"dram",D813&lt;&gt;"control"),H813,0)</f>
        <v>0</v>
      </c>
      <c r="K813">
        <f>IF(D813="dram",H813,0)</f>
        <v>102</v>
      </c>
      <c r="L813">
        <v>96</v>
      </c>
      <c r="M813">
        <v>0</v>
      </c>
    </row>
    <row r="814" spans="1:13">
      <c r="A814">
        <v>812</v>
      </c>
      <c r="B814" t="s">
        <v>262</v>
      </c>
      <c r="C814" t="s">
        <v>78</v>
      </c>
      <c r="D814" t="s">
        <v>79</v>
      </c>
      <c r="E814" t="s">
        <v>221</v>
      </c>
      <c r="F814">
        <v>2</v>
      </c>
      <c r="G814">
        <f>MAX(I809,I813)</f>
        <v>1320709</v>
      </c>
      <c r="H814">
        <f>CEILING((dram_access_latency+F814/dram_bandwidth)*frequency,1)</f>
        <v>101</v>
      </c>
      <c r="I814">
        <f>G814+H814</f>
        <v>1320810</v>
      </c>
      <c r="J814">
        <f>IF(AND(D814&lt;&gt;"dram",D814&lt;&gt;"control"),H814,0)</f>
        <v>0</v>
      </c>
      <c r="K814">
        <f>IF(D814="dram",H814,0)</f>
        <v>101</v>
      </c>
      <c r="L814">
        <v>2</v>
      </c>
      <c r="M814">
        <v>0</v>
      </c>
    </row>
    <row r="815" spans="1:13">
      <c r="A815">
        <v>813</v>
      </c>
      <c r="B815" t="s">
        <v>46</v>
      </c>
      <c r="C815" t="s">
        <v>85</v>
      </c>
      <c r="D815" t="s">
        <v>17</v>
      </c>
      <c r="E815" t="s">
        <v>221</v>
      </c>
      <c r="F815">
        <v>0</v>
      </c>
      <c r="G815">
        <f>MAX(I808,I811,I812,I813,I814,I810)</f>
        <v>1320810</v>
      </c>
      <c r="H815">
        <f>'Operations'!I18</f>
        <v>256</v>
      </c>
      <c r="I815">
        <f>G815+H815</f>
        <v>1321066</v>
      </c>
      <c r="J815">
        <f>IF(AND(D815&lt;&gt;"dram",D815&lt;&gt;"control"),H815,0)</f>
        <v>256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263</v>
      </c>
      <c r="C816" t="s">
        <v>82</v>
      </c>
      <c r="D816" t="s">
        <v>83</v>
      </c>
      <c r="E816" t="s">
        <v>221</v>
      </c>
      <c r="F816">
        <v>0</v>
      </c>
      <c r="G816">
        <f>MAX(I809,I808)</f>
        <v>1319682</v>
      </c>
      <c r="H816">
        <f>0</f>
        <v>692</v>
      </c>
      <c r="I816">
        <f>G816+H816</f>
        <v>1320374</v>
      </c>
      <c r="J816">
        <f>IF(AND(D816&lt;&gt;"dram",D816&lt;&gt;"control"),H816,0)</f>
        <v>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264</v>
      </c>
      <c r="C817" t="s">
        <v>87</v>
      </c>
      <c r="D817" t="s">
        <v>79</v>
      </c>
      <c r="E817" t="s">
        <v>221</v>
      </c>
      <c r="F817">
        <v>256</v>
      </c>
      <c r="G817">
        <f>MAX(I816,I814)</f>
        <v>1320810</v>
      </c>
      <c r="H817">
        <f>CEILING((dram_access_latency+F817/dram_bandwidth)*frequency,1)</f>
        <v>104</v>
      </c>
      <c r="I817">
        <f>G817+H817</f>
        <v>1320914</v>
      </c>
      <c r="J817">
        <f>IF(AND(D817&lt;&gt;"dram",D817&lt;&gt;"control"),H817,0)</f>
        <v>0</v>
      </c>
      <c r="K817">
        <f>IF(D817="dram",H817,0)</f>
        <v>104</v>
      </c>
      <c r="L817">
        <v>0</v>
      </c>
      <c r="M817">
        <v>256</v>
      </c>
    </row>
    <row r="818" spans="1:13">
      <c r="A818">
        <v>816</v>
      </c>
      <c r="B818" t="s">
        <v>265</v>
      </c>
      <c r="C818" t="s">
        <v>82</v>
      </c>
      <c r="D818" t="s">
        <v>83</v>
      </c>
      <c r="E818" t="s">
        <v>80</v>
      </c>
      <c r="F818">
        <v>0</v>
      </c>
      <c r="G818">
        <f>MAX(I816,I815)</f>
        <v>1320374</v>
      </c>
      <c r="H818">
        <f>0</f>
        <v>692</v>
      </c>
      <c r="I818">
        <f>G818+H818</f>
        <v>1321066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266</v>
      </c>
      <c r="C819" t="s">
        <v>87</v>
      </c>
      <c r="D819" t="s">
        <v>79</v>
      </c>
      <c r="E819" t="s">
        <v>80</v>
      </c>
      <c r="F819">
        <v>256</v>
      </c>
      <c r="G819">
        <f>MAX(I818,I817)</f>
        <v>1321066</v>
      </c>
      <c r="H819">
        <f>CEILING((dram_access_latency+F819/dram_bandwidth)*frequency,1)</f>
        <v>104</v>
      </c>
      <c r="I819">
        <f>G819+H819</f>
        <v>1321170</v>
      </c>
      <c r="J819">
        <f>IF(AND(D819&lt;&gt;"dram",D819&lt;&gt;"control"),H819,0)</f>
        <v>0</v>
      </c>
      <c r="K819">
        <f>IF(D819="dram",H819,0)</f>
        <v>104</v>
      </c>
      <c r="L819">
        <v>0</v>
      </c>
      <c r="M819">
        <v>256</v>
      </c>
    </row>
    <row r="820" spans="1:13">
      <c r="A820">
        <v>818</v>
      </c>
      <c r="B820" t="s">
        <v>267</v>
      </c>
      <c r="C820" t="s">
        <v>82</v>
      </c>
      <c r="D820" t="s">
        <v>83</v>
      </c>
      <c r="E820" t="s">
        <v>80</v>
      </c>
      <c r="F820">
        <v>0</v>
      </c>
      <c r="G820">
        <f>MAX(I818,I817)</f>
        <v>1321066</v>
      </c>
      <c r="H820">
        <f>0</f>
        <v>0</v>
      </c>
      <c r="I820">
        <f>G820+H820</f>
        <v>1321066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268</v>
      </c>
      <c r="C821" t="s">
        <v>82</v>
      </c>
      <c r="D821" t="s">
        <v>83</v>
      </c>
      <c r="E821" t="s">
        <v>80</v>
      </c>
      <c r="F821">
        <v>0</v>
      </c>
      <c r="G821">
        <f>MAX(I820,I819)</f>
        <v>1321066</v>
      </c>
      <c r="H821">
        <f>0</f>
        <v>104</v>
      </c>
      <c r="I821">
        <f>G821+H821</f>
        <v>1321170</v>
      </c>
      <c r="J821">
        <f>IF(AND(D821&lt;&gt;"dram",D821&lt;&gt;"control"),H821,0)</f>
        <v>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269</v>
      </c>
      <c r="C822" t="s">
        <v>78</v>
      </c>
      <c r="D822" t="s">
        <v>79</v>
      </c>
      <c r="E822" t="s">
        <v>84</v>
      </c>
      <c r="F822">
        <v>49152</v>
      </c>
      <c r="G822">
        <f>MAX(I821,I819)</f>
        <v>1321170</v>
      </c>
      <c r="H822">
        <f>CEILING((dram_access_latency+F822/dram_bandwidth)*frequency,1)</f>
        <v>823</v>
      </c>
      <c r="I822">
        <f>G822+H822</f>
        <v>1321993</v>
      </c>
      <c r="J822">
        <f>IF(AND(D822&lt;&gt;"dram",D822&lt;&gt;"control"),H822,0)</f>
        <v>0</v>
      </c>
      <c r="K822">
        <f>IF(D822="dram",H822,0)</f>
        <v>823</v>
      </c>
      <c r="L822">
        <v>49152</v>
      </c>
      <c r="M822">
        <v>0</v>
      </c>
    </row>
    <row r="823" spans="1:13">
      <c r="A823">
        <v>821</v>
      </c>
      <c r="B823" t="s">
        <v>270</v>
      </c>
      <c r="C823" t="s">
        <v>78</v>
      </c>
      <c r="D823" t="s">
        <v>79</v>
      </c>
      <c r="E823" t="s">
        <v>84</v>
      </c>
      <c r="F823">
        <v>1024</v>
      </c>
      <c r="G823">
        <f>MAX(I821,I822)</f>
        <v>1321993</v>
      </c>
      <c r="H823">
        <f>CEILING((dram_access_latency+F823/dram_bandwidth)*frequency,1)</f>
        <v>116</v>
      </c>
      <c r="I823">
        <f>G823+H823</f>
        <v>1322109</v>
      </c>
      <c r="J823">
        <f>IF(AND(D823&lt;&gt;"dram",D823&lt;&gt;"control"),H823,0)</f>
        <v>0</v>
      </c>
      <c r="K823">
        <f>IF(D823="dram",H823,0)</f>
        <v>116</v>
      </c>
      <c r="L823">
        <v>1024</v>
      </c>
      <c r="M823">
        <v>0</v>
      </c>
    </row>
    <row r="824" spans="1:13">
      <c r="A824">
        <v>822</v>
      </c>
      <c r="B824" t="s">
        <v>271</v>
      </c>
      <c r="C824" t="s">
        <v>78</v>
      </c>
      <c r="D824" t="s">
        <v>79</v>
      </c>
      <c r="E824" t="s">
        <v>84</v>
      </c>
      <c r="F824">
        <v>384</v>
      </c>
      <c r="G824">
        <f>MAX(I821,I823)</f>
        <v>1322109</v>
      </c>
      <c r="H824">
        <f>CEILING((dram_access_latency+F824/dram_bandwidth)*frequency,1)</f>
        <v>106</v>
      </c>
      <c r="I824">
        <f>G824+H824</f>
        <v>1322215</v>
      </c>
      <c r="J824">
        <f>IF(AND(D824&lt;&gt;"dram",D824&lt;&gt;"control"),H824,0)</f>
        <v>0</v>
      </c>
      <c r="K824">
        <f>IF(D824="dram",H824,0)</f>
        <v>106</v>
      </c>
      <c r="L824">
        <v>384</v>
      </c>
      <c r="M824">
        <v>0</v>
      </c>
    </row>
    <row r="825" spans="1:13">
      <c r="A825">
        <v>823</v>
      </c>
      <c r="B825" t="s">
        <v>272</v>
      </c>
      <c r="C825" t="s">
        <v>78</v>
      </c>
      <c r="D825" t="s">
        <v>79</v>
      </c>
      <c r="E825" t="s">
        <v>84</v>
      </c>
      <c r="F825">
        <v>8</v>
      </c>
      <c r="G825">
        <f>MAX(I821,I824)</f>
        <v>1322215</v>
      </c>
      <c r="H825">
        <f>CEILING((dram_access_latency+F825/dram_bandwidth)*frequency,1)</f>
        <v>101</v>
      </c>
      <c r="I825">
        <f>G825+H825</f>
        <v>1322316</v>
      </c>
      <c r="J825">
        <f>IF(AND(D825&lt;&gt;"dram",D825&lt;&gt;"control"),H825,0)</f>
        <v>0</v>
      </c>
      <c r="K825">
        <f>IF(D825="dram",H825,0)</f>
        <v>101</v>
      </c>
      <c r="L825">
        <v>8</v>
      </c>
      <c r="M825">
        <v>0</v>
      </c>
    </row>
    <row r="826" spans="1:13">
      <c r="A826">
        <v>824</v>
      </c>
      <c r="B826" t="s">
        <v>273</v>
      </c>
      <c r="C826" t="s">
        <v>78</v>
      </c>
      <c r="D826" t="s">
        <v>79</v>
      </c>
      <c r="E826" t="s">
        <v>84</v>
      </c>
      <c r="F826">
        <v>256</v>
      </c>
      <c r="G826">
        <f>MAX(I821,I825)</f>
        <v>1322316</v>
      </c>
      <c r="H826">
        <f>CEILING((dram_access_latency+F826/dram_bandwidth)*frequency,1)</f>
        <v>104</v>
      </c>
      <c r="I826">
        <f>G826+H826</f>
        <v>1322420</v>
      </c>
      <c r="J826">
        <f>IF(AND(D826&lt;&gt;"dram",D826&lt;&gt;"control"),H826,0)</f>
        <v>0</v>
      </c>
      <c r="K826">
        <f>IF(D826="dram",H826,0)</f>
        <v>104</v>
      </c>
      <c r="L826">
        <v>256</v>
      </c>
      <c r="M826">
        <v>0</v>
      </c>
    </row>
    <row r="827" spans="1:13">
      <c r="A827">
        <v>825</v>
      </c>
      <c r="B827" t="s">
        <v>48</v>
      </c>
      <c r="C827" t="s">
        <v>85</v>
      </c>
      <c r="D827" t="s">
        <v>17</v>
      </c>
      <c r="E827" t="s">
        <v>84</v>
      </c>
      <c r="F827">
        <v>0</v>
      </c>
      <c r="G827">
        <f>MAX(I815,I822,I823,I824,I825,I826)</f>
        <v>1322420</v>
      </c>
      <c r="H827">
        <f>'Operations'!I19</f>
        <v>1024</v>
      </c>
      <c r="I827">
        <f>G827+H827</f>
        <v>1323444</v>
      </c>
      <c r="J827">
        <f>IF(AND(D827&lt;&gt;"dram",D827&lt;&gt;"control"),H827,0)</f>
        <v>1024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269</v>
      </c>
      <c r="C828" t="s">
        <v>78</v>
      </c>
      <c r="D828" t="s">
        <v>79</v>
      </c>
      <c r="E828" t="s">
        <v>101</v>
      </c>
      <c r="F828">
        <v>49152</v>
      </c>
      <c r="G828">
        <f>MAX(I821,I826)</f>
        <v>1322420</v>
      </c>
      <c r="H828">
        <f>CEILING((dram_access_latency+F828/dram_bandwidth)*frequency,1)</f>
        <v>823</v>
      </c>
      <c r="I828">
        <f>G828+H828</f>
        <v>1323243</v>
      </c>
      <c r="J828">
        <f>IF(AND(D828&lt;&gt;"dram",D828&lt;&gt;"control"),H828,0)</f>
        <v>0</v>
      </c>
      <c r="K828">
        <f>IF(D828="dram",H828,0)</f>
        <v>823</v>
      </c>
      <c r="L828">
        <v>49152</v>
      </c>
      <c r="M828">
        <v>0</v>
      </c>
    </row>
    <row r="829" spans="1:13">
      <c r="A829">
        <v>827</v>
      </c>
      <c r="B829" t="s">
        <v>270</v>
      </c>
      <c r="C829" t="s">
        <v>78</v>
      </c>
      <c r="D829" t="s">
        <v>79</v>
      </c>
      <c r="E829" t="s">
        <v>101</v>
      </c>
      <c r="F829">
        <v>1024</v>
      </c>
      <c r="G829">
        <f>MAX(I821,I828)</f>
        <v>1323243</v>
      </c>
      <c r="H829">
        <f>CEILING((dram_access_latency+F829/dram_bandwidth)*frequency,1)</f>
        <v>116</v>
      </c>
      <c r="I829">
        <f>G829+H829</f>
        <v>1323359</v>
      </c>
      <c r="J829">
        <f>IF(AND(D829&lt;&gt;"dram",D829&lt;&gt;"control"),H829,0)</f>
        <v>0</v>
      </c>
      <c r="K829">
        <f>IF(D829="dram",H829,0)</f>
        <v>116</v>
      </c>
      <c r="L829">
        <v>1024</v>
      </c>
      <c r="M829">
        <v>0</v>
      </c>
    </row>
    <row r="830" spans="1:13">
      <c r="A830">
        <v>828</v>
      </c>
      <c r="B830" t="s">
        <v>271</v>
      </c>
      <c r="C830" t="s">
        <v>78</v>
      </c>
      <c r="D830" t="s">
        <v>79</v>
      </c>
      <c r="E830" t="s">
        <v>101</v>
      </c>
      <c r="F830">
        <v>384</v>
      </c>
      <c r="G830">
        <f>MAX(I821,I829)</f>
        <v>1323359</v>
      </c>
      <c r="H830">
        <f>CEILING((dram_access_latency+F830/dram_bandwidth)*frequency,1)</f>
        <v>106</v>
      </c>
      <c r="I830">
        <f>G830+H830</f>
        <v>1323465</v>
      </c>
      <c r="J830">
        <f>IF(AND(D830&lt;&gt;"dram",D830&lt;&gt;"control"),H830,0)</f>
        <v>0</v>
      </c>
      <c r="K830">
        <f>IF(D830="dram",H830,0)</f>
        <v>106</v>
      </c>
      <c r="L830">
        <v>384</v>
      </c>
      <c r="M830">
        <v>0</v>
      </c>
    </row>
    <row r="831" spans="1:13">
      <c r="A831">
        <v>829</v>
      </c>
      <c r="B831" t="s">
        <v>272</v>
      </c>
      <c r="C831" t="s">
        <v>78</v>
      </c>
      <c r="D831" t="s">
        <v>79</v>
      </c>
      <c r="E831" t="s">
        <v>101</v>
      </c>
      <c r="F831">
        <v>8</v>
      </c>
      <c r="G831">
        <f>MAX(I821,I830)</f>
        <v>1323465</v>
      </c>
      <c r="H831">
        <f>CEILING((dram_access_latency+F831/dram_bandwidth)*frequency,1)</f>
        <v>101</v>
      </c>
      <c r="I831">
        <f>G831+H831</f>
        <v>1323566</v>
      </c>
      <c r="J831">
        <f>IF(AND(D831&lt;&gt;"dram",D831&lt;&gt;"control"),H831,0)</f>
        <v>0</v>
      </c>
      <c r="K831">
        <f>IF(D831="dram",H831,0)</f>
        <v>101</v>
      </c>
      <c r="L831">
        <v>8</v>
      </c>
      <c r="M831">
        <v>0</v>
      </c>
    </row>
    <row r="832" spans="1:13">
      <c r="A832">
        <v>830</v>
      </c>
      <c r="B832" t="s">
        <v>273</v>
      </c>
      <c r="C832" t="s">
        <v>78</v>
      </c>
      <c r="D832" t="s">
        <v>79</v>
      </c>
      <c r="E832" t="s">
        <v>101</v>
      </c>
      <c r="F832">
        <v>256</v>
      </c>
      <c r="G832">
        <f>MAX(I821,I831)</f>
        <v>1323566</v>
      </c>
      <c r="H832">
        <f>CEILING((dram_access_latency+F832/dram_bandwidth)*frequency,1)</f>
        <v>104</v>
      </c>
      <c r="I832">
        <f>G832+H832</f>
        <v>1323670</v>
      </c>
      <c r="J832">
        <f>IF(AND(D832&lt;&gt;"dram",D832&lt;&gt;"control"),H832,0)</f>
        <v>0</v>
      </c>
      <c r="K832">
        <f>IF(D832="dram",H832,0)</f>
        <v>104</v>
      </c>
      <c r="L832">
        <v>256</v>
      </c>
      <c r="M832">
        <v>0</v>
      </c>
    </row>
    <row r="833" spans="1:13">
      <c r="A833">
        <v>831</v>
      </c>
      <c r="B833" t="s">
        <v>48</v>
      </c>
      <c r="C833" t="s">
        <v>85</v>
      </c>
      <c r="D833" t="s">
        <v>17</v>
      </c>
      <c r="E833" t="s">
        <v>101</v>
      </c>
      <c r="F833">
        <v>0</v>
      </c>
      <c r="G833">
        <f>MAX(I827,I828,I829,I830,I831,I832)</f>
        <v>1323670</v>
      </c>
      <c r="H833">
        <f>'Operations'!I19</f>
        <v>1024</v>
      </c>
      <c r="I833">
        <f>G833+H833</f>
        <v>1324694</v>
      </c>
      <c r="J833">
        <f>IF(AND(D833&lt;&gt;"dram",D833&lt;&gt;"control"),H833,0)</f>
        <v>1024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274</v>
      </c>
      <c r="C834" t="s">
        <v>82</v>
      </c>
      <c r="D834" t="s">
        <v>83</v>
      </c>
      <c r="E834" t="s">
        <v>101</v>
      </c>
      <c r="F834">
        <v>0</v>
      </c>
      <c r="G834">
        <f>MAX(I821,I827)</f>
        <v>1321170</v>
      </c>
      <c r="H834">
        <f>0</f>
        <v>2274</v>
      </c>
      <c r="I834">
        <f>G834+H834</f>
        <v>1323444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275</v>
      </c>
      <c r="C835" t="s">
        <v>87</v>
      </c>
      <c r="D835" t="s">
        <v>79</v>
      </c>
      <c r="E835" t="s">
        <v>101</v>
      </c>
      <c r="F835">
        <v>2</v>
      </c>
      <c r="G835">
        <f>MAX(I834,I832)</f>
        <v>1323670</v>
      </c>
      <c r="H835">
        <f>CEILING((dram_access_latency+F835/dram_bandwidth)*frequency,1)</f>
        <v>101</v>
      </c>
      <c r="I835">
        <f>G835+H835</f>
        <v>1323771</v>
      </c>
      <c r="J835">
        <f>IF(AND(D835&lt;&gt;"dram",D835&lt;&gt;"control"),H835,0)</f>
        <v>0</v>
      </c>
      <c r="K835">
        <f>IF(D835="dram",H835,0)</f>
        <v>101</v>
      </c>
      <c r="L835">
        <v>0</v>
      </c>
      <c r="M835">
        <v>2</v>
      </c>
    </row>
    <row r="836" spans="1:13">
      <c r="A836">
        <v>834</v>
      </c>
      <c r="B836" t="s">
        <v>276</v>
      </c>
      <c r="C836" t="s">
        <v>87</v>
      </c>
      <c r="D836" t="s">
        <v>79</v>
      </c>
      <c r="E836" t="s">
        <v>101</v>
      </c>
      <c r="F836">
        <v>64</v>
      </c>
      <c r="G836">
        <f>MAX(I834,I835)</f>
        <v>1323771</v>
      </c>
      <c r="H836">
        <f>CEILING((dram_access_latency+F836/dram_bandwidth)*frequency,1)</f>
        <v>101</v>
      </c>
      <c r="I836">
        <f>G836+H836</f>
        <v>1323872</v>
      </c>
      <c r="J836">
        <f>IF(AND(D836&lt;&gt;"dram",D836&lt;&gt;"control"),H836,0)</f>
        <v>0</v>
      </c>
      <c r="K836">
        <f>IF(D836="dram",H836,0)</f>
        <v>101</v>
      </c>
      <c r="L836">
        <v>0</v>
      </c>
      <c r="M836">
        <v>64</v>
      </c>
    </row>
    <row r="837" spans="1:13">
      <c r="A837">
        <v>835</v>
      </c>
      <c r="B837" t="s">
        <v>269</v>
      </c>
      <c r="C837" t="s">
        <v>78</v>
      </c>
      <c r="D837" t="s">
        <v>79</v>
      </c>
      <c r="E837" t="s">
        <v>104</v>
      </c>
      <c r="F837">
        <v>49152</v>
      </c>
      <c r="G837">
        <f>MAX(I834,I836)</f>
        <v>1323872</v>
      </c>
      <c r="H837">
        <f>CEILING((dram_access_latency+F837/dram_bandwidth)*frequency,1)</f>
        <v>823</v>
      </c>
      <c r="I837">
        <f>G837+H837</f>
        <v>1324695</v>
      </c>
      <c r="J837">
        <f>IF(AND(D837&lt;&gt;"dram",D837&lt;&gt;"control"),H837,0)</f>
        <v>0</v>
      </c>
      <c r="K837">
        <f>IF(D837="dram",H837,0)</f>
        <v>823</v>
      </c>
      <c r="L837">
        <v>49152</v>
      </c>
      <c r="M837">
        <v>0</v>
      </c>
    </row>
    <row r="838" spans="1:13">
      <c r="A838">
        <v>836</v>
      </c>
      <c r="B838" t="s">
        <v>270</v>
      </c>
      <c r="C838" t="s">
        <v>78</v>
      </c>
      <c r="D838" t="s">
        <v>79</v>
      </c>
      <c r="E838" t="s">
        <v>104</v>
      </c>
      <c r="F838">
        <v>1024</v>
      </c>
      <c r="G838">
        <f>MAX(I834,I837)</f>
        <v>1324695</v>
      </c>
      <c r="H838">
        <f>CEILING((dram_access_latency+F838/dram_bandwidth)*frequency,1)</f>
        <v>116</v>
      </c>
      <c r="I838">
        <f>G838+H838</f>
        <v>1324811</v>
      </c>
      <c r="J838">
        <f>IF(AND(D838&lt;&gt;"dram",D838&lt;&gt;"control"),H838,0)</f>
        <v>0</v>
      </c>
      <c r="K838">
        <f>IF(D838="dram",H838,0)</f>
        <v>116</v>
      </c>
      <c r="L838">
        <v>1024</v>
      </c>
      <c r="M838">
        <v>0</v>
      </c>
    </row>
    <row r="839" spans="1:13">
      <c r="A839">
        <v>837</v>
      </c>
      <c r="B839" t="s">
        <v>271</v>
      </c>
      <c r="C839" t="s">
        <v>78</v>
      </c>
      <c r="D839" t="s">
        <v>79</v>
      </c>
      <c r="E839" t="s">
        <v>104</v>
      </c>
      <c r="F839">
        <v>384</v>
      </c>
      <c r="G839">
        <f>MAX(I834,I838)</f>
        <v>1324811</v>
      </c>
      <c r="H839">
        <f>CEILING((dram_access_latency+F839/dram_bandwidth)*frequency,1)</f>
        <v>106</v>
      </c>
      <c r="I839">
        <f>G839+H839</f>
        <v>1324917</v>
      </c>
      <c r="J839">
        <f>IF(AND(D839&lt;&gt;"dram",D839&lt;&gt;"control"),H839,0)</f>
        <v>0</v>
      </c>
      <c r="K839">
        <f>IF(D839="dram",H839,0)</f>
        <v>106</v>
      </c>
      <c r="L839">
        <v>384</v>
      </c>
      <c r="M839">
        <v>0</v>
      </c>
    </row>
    <row r="840" spans="1:13">
      <c r="A840">
        <v>838</v>
      </c>
      <c r="B840" t="s">
        <v>272</v>
      </c>
      <c r="C840" t="s">
        <v>78</v>
      </c>
      <c r="D840" t="s">
        <v>79</v>
      </c>
      <c r="E840" t="s">
        <v>104</v>
      </c>
      <c r="F840">
        <v>8</v>
      </c>
      <c r="G840">
        <f>MAX(I834,I839)</f>
        <v>1324917</v>
      </c>
      <c r="H840">
        <f>CEILING((dram_access_latency+F840/dram_bandwidth)*frequency,1)</f>
        <v>101</v>
      </c>
      <c r="I840">
        <f>G840+H840</f>
        <v>1325018</v>
      </c>
      <c r="J840">
        <f>IF(AND(D840&lt;&gt;"dram",D840&lt;&gt;"control"),H840,0)</f>
        <v>0</v>
      </c>
      <c r="K840">
        <f>IF(D840="dram",H840,0)</f>
        <v>101</v>
      </c>
      <c r="L840">
        <v>8</v>
      </c>
      <c r="M840">
        <v>0</v>
      </c>
    </row>
    <row r="841" spans="1:13">
      <c r="A841">
        <v>839</v>
      </c>
      <c r="B841" t="s">
        <v>273</v>
      </c>
      <c r="C841" t="s">
        <v>78</v>
      </c>
      <c r="D841" t="s">
        <v>79</v>
      </c>
      <c r="E841" t="s">
        <v>104</v>
      </c>
      <c r="F841">
        <v>256</v>
      </c>
      <c r="G841">
        <f>MAX(I834,I840)</f>
        <v>1325018</v>
      </c>
      <c r="H841">
        <f>CEILING((dram_access_latency+F841/dram_bandwidth)*frequency,1)</f>
        <v>104</v>
      </c>
      <c r="I841">
        <f>G841+H841</f>
        <v>1325122</v>
      </c>
      <c r="J841">
        <f>IF(AND(D841&lt;&gt;"dram",D841&lt;&gt;"control"),H841,0)</f>
        <v>0</v>
      </c>
      <c r="K841">
        <f>IF(D841="dram",H841,0)</f>
        <v>104</v>
      </c>
      <c r="L841">
        <v>256</v>
      </c>
      <c r="M841">
        <v>0</v>
      </c>
    </row>
    <row r="842" spans="1:13">
      <c r="A842">
        <v>840</v>
      </c>
      <c r="B842" t="s">
        <v>48</v>
      </c>
      <c r="C842" t="s">
        <v>85</v>
      </c>
      <c r="D842" t="s">
        <v>17</v>
      </c>
      <c r="E842" t="s">
        <v>104</v>
      </c>
      <c r="F842">
        <v>0</v>
      </c>
      <c r="G842">
        <f>MAX(I833,I837,I838,I839,I840,I841,I835,I836)</f>
        <v>1325122</v>
      </c>
      <c r="H842">
        <f>'Operations'!I19</f>
        <v>1024</v>
      </c>
      <c r="I842">
        <f>G842+H842</f>
        <v>1326146</v>
      </c>
      <c r="J842">
        <f>IF(AND(D842&lt;&gt;"dram",D842&lt;&gt;"control"),H842,0)</f>
        <v>1024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274</v>
      </c>
      <c r="C843" t="s">
        <v>82</v>
      </c>
      <c r="D843" t="s">
        <v>83</v>
      </c>
      <c r="E843" t="s">
        <v>104</v>
      </c>
      <c r="F843">
        <v>0</v>
      </c>
      <c r="G843">
        <f>MAX(I834,I833)</f>
        <v>1323444</v>
      </c>
      <c r="H843">
        <f>0</f>
        <v>1250</v>
      </c>
      <c r="I843">
        <f>G843+H843</f>
        <v>1324694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275</v>
      </c>
      <c r="C844" t="s">
        <v>87</v>
      </c>
      <c r="D844" t="s">
        <v>79</v>
      </c>
      <c r="E844" t="s">
        <v>104</v>
      </c>
      <c r="F844">
        <v>2</v>
      </c>
      <c r="G844">
        <f>MAX(I843,I841)</f>
        <v>1325122</v>
      </c>
      <c r="H844">
        <f>CEILING((dram_access_latency+F844/dram_bandwidth)*frequency,1)</f>
        <v>101</v>
      </c>
      <c r="I844">
        <f>G844+H844</f>
        <v>1325223</v>
      </c>
      <c r="J844">
        <f>IF(AND(D844&lt;&gt;"dram",D844&lt;&gt;"control"),H844,0)</f>
        <v>0</v>
      </c>
      <c r="K844">
        <f>IF(D844="dram",H844,0)</f>
        <v>101</v>
      </c>
      <c r="L844">
        <v>0</v>
      </c>
      <c r="M844">
        <v>2</v>
      </c>
    </row>
    <row r="845" spans="1:13">
      <c r="A845">
        <v>843</v>
      </c>
      <c r="B845" t="s">
        <v>276</v>
      </c>
      <c r="C845" t="s">
        <v>87</v>
      </c>
      <c r="D845" t="s">
        <v>79</v>
      </c>
      <c r="E845" t="s">
        <v>104</v>
      </c>
      <c r="F845">
        <v>64</v>
      </c>
      <c r="G845">
        <f>MAX(I843,I844)</f>
        <v>1325223</v>
      </c>
      <c r="H845">
        <f>CEILING((dram_access_latency+F845/dram_bandwidth)*frequency,1)</f>
        <v>101</v>
      </c>
      <c r="I845">
        <f>G845+H845</f>
        <v>1325324</v>
      </c>
      <c r="J845">
        <f>IF(AND(D845&lt;&gt;"dram",D845&lt;&gt;"control"),H845,0)</f>
        <v>0</v>
      </c>
      <c r="K845">
        <f>IF(D845="dram",H845,0)</f>
        <v>101</v>
      </c>
      <c r="L845">
        <v>0</v>
      </c>
      <c r="M845">
        <v>64</v>
      </c>
    </row>
    <row r="846" spans="1:13">
      <c r="A846">
        <v>844</v>
      </c>
      <c r="B846" t="s">
        <v>269</v>
      </c>
      <c r="C846" t="s">
        <v>78</v>
      </c>
      <c r="D846" t="s">
        <v>79</v>
      </c>
      <c r="E846" t="s">
        <v>105</v>
      </c>
      <c r="F846">
        <v>49152</v>
      </c>
      <c r="G846">
        <f>MAX(I843,I845)</f>
        <v>1325324</v>
      </c>
      <c r="H846">
        <f>CEILING((dram_access_latency+F846/dram_bandwidth)*frequency,1)</f>
        <v>823</v>
      </c>
      <c r="I846">
        <f>G846+H846</f>
        <v>1326147</v>
      </c>
      <c r="J846">
        <f>IF(AND(D846&lt;&gt;"dram",D846&lt;&gt;"control"),H846,0)</f>
        <v>0</v>
      </c>
      <c r="K846">
        <f>IF(D846="dram",H846,0)</f>
        <v>823</v>
      </c>
      <c r="L846">
        <v>49152</v>
      </c>
      <c r="M846">
        <v>0</v>
      </c>
    </row>
    <row r="847" spans="1:13">
      <c r="A847">
        <v>845</v>
      </c>
      <c r="B847" t="s">
        <v>270</v>
      </c>
      <c r="C847" t="s">
        <v>78</v>
      </c>
      <c r="D847" t="s">
        <v>79</v>
      </c>
      <c r="E847" t="s">
        <v>105</v>
      </c>
      <c r="F847">
        <v>1024</v>
      </c>
      <c r="G847">
        <f>MAX(I843,I846)</f>
        <v>1326147</v>
      </c>
      <c r="H847">
        <f>CEILING((dram_access_latency+F847/dram_bandwidth)*frequency,1)</f>
        <v>116</v>
      </c>
      <c r="I847">
        <f>G847+H847</f>
        <v>1326263</v>
      </c>
      <c r="J847">
        <f>IF(AND(D847&lt;&gt;"dram",D847&lt;&gt;"control"),H847,0)</f>
        <v>0</v>
      </c>
      <c r="K847">
        <f>IF(D847="dram",H847,0)</f>
        <v>116</v>
      </c>
      <c r="L847">
        <v>1024</v>
      </c>
      <c r="M847">
        <v>0</v>
      </c>
    </row>
    <row r="848" spans="1:13">
      <c r="A848">
        <v>846</v>
      </c>
      <c r="B848" t="s">
        <v>271</v>
      </c>
      <c r="C848" t="s">
        <v>78</v>
      </c>
      <c r="D848" t="s">
        <v>79</v>
      </c>
      <c r="E848" t="s">
        <v>105</v>
      </c>
      <c r="F848">
        <v>384</v>
      </c>
      <c r="G848">
        <f>MAX(I843,I847)</f>
        <v>1326263</v>
      </c>
      <c r="H848">
        <f>CEILING((dram_access_latency+F848/dram_bandwidth)*frequency,1)</f>
        <v>106</v>
      </c>
      <c r="I848">
        <f>G848+H848</f>
        <v>1326369</v>
      </c>
      <c r="J848">
        <f>IF(AND(D848&lt;&gt;"dram",D848&lt;&gt;"control"),H848,0)</f>
        <v>0</v>
      </c>
      <c r="K848">
        <f>IF(D848="dram",H848,0)</f>
        <v>106</v>
      </c>
      <c r="L848">
        <v>384</v>
      </c>
      <c r="M848">
        <v>0</v>
      </c>
    </row>
    <row r="849" spans="1:13">
      <c r="A849">
        <v>847</v>
      </c>
      <c r="B849" t="s">
        <v>272</v>
      </c>
      <c r="C849" t="s">
        <v>78</v>
      </c>
      <c r="D849" t="s">
        <v>79</v>
      </c>
      <c r="E849" t="s">
        <v>105</v>
      </c>
      <c r="F849">
        <v>8</v>
      </c>
      <c r="G849">
        <f>MAX(I843,I848)</f>
        <v>1326369</v>
      </c>
      <c r="H849">
        <f>CEILING((dram_access_latency+F849/dram_bandwidth)*frequency,1)</f>
        <v>101</v>
      </c>
      <c r="I849">
        <f>G849+H849</f>
        <v>1326470</v>
      </c>
      <c r="J849">
        <f>IF(AND(D849&lt;&gt;"dram",D849&lt;&gt;"control"),H849,0)</f>
        <v>0</v>
      </c>
      <c r="K849">
        <f>IF(D849="dram",H849,0)</f>
        <v>101</v>
      </c>
      <c r="L849">
        <v>8</v>
      </c>
      <c r="M849">
        <v>0</v>
      </c>
    </row>
    <row r="850" spans="1:13">
      <c r="A850">
        <v>848</v>
      </c>
      <c r="B850" t="s">
        <v>273</v>
      </c>
      <c r="C850" t="s">
        <v>78</v>
      </c>
      <c r="D850" t="s">
        <v>79</v>
      </c>
      <c r="E850" t="s">
        <v>105</v>
      </c>
      <c r="F850">
        <v>256</v>
      </c>
      <c r="G850">
        <f>MAX(I843,I849)</f>
        <v>1326470</v>
      </c>
      <c r="H850">
        <f>CEILING((dram_access_latency+F850/dram_bandwidth)*frequency,1)</f>
        <v>104</v>
      </c>
      <c r="I850">
        <f>G850+H850</f>
        <v>1326574</v>
      </c>
      <c r="J850">
        <f>IF(AND(D850&lt;&gt;"dram",D850&lt;&gt;"control"),H850,0)</f>
        <v>0</v>
      </c>
      <c r="K850">
        <f>IF(D850="dram",H850,0)</f>
        <v>104</v>
      </c>
      <c r="L850">
        <v>256</v>
      </c>
      <c r="M850">
        <v>0</v>
      </c>
    </row>
    <row r="851" spans="1:13">
      <c r="A851">
        <v>849</v>
      </c>
      <c r="B851" t="s">
        <v>48</v>
      </c>
      <c r="C851" t="s">
        <v>85</v>
      </c>
      <c r="D851" t="s">
        <v>17</v>
      </c>
      <c r="E851" t="s">
        <v>105</v>
      </c>
      <c r="F851">
        <v>0</v>
      </c>
      <c r="G851">
        <f>MAX(I842,I846,I847,I848,I849,I850,I844,I845)</f>
        <v>1326574</v>
      </c>
      <c r="H851">
        <f>'Operations'!I19</f>
        <v>1024</v>
      </c>
      <c r="I851">
        <f>G851+H851</f>
        <v>1327598</v>
      </c>
      <c r="J851">
        <f>IF(AND(D851&lt;&gt;"dram",D851&lt;&gt;"control"),H851,0)</f>
        <v>1024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274</v>
      </c>
      <c r="C852" t="s">
        <v>82</v>
      </c>
      <c r="D852" t="s">
        <v>83</v>
      </c>
      <c r="E852" t="s">
        <v>105</v>
      </c>
      <c r="F852">
        <v>0</v>
      </c>
      <c r="G852">
        <f>MAX(I843,I842)</f>
        <v>1324694</v>
      </c>
      <c r="H852">
        <f>0</f>
        <v>1452</v>
      </c>
      <c r="I852">
        <f>G852+H852</f>
        <v>1326146</v>
      </c>
      <c r="J852">
        <f>IF(AND(D852&lt;&gt;"dram",D852&lt;&gt;"control"),H852,0)</f>
        <v>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275</v>
      </c>
      <c r="C853" t="s">
        <v>87</v>
      </c>
      <c r="D853" t="s">
        <v>79</v>
      </c>
      <c r="E853" t="s">
        <v>105</v>
      </c>
      <c r="F853">
        <v>2</v>
      </c>
      <c r="G853">
        <f>MAX(I852,I850)</f>
        <v>1326574</v>
      </c>
      <c r="H853">
        <f>CEILING((dram_access_latency+F853/dram_bandwidth)*frequency,1)</f>
        <v>101</v>
      </c>
      <c r="I853">
        <f>G853+H853</f>
        <v>1326675</v>
      </c>
      <c r="J853">
        <f>IF(AND(D853&lt;&gt;"dram",D853&lt;&gt;"control"),H853,0)</f>
        <v>0</v>
      </c>
      <c r="K853">
        <f>IF(D853="dram",H853,0)</f>
        <v>101</v>
      </c>
      <c r="L853">
        <v>0</v>
      </c>
      <c r="M853">
        <v>2</v>
      </c>
    </row>
    <row r="854" spans="1:13">
      <c r="A854">
        <v>852</v>
      </c>
      <c r="B854" t="s">
        <v>276</v>
      </c>
      <c r="C854" t="s">
        <v>87</v>
      </c>
      <c r="D854" t="s">
        <v>79</v>
      </c>
      <c r="E854" t="s">
        <v>105</v>
      </c>
      <c r="F854">
        <v>64</v>
      </c>
      <c r="G854">
        <f>MAX(I852,I853)</f>
        <v>1326675</v>
      </c>
      <c r="H854">
        <f>CEILING((dram_access_latency+F854/dram_bandwidth)*frequency,1)</f>
        <v>101</v>
      </c>
      <c r="I854">
        <f>G854+H854</f>
        <v>1326776</v>
      </c>
      <c r="J854">
        <f>IF(AND(D854&lt;&gt;"dram",D854&lt;&gt;"control"),H854,0)</f>
        <v>0</v>
      </c>
      <c r="K854">
        <f>IF(D854="dram",H854,0)</f>
        <v>101</v>
      </c>
      <c r="L854">
        <v>0</v>
      </c>
      <c r="M854">
        <v>64</v>
      </c>
    </row>
    <row r="855" spans="1:13">
      <c r="A855">
        <v>853</v>
      </c>
      <c r="B855" t="s">
        <v>269</v>
      </c>
      <c r="C855" t="s">
        <v>78</v>
      </c>
      <c r="D855" t="s">
        <v>79</v>
      </c>
      <c r="E855" t="s">
        <v>183</v>
      </c>
      <c r="F855">
        <v>49152</v>
      </c>
      <c r="G855">
        <f>MAX(I852,I854)</f>
        <v>1326776</v>
      </c>
      <c r="H855">
        <f>CEILING((dram_access_latency+F855/dram_bandwidth)*frequency,1)</f>
        <v>823</v>
      </c>
      <c r="I855">
        <f>G855+H855</f>
        <v>1327599</v>
      </c>
      <c r="J855">
        <f>IF(AND(D855&lt;&gt;"dram",D855&lt;&gt;"control"),H855,0)</f>
        <v>0</v>
      </c>
      <c r="K855">
        <f>IF(D855="dram",H855,0)</f>
        <v>823</v>
      </c>
      <c r="L855">
        <v>49152</v>
      </c>
      <c r="M855">
        <v>0</v>
      </c>
    </row>
    <row r="856" spans="1:13">
      <c r="A856">
        <v>854</v>
      </c>
      <c r="B856" t="s">
        <v>270</v>
      </c>
      <c r="C856" t="s">
        <v>78</v>
      </c>
      <c r="D856" t="s">
        <v>79</v>
      </c>
      <c r="E856" t="s">
        <v>183</v>
      </c>
      <c r="F856">
        <v>1024</v>
      </c>
      <c r="G856">
        <f>MAX(I852,I855)</f>
        <v>1327599</v>
      </c>
      <c r="H856">
        <f>CEILING((dram_access_latency+F856/dram_bandwidth)*frequency,1)</f>
        <v>116</v>
      </c>
      <c r="I856">
        <f>G856+H856</f>
        <v>1327715</v>
      </c>
      <c r="J856">
        <f>IF(AND(D856&lt;&gt;"dram",D856&lt;&gt;"control"),H856,0)</f>
        <v>0</v>
      </c>
      <c r="K856">
        <f>IF(D856="dram",H856,0)</f>
        <v>116</v>
      </c>
      <c r="L856">
        <v>1024</v>
      </c>
      <c r="M856">
        <v>0</v>
      </c>
    </row>
    <row r="857" spans="1:13">
      <c r="A857">
        <v>855</v>
      </c>
      <c r="B857" t="s">
        <v>271</v>
      </c>
      <c r="C857" t="s">
        <v>78</v>
      </c>
      <c r="D857" t="s">
        <v>79</v>
      </c>
      <c r="E857" t="s">
        <v>183</v>
      </c>
      <c r="F857">
        <v>384</v>
      </c>
      <c r="G857">
        <f>MAX(I852,I856)</f>
        <v>1327715</v>
      </c>
      <c r="H857">
        <f>CEILING((dram_access_latency+F857/dram_bandwidth)*frequency,1)</f>
        <v>106</v>
      </c>
      <c r="I857">
        <f>G857+H857</f>
        <v>1327821</v>
      </c>
      <c r="J857">
        <f>IF(AND(D857&lt;&gt;"dram",D857&lt;&gt;"control"),H857,0)</f>
        <v>0</v>
      </c>
      <c r="K857">
        <f>IF(D857="dram",H857,0)</f>
        <v>106</v>
      </c>
      <c r="L857">
        <v>384</v>
      </c>
      <c r="M857">
        <v>0</v>
      </c>
    </row>
    <row r="858" spans="1:13">
      <c r="A858">
        <v>856</v>
      </c>
      <c r="B858" t="s">
        <v>272</v>
      </c>
      <c r="C858" t="s">
        <v>78</v>
      </c>
      <c r="D858" t="s">
        <v>79</v>
      </c>
      <c r="E858" t="s">
        <v>183</v>
      </c>
      <c r="F858">
        <v>8</v>
      </c>
      <c r="G858">
        <f>MAX(I852,I857)</f>
        <v>1327821</v>
      </c>
      <c r="H858">
        <f>CEILING((dram_access_latency+F858/dram_bandwidth)*frequency,1)</f>
        <v>101</v>
      </c>
      <c r="I858">
        <f>G858+H858</f>
        <v>1327922</v>
      </c>
      <c r="J858">
        <f>IF(AND(D858&lt;&gt;"dram",D858&lt;&gt;"control"),H858,0)</f>
        <v>0</v>
      </c>
      <c r="K858">
        <f>IF(D858="dram",H858,0)</f>
        <v>101</v>
      </c>
      <c r="L858">
        <v>8</v>
      </c>
      <c r="M858">
        <v>0</v>
      </c>
    </row>
    <row r="859" spans="1:13">
      <c r="A859">
        <v>857</v>
      </c>
      <c r="B859" t="s">
        <v>273</v>
      </c>
      <c r="C859" t="s">
        <v>78</v>
      </c>
      <c r="D859" t="s">
        <v>79</v>
      </c>
      <c r="E859" t="s">
        <v>183</v>
      </c>
      <c r="F859">
        <v>256</v>
      </c>
      <c r="G859">
        <f>MAX(I852,I858)</f>
        <v>1327922</v>
      </c>
      <c r="H859">
        <f>CEILING((dram_access_latency+F859/dram_bandwidth)*frequency,1)</f>
        <v>104</v>
      </c>
      <c r="I859">
        <f>G859+H859</f>
        <v>1328026</v>
      </c>
      <c r="J859">
        <f>IF(AND(D859&lt;&gt;"dram",D859&lt;&gt;"control"),H859,0)</f>
        <v>0</v>
      </c>
      <c r="K859">
        <f>IF(D859="dram",H859,0)</f>
        <v>104</v>
      </c>
      <c r="L859">
        <v>256</v>
      </c>
      <c r="M859">
        <v>0</v>
      </c>
    </row>
    <row r="860" spans="1:13">
      <c r="A860">
        <v>858</v>
      </c>
      <c r="B860" t="s">
        <v>48</v>
      </c>
      <c r="C860" t="s">
        <v>85</v>
      </c>
      <c r="D860" t="s">
        <v>17</v>
      </c>
      <c r="E860" t="s">
        <v>183</v>
      </c>
      <c r="F860">
        <v>0</v>
      </c>
      <c r="G860">
        <f>MAX(I851,I855,I856,I857,I858,I859,I853,I854)</f>
        <v>1328026</v>
      </c>
      <c r="H860">
        <f>'Operations'!I19</f>
        <v>1024</v>
      </c>
      <c r="I860">
        <f>G860+H860</f>
        <v>1329050</v>
      </c>
      <c r="J860">
        <f>IF(AND(D860&lt;&gt;"dram",D860&lt;&gt;"control"),H860,0)</f>
        <v>1024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274</v>
      </c>
      <c r="C861" t="s">
        <v>82</v>
      </c>
      <c r="D861" t="s">
        <v>83</v>
      </c>
      <c r="E861" t="s">
        <v>183</v>
      </c>
      <c r="F861">
        <v>0</v>
      </c>
      <c r="G861">
        <f>MAX(I852,I851)</f>
        <v>1326146</v>
      </c>
      <c r="H861">
        <f>0</f>
        <v>1452</v>
      </c>
      <c r="I861">
        <f>G861+H861</f>
        <v>1327598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275</v>
      </c>
      <c r="C862" t="s">
        <v>87</v>
      </c>
      <c r="D862" t="s">
        <v>79</v>
      </c>
      <c r="E862" t="s">
        <v>183</v>
      </c>
      <c r="F862">
        <v>2</v>
      </c>
      <c r="G862">
        <f>MAX(I861,I859)</f>
        <v>1328026</v>
      </c>
      <c r="H862">
        <f>CEILING((dram_access_latency+F862/dram_bandwidth)*frequency,1)</f>
        <v>101</v>
      </c>
      <c r="I862">
        <f>G862+H862</f>
        <v>1328127</v>
      </c>
      <c r="J862">
        <f>IF(AND(D862&lt;&gt;"dram",D862&lt;&gt;"control"),H862,0)</f>
        <v>0</v>
      </c>
      <c r="K862">
        <f>IF(D862="dram",H862,0)</f>
        <v>101</v>
      </c>
      <c r="L862">
        <v>0</v>
      </c>
      <c r="M862">
        <v>2</v>
      </c>
    </row>
    <row r="863" spans="1:13">
      <c r="A863">
        <v>861</v>
      </c>
      <c r="B863" t="s">
        <v>276</v>
      </c>
      <c r="C863" t="s">
        <v>87</v>
      </c>
      <c r="D863" t="s">
        <v>79</v>
      </c>
      <c r="E863" t="s">
        <v>183</v>
      </c>
      <c r="F863">
        <v>64</v>
      </c>
      <c r="G863">
        <f>MAX(I861,I862)</f>
        <v>1328127</v>
      </c>
      <c r="H863">
        <f>CEILING((dram_access_latency+F863/dram_bandwidth)*frequency,1)</f>
        <v>101</v>
      </c>
      <c r="I863">
        <f>G863+H863</f>
        <v>1328228</v>
      </c>
      <c r="J863">
        <f>IF(AND(D863&lt;&gt;"dram",D863&lt;&gt;"control"),H863,0)</f>
        <v>0</v>
      </c>
      <c r="K863">
        <f>IF(D863="dram",H863,0)</f>
        <v>101</v>
      </c>
      <c r="L863">
        <v>0</v>
      </c>
      <c r="M863">
        <v>64</v>
      </c>
    </row>
    <row r="864" spans="1:13">
      <c r="A864">
        <v>862</v>
      </c>
      <c r="B864" t="s">
        <v>269</v>
      </c>
      <c r="C864" t="s">
        <v>78</v>
      </c>
      <c r="D864" t="s">
        <v>79</v>
      </c>
      <c r="E864" t="s">
        <v>184</v>
      </c>
      <c r="F864">
        <v>49152</v>
      </c>
      <c r="G864">
        <f>MAX(I861,I863)</f>
        <v>1328228</v>
      </c>
      <c r="H864">
        <f>CEILING((dram_access_latency+F864/dram_bandwidth)*frequency,1)</f>
        <v>823</v>
      </c>
      <c r="I864">
        <f>G864+H864</f>
        <v>1329051</v>
      </c>
      <c r="J864">
        <f>IF(AND(D864&lt;&gt;"dram",D864&lt;&gt;"control"),H864,0)</f>
        <v>0</v>
      </c>
      <c r="K864">
        <f>IF(D864="dram",H864,0)</f>
        <v>823</v>
      </c>
      <c r="L864">
        <v>49152</v>
      </c>
      <c r="M864">
        <v>0</v>
      </c>
    </row>
    <row r="865" spans="1:13">
      <c r="A865">
        <v>863</v>
      </c>
      <c r="B865" t="s">
        <v>270</v>
      </c>
      <c r="C865" t="s">
        <v>78</v>
      </c>
      <c r="D865" t="s">
        <v>79</v>
      </c>
      <c r="E865" t="s">
        <v>184</v>
      </c>
      <c r="F865">
        <v>1024</v>
      </c>
      <c r="G865">
        <f>MAX(I861,I864)</f>
        <v>1329051</v>
      </c>
      <c r="H865">
        <f>CEILING((dram_access_latency+F865/dram_bandwidth)*frequency,1)</f>
        <v>116</v>
      </c>
      <c r="I865">
        <f>G865+H865</f>
        <v>1329167</v>
      </c>
      <c r="J865">
        <f>IF(AND(D865&lt;&gt;"dram",D865&lt;&gt;"control"),H865,0)</f>
        <v>0</v>
      </c>
      <c r="K865">
        <f>IF(D865="dram",H865,0)</f>
        <v>116</v>
      </c>
      <c r="L865">
        <v>1024</v>
      </c>
      <c r="M865">
        <v>0</v>
      </c>
    </row>
    <row r="866" spans="1:13">
      <c r="A866">
        <v>864</v>
      </c>
      <c r="B866" t="s">
        <v>271</v>
      </c>
      <c r="C866" t="s">
        <v>78</v>
      </c>
      <c r="D866" t="s">
        <v>79</v>
      </c>
      <c r="E866" t="s">
        <v>184</v>
      </c>
      <c r="F866">
        <v>384</v>
      </c>
      <c r="G866">
        <f>MAX(I861,I865)</f>
        <v>1329167</v>
      </c>
      <c r="H866">
        <f>CEILING((dram_access_latency+F866/dram_bandwidth)*frequency,1)</f>
        <v>106</v>
      </c>
      <c r="I866">
        <f>G866+H866</f>
        <v>1329273</v>
      </c>
      <c r="J866">
        <f>IF(AND(D866&lt;&gt;"dram",D866&lt;&gt;"control"),H866,0)</f>
        <v>0</v>
      </c>
      <c r="K866">
        <f>IF(D866="dram",H866,0)</f>
        <v>106</v>
      </c>
      <c r="L866">
        <v>384</v>
      </c>
      <c r="M866">
        <v>0</v>
      </c>
    </row>
    <row r="867" spans="1:13">
      <c r="A867">
        <v>865</v>
      </c>
      <c r="B867" t="s">
        <v>272</v>
      </c>
      <c r="C867" t="s">
        <v>78</v>
      </c>
      <c r="D867" t="s">
        <v>79</v>
      </c>
      <c r="E867" t="s">
        <v>184</v>
      </c>
      <c r="F867">
        <v>8</v>
      </c>
      <c r="G867">
        <f>MAX(I861,I866)</f>
        <v>1329273</v>
      </c>
      <c r="H867">
        <f>CEILING((dram_access_latency+F867/dram_bandwidth)*frequency,1)</f>
        <v>101</v>
      </c>
      <c r="I867">
        <f>G867+H867</f>
        <v>1329374</v>
      </c>
      <c r="J867">
        <f>IF(AND(D867&lt;&gt;"dram",D867&lt;&gt;"control"),H867,0)</f>
        <v>0</v>
      </c>
      <c r="K867">
        <f>IF(D867="dram",H867,0)</f>
        <v>101</v>
      </c>
      <c r="L867">
        <v>8</v>
      </c>
      <c r="M867">
        <v>0</v>
      </c>
    </row>
    <row r="868" spans="1:13">
      <c r="A868">
        <v>866</v>
      </c>
      <c r="B868" t="s">
        <v>273</v>
      </c>
      <c r="C868" t="s">
        <v>78</v>
      </c>
      <c r="D868" t="s">
        <v>79</v>
      </c>
      <c r="E868" t="s">
        <v>184</v>
      </c>
      <c r="F868">
        <v>256</v>
      </c>
      <c r="G868">
        <f>MAX(I861,I867)</f>
        <v>1329374</v>
      </c>
      <c r="H868">
        <f>CEILING((dram_access_latency+F868/dram_bandwidth)*frequency,1)</f>
        <v>104</v>
      </c>
      <c r="I868">
        <f>G868+H868</f>
        <v>1329478</v>
      </c>
      <c r="J868">
        <f>IF(AND(D868&lt;&gt;"dram",D868&lt;&gt;"control"),H868,0)</f>
        <v>0</v>
      </c>
      <c r="K868">
        <f>IF(D868="dram",H868,0)</f>
        <v>104</v>
      </c>
      <c r="L868">
        <v>256</v>
      </c>
      <c r="M868">
        <v>0</v>
      </c>
    </row>
    <row r="869" spans="1:13">
      <c r="A869">
        <v>867</v>
      </c>
      <c r="B869" t="s">
        <v>48</v>
      </c>
      <c r="C869" t="s">
        <v>85</v>
      </c>
      <c r="D869" t="s">
        <v>17</v>
      </c>
      <c r="E869" t="s">
        <v>184</v>
      </c>
      <c r="F869">
        <v>0</v>
      </c>
      <c r="G869">
        <f>MAX(I860,I864,I865,I866,I867,I868,I862,I863)</f>
        <v>1329478</v>
      </c>
      <c r="H869">
        <f>'Operations'!I19</f>
        <v>1024</v>
      </c>
      <c r="I869">
        <f>G869+H869</f>
        <v>1330502</v>
      </c>
      <c r="J869">
        <f>IF(AND(D869&lt;&gt;"dram",D869&lt;&gt;"control"),H869,0)</f>
        <v>1024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274</v>
      </c>
      <c r="C870" t="s">
        <v>82</v>
      </c>
      <c r="D870" t="s">
        <v>83</v>
      </c>
      <c r="E870" t="s">
        <v>184</v>
      </c>
      <c r="F870">
        <v>0</v>
      </c>
      <c r="G870">
        <f>MAX(I861,I860)</f>
        <v>1327598</v>
      </c>
      <c r="H870">
        <f>0</f>
        <v>1452</v>
      </c>
      <c r="I870">
        <f>G870+H870</f>
        <v>1329050</v>
      </c>
      <c r="J870">
        <f>IF(AND(D870&lt;&gt;"dram",D870&lt;&gt;"control"),H870,0)</f>
        <v>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275</v>
      </c>
      <c r="C871" t="s">
        <v>87</v>
      </c>
      <c r="D871" t="s">
        <v>79</v>
      </c>
      <c r="E871" t="s">
        <v>184</v>
      </c>
      <c r="F871">
        <v>2</v>
      </c>
      <c r="G871">
        <f>MAX(I870,I868)</f>
        <v>1329478</v>
      </c>
      <c r="H871">
        <f>CEILING((dram_access_latency+F871/dram_bandwidth)*frequency,1)</f>
        <v>101</v>
      </c>
      <c r="I871">
        <f>G871+H871</f>
        <v>1329579</v>
      </c>
      <c r="J871">
        <f>IF(AND(D871&lt;&gt;"dram",D871&lt;&gt;"control"),H871,0)</f>
        <v>0</v>
      </c>
      <c r="K871">
        <f>IF(D871="dram",H871,0)</f>
        <v>101</v>
      </c>
      <c r="L871">
        <v>0</v>
      </c>
      <c r="M871">
        <v>2</v>
      </c>
    </row>
    <row r="872" spans="1:13">
      <c r="A872">
        <v>870</v>
      </c>
      <c r="B872" t="s">
        <v>276</v>
      </c>
      <c r="C872" t="s">
        <v>87</v>
      </c>
      <c r="D872" t="s">
        <v>79</v>
      </c>
      <c r="E872" t="s">
        <v>184</v>
      </c>
      <c r="F872">
        <v>64</v>
      </c>
      <c r="G872">
        <f>MAX(I870,I871)</f>
        <v>1329579</v>
      </c>
      <c r="H872">
        <f>CEILING((dram_access_latency+F872/dram_bandwidth)*frequency,1)</f>
        <v>101</v>
      </c>
      <c r="I872">
        <f>G872+H872</f>
        <v>1329680</v>
      </c>
      <c r="J872">
        <f>IF(AND(D872&lt;&gt;"dram",D872&lt;&gt;"control"),H872,0)</f>
        <v>0</v>
      </c>
      <c r="K872">
        <f>IF(D872="dram",H872,0)</f>
        <v>101</v>
      </c>
      <c r="L872">
        <v>0</v>
      </c>
      <c r="M872">
        <v>64</v>
      </c>
    </row>
    <row r="873" spans="1:13">
      <c r="A873">
        <v>871</v>
      </c>
      <c r="B873" t="s">
        <v>269</v>
      </c>
      <c r="C873" t="s">
        <v>78</v>
      </c>
      <c r="D873" t="s">
        <v>79</v>
      </c>
      <c r="E873" t="s">
        <v>185</v>
      </c>
      <c r="F873">
        <v>49152</v>
      </c>
      <c r="G873">
        <f>MAX(I870,I872)</f>
        <v>1329680</v>
      </c>
      <c r="H873">
        <f>CEILING((dram_access_latency+F873/dram_bandwidth)*frequency,1)</f>
        <v>823</v>
      </c>
      <c r="I873">
        <f>G873+H873</f>
        <v>1330503</v>
      </c>
      <c r="J873">
        <f>IF(AND(D873&lt;&gt;"dram",D873&lt;&gt;"control"),H873,0)</f>
        <v>0</v>
      </c>
      <c r="K873">
        <f>IF(D873="dram",H873,0)</f>
        <v>823</v>
      </c>
      <c r="L873">
        <v>49152</v>
      </c>
      <c r="M873">
        <v>0</v>
      </c>
    </row>
    <row r="874" spans="1:13">
      <c r="A874">
        <v>872</v>
      </c>
      <c r="B874" t="s">
        <v>270</v>
      </c>
      <c r="C874" t="s">
        <v>78</v>
      </c>
      <c r="D874" t="s">
        <v>79</v>
      </c>
      <c r="E874" t="s">
        <v>185</v>
      </c>
      <c r="F874">
        <v>1024</v>
      </c>
      <c r="G874">
        <f>MAX(I870,I873)</f>
        <v>1330503</v>
      </c>
      <c r="H874">
        <f>CEILING((dram_access_latency+F874/dram_bandwidth)*frequency,1)</f>
        <v>116</v>
      </c>
      <c r="I874">
        <f>G874+H874</f>
        <v>1330619</v>
      </c>
      <c r="J874">
        <f>IF(AND(D874&lt;&gt;"dram",D874&lt;&gt;"control"),H874,0)</f>
        <v>0</v>
      </c>
      <c r="K874">
        <f>IF(D874="dram",H874,0)</f>
        <v>116</v>
      </c>
      <c r="L874">
        <v>1024</v>
      </c>
      <c r="M874">
        <v>0</v>
      </c>
    </row>
    <row r="875" spans="1:13">
      <c r="A875">
        <v>873</v>
      </c>
      <c r="B875" t="s">
        <v>271</v>
      </c>
      <c r="C875" t="s">
        <v>78</v>
      </c>
      <c r="D875" t="s">
        <v>79</v>
      </c>
      <c r="E875" t="s">
        <v>185</v>
      </c>
      <c r="F875">
        <v>384</v>
      </c>
      <c r="G875">
        <f>MAX(I870,I874)</f>
        <v>1330619</v>
      </c>
      <c r="H875">
        <f>CEILING((dram_access_latency+F875/dram_bandwidth)*frequency,1)</f>
        <v>106</v>
      </c>
      <c r="I875">
        <f>G875+H875</f>
        <v>1330725</v>
      </c>
      <c r="J875">
        <f>IF(AND(D875&lt;&gt;"dram",D875&lt;&gt;"control"),H875,0)</f>
        <v>0</v>
      </c>
      <c r="K875">
        <f>IF(D875="dram",H875,0)</f>
        <v>106</v>
      </c>
      <c r="L875">
        <v>384</v>
      </c>
      <c r="M875">
        <v>0</v>
      </c>
    </row>
    <row r="876" spans="1:13">
      <c r="A876">
        <v>874</v>
      </c>
      <c r="B876" t="s">
        <v>272</v>
      </c>
      <c r="C876" t="s">
        <v>78</v>
      </c>
      <c r="D876" t="s">
        <v>79</v>
      </c>
      <c r="E876" t="s">
        <v>185</v>
      </c>
      <c r="F876">
        <v>8</v>
      </c>
      <c r="G876">
        <f>MAX(I870,I875)</f>
        <v>1330725</v>
      </c>
      <c r="H876">
        <f>CEILING((dram_access_latency+F876/dram_bandwidth)*frequency,1)</f>
        <v>101</v>
      </c>
      <c r="I876">
        <f>G876+H876</f>
        <v>1330826</v>
      </c>
      <c r="J876">
        <f>IF(AND(D876&lt;&gt;"dram",D876&lt;&gt;"control"),H876,0)</f>
        <v>0</v>
      </c>
      <c r="K876">
        <f>IF(D876="dram",H876,0)</f>
        <v>101</v>
      </c>
      <c r="L876">
        <v>8</v>
      </c>
      <c r="M876">
        <v>0</v>
      </c>
    </row>
    <row r="877" spans="1:13">
      <c r="A877">
        <v>875</v>
      </c>
      <c r="B877" t="s">
        <v>273</v>
      </c>
      <c r="C877" t="s">
        <v>78</v>
      </c>
      <c r="D877" t="s">
        <v>79</v>
      </c>
      <c r="E877" t="s">
        <v>185</v>
      </c>
      <c r="F877">
        <v>256</v>
      </c>
      <c r="G877">
        <f>MAX(I870,I876)</f>
        <v>1330826</v>
      </c>
      <c r="H877">
        <f>CEILING((dram_access_latency+F877/dram_bandwidth)*frequency,1)</f>
        <v>104</v>
      </c>
      <c r="I877">
        <f>G877+H877</f>
        <v>1330930</v>
      </c>
      <c r="J877">
        <f>IF(AND(D877&lt;&gt;"dram",D877&lt;&gt;"control"),H877,0)</f>
        <v>0</v>
      </c>
      <c r="K877">
        <f>IF(D877="dram",H877,0)</f>
        <v>104</v>
      </c>
      <c r="L877">
        <v>256</v>
      </c>
      <c r="M877">
        <v>0</v>
      </c>
    </row>
    <row r="878" spans="1:13">
      <c r="A878">
        <v>876</v>
      </c>
      <c r="B878" t="s">
        <v>48</v>
      </c>
      <c r="C878" t="s">
        <v>85</v>
      </c>
      <c r="D878" t="s">
        <v>17</v>
      </c>
      <c r="E878" t="s">
        <v>185</v>
      </c>
      <c r="F878">
        <v>0</v>
      </c>
      <c r="G878">
        <f>MAX(I869,I873,I874,I875,I876,I877,I871,I872)</f>
        <v>1330930</v>
      </c>
      <c r="H878">
        <f>'Operations'!I19</f>
        <v>1024</v>
      </c>
      <c r="I878">
        <f>G878+H878</f>
        <v>1331954</v>
      </c>
      <c r="J878">
        <f>IF(AND(D878&lt;&gt;"dram",D878&lt;&gt;"control"),H878,0)</f>
        <v>1024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274</v>
      </c>
      <c r="C879" t="s">
        <v>82</v>
      </c>
      <c r="D879" t="s">
        <v>83</v>
      </c>
      <c r="E879" t="s">
        <v>185</v>
      </c>
      <c r="F879">
        <v>0</v>
      </c>
      <c r="G879">
        <f>MAX(I870,I869)</f>
        <v>1329050</v>
      </c>
      <c r="H879">
        <f>0</f>
        <v>1452</v>
      </c>
      <c r="I879">
        <f>G879+H879</f>
        <v>1330502</v>
      </c>
      <c r="J879">
        <f>IF(AND(D879&lt;&gt;"dram",D879&lt;&gt;"control"),H879,0)</f>
        <v>0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275</v>
      </c>
      <c r="C880" t="s">
        <v>87</v>
      </c>
      <c r="D880" t="s">
        <v>79</v>
      </c>
      <c r="E880" t="s">
        <v>185</v>
      </c>
      <c r="F880">
        <v>2</v>
      </c>
      <c r="G880">
        <f>MAX(I879,I877)</f>
        <v>1330930</v>
      </c>
      <c r="H880">
        <f>CEILING((dram_access_latency+F880/dram_bandwidth)*frequency,1)</f>
        <v>101</v>
      </c>
      <c r="I880">
        <f>G880+H880</f>
        <v>1331031</v>
      </c>
      <c r="J880">
        <f>IF(AND(D880&lt;&gt;"dram",D880&lt;&gt;"control"),H880,0)</f>
        <v>0</v>
      </c>
      <c r="K880">
        <f>IF(D880="dram",H880,0)</f>
        <v>101</v>
      </c>
      <c r="L880">
        <v>0</v>
      </c>
      <c r="M880">
        <v>2</v>
      </c>
    </row>
    <row r="881" spans="1:13">
      <c r="A881">
        <v>879</v>
      </c>
      <c r="B881" t="s">
        <v>276</v>
      </c>
      <c r="C881" t="s">
        <v>87</v>
      </c>
      <c r="D881" t="s">
        <v>79</v>
      </c>
      <c r="E881" t="s">
        <v>185</v>
      </c>
      <c r="F881">
        <v>64</v>
      </c>
      <c r="G881">
        <f>MAX(I879,I880)</f>
        <v>1331031</v>
      </c>
      <c r="H881">
        <f>CEILING((dram_access_latency+F881/dram_bandwidth)*frequency,1)</f>
        <v>101</v>
      </c>
      <c r="I881">
        <f>G881+H881</f>
        <v>1331132</v>
      </c>
      <c r="J881">
        <f>IF(AND(D881&lt;&gt;"dram",D881&lt;&gt;"control"),H881,0)</f>
        <v>0</v>
      </c>
      <c r="K881">
        <f>IF(D881="dram",H881,0)</f>
        <v>101</v>
      </c>
      <c r="L881">
        <v>0</v>
      </c>
      <c r="M881">
        <v>64</v>
      </c>
    </row>
    <row r="882" spans="1:13">
      <c r="A882">
        <v>880</v>
      </c>
      <c r="B882" t="s">
        <v>269</v>
      </c>
      <c r="C882" t="s">
        <v>78</v>
      </c>
      <c r="D882" t="s">
        <v>79</v>
      </c>
      <c r="E882" t="s">
        <v>186</v>
      </c>
      <c r="F882">
        <v>49152</v>
      </c>
      <c r="G882">
        <f>MAX(I879,I881)</f>
        <v>1331132</v>
      </c>
      <c r="H882">
        <f>CEILING((dram_access_latency+F882/dram_bandwidth)*frequency,1)</f>
        <v>823</v>
      </c>
      <c r="I882">
        <f>G882+H882</f>
        <v>1331955</v>
      </c>
      <c r="J882">
        <f>IF(AND(D882&lt;&gt;"dram",D882&lt;&gt;"control"),H882,0)</f>
        <v>0</v>
      </c>
      <c r="K882">
        <f>IF(D882="dram",H882,0)</f>
        <v>823</v>
      </c>
      <c r="L882">
        <v>49152</v>
      </c>
      <c r="M882">
        <v>0</v>
      </c>
    </row>
    <row r="883" spans="1:13">
      <c r="A883">
        <v>881</v>
      </c>
      <c r="B883" t="s">
        <v>270</v>
      </c>
      <c r="C883" t="s">
        <v>78</v>
      </c>
      <c r="D883" t="s">
        <v>79</v>
      </c>
      <c r="E883" t="s">
        <v>186</v>
      </c>
      <c r="F883">
        <v>1024</v>
      </c>
      <c r="G883">
        <f>MAX(I879,I882)</f>
        <v>1331955</v>
      </c>
      <c r="H883">
        <f>CEILING((dram_access_latency+F883/dram_bandwidth)*frequency,1)</f>
        <v>116</v>
      </c>
      <c r="I883">
        <f>G883+H883</f>
        <v>1332071</v>
      </c>
      <c r="J883">
        <f>IF(AND(D883&lt;&gt;"dram",D883&lt;&gt;"control"),H883,0)</f>
        <v>0</v>
      </c>
      <c r="K883">
        <f>IF(D883="dram",H883,0)</f>
        <v>116</v>
      </c>
      <c r="L883">
        <v>1024</v>
      </c>
      <c r="M883">
        <v>0</v>
      </c>
    </row>
    <row r="884" spans="1:13">
      <c r="A884">
        <v>882</v>
      </c>
      <c r="B884" t="s">
        <v>271</v>
      </c>
      <c r="C884" t="s">
        <v>78</v>
      </c>
      <c r="D884" t="s">
        <v>79</v>
      </c>
      <c r="E884" t="s">
        <v>186</v>
      </c>
      <c r="F884">
        <v>384</v>
      </c>
      <c r="G884">
        <f>MAX(I879,I883)</f>
        <v>1332071</v>
      </c>
      <c r="H884">
        <f>CEILING((dram_access_latency+F884/dram_bandwidth)*frequency,1)</f>
        <v>106</v>
      </c>
      <c r="I884">
        <f>G884+H884</f>
        <v>1332177</v>
      </c>
      <c r="J884">
        <f>IF(AND(D884&lt;&gt;"dram",D884&lt;&gt;"control"),H884,0)</f>
        <v>0</v>
      </c>
      <c r="K884">
        <f>IF(D884="dram",H884,0)</f>
        <v>106</v>
      </c>
      <c r="L884">
        <v>384</v>
      </c>
      <c r="M884">
        <v>0</v>
      </c>
    </row>
    <row r="885" spans="1:13">
      <c r="A885">
        <v>883</v>
      </c>
      <c r="B885" t="s">
        <v>272</v>
      </c>
      <c r="C885" t="s">
        <v>78</v>
      </c>
      <c r="D885" t="s">
        <v>79</v>
      </c>
      <c r="E885" t="s">
        <v>186</v>
      </c>
      <c r="F885">
        <v>8</v>
      </c>
      <c r="G885">
        <f>MAX(I879,I884)</f>
        <v>1332177</v>
      </c>
      <c r="H885">
        <f>CEILING((dram_access_latency+F885/dram_bandwidth)*frequency,1)</f>
        <v>101</v>
      </c>
      <c r="I885">
        <f>G885+H885</f>
        <v>1332278</v>
      </c>
      <c r="J885">
        <f>IF(AND(D885&lt;&gt;"dram",D885&lt;&gt;"control"),H885,0)</f>
        <v>0</v>
      </c>
      <c r="K885">
        <f>IF(D885="dram",H885,0)</f>
        <v>101</v>
      </c>
      <c r="L885">
        <v>8</v>
      </c>
      <c r="M885">
        <v>0</v>
      </c>
    </row>
    <row r="886" spans="1:13">
      <c r="A886">
        <v>884</v>
      </c>
      <c r="B886" t="s">
        <v>273</v>
      </c>
      <c r="C886" t="s">
        <v>78</v>
      </c>
      <c r="D886" t="s">
        <v>79</v>
      </c>
      <c r="E886" t="s">
        <v>186</v>
      </c>
      <c r="F886">
        <v>256</v>
      </c>
      <c r="G886">
        <f>MAX(I879,I885)</f>
        <v>1332278</v>
      </c>
      <c r="H886">
        <f>CEILING((dram_access_latency+F886/dram_bandwidth)*frequency,1)</f>
        <v>104</v>
      </c>
      <c r="I886">
        <f>G886+H886</f>
        <v>1332382</v>
      </c>
      <c r="J886">
        <f>IF(AND(D886&lt;&gt;"dram",D886&lt;&gt;"control"),H886,0)</f>
        <v>0</v>
      </c>
      <c r="K886">
        <f>IF(D886="dram",H886,0)</f>
        <v>104</v>
      </c>
      <c r="L886">
        <v>256</v>
      </c>
      <c r="M886">
        <v>0</v>
      </c>
    </row>
    <row r="887" spans="1:13">
      <c r="A887">
        <v>885</v>
      </c>
      <c r="B887" t="s">
        <v>48</v>
      </c>
      <c r="C887" t="s">
        <v>85</v>
      </c>
      <c r="D887" t="s">
        <v>17</v>
      </c>
      <c r="E887" t="s">
        <v>186</v>
      </c>
      <c r="F887">
        <v>0</v>
      </c>
      <c r="G887">
        <f>MAX(I878,I882,I883,I884,I885,I886,I880,I881)</f>
        <v>1332382</v>
      </c>
      <c r="H887">
        <f>'Operations'!I19</f>
        <v>1024</v>
      </c>
      <c r="I887">
        <f>G887+H887</f>
        <v>1333406</v>
      </c>
      <c r="J887">
        <f>IF(AND(D887&lt;&gt;"dram",D887&lt;&gt;"control"),H887,0)</f>
        <v>1024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274</v>
      </c>
      <c r="C888" t="s">
        <v>82</v>
      </c>
      <c r="D888" t="s">
        <v>83</v>
      </c>
      <c r="E888" t="s">
        <v>186</v>
      </c>
      <c r="F888">
        <v>0</v>
      </c>
      <c r="G888">
        <f>MAX(I879,I878)</f>
        <v>1330502</v>
      </c>
      <c r="H888">
        <f>0</f>
        <v>1452</v>
      </c>
      <c r="I888">
        <f>G888+H888</f>
        <v>1331954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275</v>
      </c>
      <c r="C889" t="s">
        <v>87</v>
      </c>
      <c r="D889" t="s">
        <v>79</v>
      </c>
      <c r="E889" t="s">
        <v>186</v>
      </c>
      <c r="F889">
        <v>2</v>
      </c>
      <c r="G889">
        <f>MAX(I888,I886)</f>
        <v>1332382</v>
      </c>
      <c r="H889">
        <f>CEILING((dram_access_latency+F889/dram_bandwidth)*frequency,1)</f>
        <v>101</v>
      </c>
      <c r="I889">
        <f>G889+H889</f>
        <v>1332483</v>
      </c>
      <c r="J889">
        <f>IF(AND(D889&lt;&gt;"dram",D889&lt;&gt;"control"),H889,0)</f>
        <v>0</v>
      </c>
      <c r="K889">
        <f>IF(D889="dram",H889,0)</f>
        <v>101</v>
      </c>
      <c r="L889">
        <v>0</v>
      </c>
      <c r="M889">
        <v>2</v>
      </c>
    </row>
    <row r="890" spans="1:13">
      <c r="A890">
        <v>888</v>
      </c>
      <c r="B890" t="s">
        <v>276</v>
      </c>
      <c r="C890" t="s">
        <v>87</v>
      </c>
      <c r="D890" t="s">
        <v>79</v>
      </c>
      <c r="E890" t="s">
        <v>186</v>
      </c>
      <c r="F890">
        <v>64</v>
      </c>
      <c r="G890">
        <f>MAX(I888,I889)</f>
        <v>1332483</v>
      </c>
      <c r="H890">
        <f>CEILING((dram_access_latency+F890/dram_bandwidth)*frequency,1)</f>
        <v>101</v>
      </c>
      <c r="I890">
        <f>G890+H890</f>
        <v>1332584</v>
      </c>
      <c r="J890">
        <f>IF(AND(D890&lt;&gt;"dram",D890&lt;&gt;"control"),H890,0)</f>
        <v>0</v>
      </c>
      <c r="K890">
        <f>IF(D890="dram",H890,0)</f>
        <v>101</v>
      </c>
      <c r="L890">
        <v>0</v>
      </c>
      <c r="M890">
        <v>64</v>
      </c>
    </row>
    <row r="891" spans="1:13">
      <c r="A891">
        <v>889</v>
      </c>
      <c r="B891" t="s">
        <v>269</v>
      </c>
      <c r="C891" t="s">
        <v>78</v>
      </c>
      <c r="D891" t="s">
        <v>79</v>
      </c>
      <c r="E891" t="s">
        <v>187</v>
      </c>
      <c r="F891">
        <v>49152</v>
      </c>
      <c r="G891">
        <f>MAX(I888,I890)</f>
        <v>1332584</v>
      </c>
      <c r="H891">
        <f>CEILING((dram_access_latency+F891/dram_bandwidth)*frequency,1)</f>
        <v>823</v>
      </c>
      <c r="I891">
        <f>G891+H891</f>
        <v>1333407</v>
      </c>
      <c r="J891">
        <f>IF(AND(D891&lt;&gt;"dram",D891&lt;&gt;"control"),H891,0)</f>
        <v>0</v>
      </c>
      <c r="K891">
        <f>IF(D891="dram",H891,0)</f>
        <v>823</v>
      </c>
      <c r="L891">
        <v>49152</v>
      </c>
      <c r="M891">
        <v>0</v>
      </c>
    </row>
    <row r="892" spans="1:13">
      <c r="A892">
        <v>890</v>
      </c>
      <c r="B892" t="s">
        <v>270</v>
      </c>
      <c r="C892" t="s">
        <v>78</v>
      </c>
      <c r="D892" t="s">
        <v>79</v>
      </c>
      <c r="E892" t="s">
        <v>187</v>
      </c>
      <c r="F892">
        <v>1024</v>
      </c>
      <c r="G892">
        <f>MAX(I888,I891)</f>
        <v>1333407</v>
      </c>
      <c r="H892">
        <f>CEILING((dram_access_latency+F892/dram_bandwidth)*frequency,1)</f>
        <v>116</v>
      </c>
      <c r="I892">
        <f>G892+H892</f>
        <v>1333523</v>
      </c>
      <c r="J892">
        <f>IF(AND(D892&lt;&gt;"dram",D892&lt;&gt;"control"),H892,0)</f>
        <v>0</v>
      </c>
      <c r="K892">
        <f>IF(D892="dram",H892,0)</f>
        <v>116</v>
      </c>
      <c r="L892">
        <v>1024</v>
      </c>
      <c r="M892">
        <v>0</v>
      </c>
    </row>
    <row r="893" spans="1:13">
      <c r="A893">
        <v>891</v>
      </c>
      <c r="B893" t="s">
        <v>271</v>
      </c>
      <c r="C893" t="s">
        <v>78</v>
      </c>
      <c r="D893" t="s">
        <v>79</v>
      </c>
      <c r="E893" t="s">
        <v>187</v>
      </c>
      <c r="F893">
        <v>384</v>
      </c>
      <c r="G893">
        <f>MAX(I888,I892)</f>
        <v>1333523</v>
      </c>
      <c r="H893">
        <f>CEILING((dram_access_latency+F893/dram_bandwidth)*frequency,1)</f>
        <v>106</v>
      </c>
      <c r="I893">
        <f>G893+H893</f>
        <v>1333629</v>
      </c>
      <c r="J893">
        <f>IF(AND(D893&lt;&gt;"dram",D893&lt;&gt;"control"),H893,0)</f>
        <v>0</v>
      </c>
      <c r="K893">
        <f>IF(D893="dram",H893,0)</f>
        <v>106</v>
      </c>
      <c r="L893">
        <v>384</v>
      </c>
      <c r="M893">
        <v>0</v>
      </c>
    </row>
    <row r="894" spans="1:13">
      <c r="A894">
        <v>892</v>
      </c>
      <c r="B894" t="s">
        <v>272</v>
      </c>
      <c r="C894" t="s">
        <v>78</v>
      </c>
      <c r="D894" t="s">
        <v>79</v>
      </c>
      <c r="E894" t="s">
        <v>187</v>
      </c>
      <c r="F894">
        <v>8</v>
      </c>
      <c r="G894">
        <f>MAX(I888,I893)</f>
        <v>1333629</v>
      </c>
      <c r="H894">
        <f>CEILING((dram_access_latency+F894/dram_bandwidth)*frequency,1)</f>
        <v>101</v>
      </c>
      <c r="I894">
        <f>G894+H894</f>
        <v>1333730</v>
      </c>
      <c r="J894">
        <f>IF(AND(D894&lt;&gt;"dram",D894&lt;&gt;"control"),H894,0)</f>
        <v>0</v>
      </c>
      <c r="K894">
        <f>IF(D894="dram",H894,0)</f>
        <v>101</v>
      </c>
      <c r="L894">
        <v>8</v>
      </c>
      <c r="M894">
        <v>0</v>
      </c>
    </row>
    <row r="895" spans="1:13">
      <c r="A895">
        <v>893</v>
      </c>
      <c r="B895" t="s">
        <v>273</v>
      </c>
      <c r="C895" t="s">
        <v>78</v>
      </c>
      <c r="D895" t="s">
        <v>79</v>
      </c>
      <c r="E895" t="s">
        <v>187</v>
      </c>
      <c r="F895">
        <v>256</v>
      </c>
      <c r="G895">
        <f>MAX(I888,I894)</f>
        <v>1333730</v>
      </c>
      <c r="H895">
        <f>CEILING((dram_access_latency+F895/dram_bandwidth)*frequency,1)</f>
        <v>104</v>
      </c>
      <c r="I895">
        <f>G895+H895</f>
        <v>1333834</v>
      </c>
      <c r="J895">
        <f>IF(AND(D895&lt;&gt;"dram",D895&lt;&gt;"control"),H895,0)</f>
        <v>0</v>
      </c>
      <c r="K895">
        <f>IF(D895="dram",H895,0)</f>
        <v>104</v>
      </c>
      <c r="L895">
        <v>256</v>
      </c>
      <c r="M895">
        <v>0</v>
      </c>
    </row>
    <row r="896" spans="1:13">
      <c r="A896">
        <v>894</v>
      </c>
      <c r="B896" t="s">
        <v>48</v>
      </c>
      <c r="C896" t="s">
        <v>85</v>
      </c>
      <c r="D896" t="s">
        <v>17</v>
      </c>
      <c r="E896" t="s">
        <v>187</v>
      </c>
      <c r="F896">
        <v>0</v>
      </c>
      <c r="G896">
        <f>MAX(I887,I891,I892,I893,I894,I895,I889,I890)</f>
        <v>1333834</v>
      </c>
      <c r="H896">
        <f>'Operations'!I19</f>
        <v>1024</v>
      </c>
      <c r="I896">
        <f>G896+H896</f>
        <v>1334858</v>
      </c>
      <c r="J896">
        <f>IF(AND(D896&lt;&gt;"dram",D896&lt;&gt;"control"),H896,0)</f>
        <v>1024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274</v>
      </c>
      <c r="C897" t="s">
        <v>82</v>
      </c>
      <c r="D897" t="s">
        <v>83</v>
      </c>
      <c r="E897" t="s">
        <v>187</v>
      </c>
      <c r="F897">
        <v>0</v>
      </c>
      <c r="G897">
        <f>MAX(I888,I887)</f>
        <v>1331954</v>
      </c>
      <c r="H897">
        <f>0</f>
        <v>1452</v>
      </c>
      <c r="I897">
        <f>G897+H897</f>
        <v>1333406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275</v>
      </c>
      <c r="C898" t="s">
        <v>87</v>
      </c>
      <c r="D898" t="s">
        <v>79</v>
      </c>
      <c r="E898" t="s">
        <v>187</v>
      </c>
      <c r="F898">
        <v>2</v>
      </c>
      <c r="G898">
        <f>MAX(I897,I895)</f>
        <v>1333834</v>
      </c>
      <c r="H898">
        <f>CEILING((dram_access_latency+F898/dram_bandwidth)*frequency,1)</f>
        <v>101</v>
      </c>
      <c r="I898">
        <f>G898+H898</f>
        <v>1333935</v>
      </c>
      <c r="J898">
        <f>IF(AND(D898&lt;&gt;"dram",D898&lt;&gt;"control"),H898,0)</f>
        <v>0</v>
      </c>
      <c r="K898">
        <f>IF(D898="dram",H898,0)</f>
        <v>101</v>
      </c>
      <c r="L898">
        <v>0</v>
      </c>
      <c r="M898">
        <v>2</v>
      </c>
    </row>
    <row r="899" spans="1:13">
      <c r="A899">
        <v>897</v>
      </c>
      <c r="B899" t="s">
        <v>276</v>
      </c>
      <c r="C899" t="s">
        <v>87</v>
      </c>
      <c r="D899" t="s">
        <v>79</v>
      </c>
      <c r="E899" t="s">
        <v>187</v>
      </c>
      <c r="F899">
        <v>64</v>
      </c>
      <c r="G899">
        <f>MAX(I897,I898)</f>
        <v>1333935</v>
      </c>
      <c r="H899">
        <f>CEILING((dram_access_latency+F899/dram_bandwidth)*frequency,1)</f>
        <v>101</v>
      </c>
      <c r="I899">
        <f>G899+H899</f>
        <v>1334036</v>
      </c>
      <c r="J899">
        <f>IF(AND(D899&lt;&gt;"dram",D899&lt;&gt;"control"),H899,0)</f>
        <v>0</v>
      </c>
      <c r="K899">
        <f>IF(D899="dram",H899,0)</f>
        <v>101</v>
      </c>
      <c r="L899">
        <v>0</v>
      </c>
      <c r="M899">
        <v>64</v>
      </c>
    </row>
    <row r="900" spans="1:13">
      <c r="A900">
        <v>898</v>
      </c>
      <c r="B900" t="s">
        <v>269</v>
      </c>
      <c r="C900" t="s">
        <v>78</v>
      </c>
      <c r="D900" t="s">
        <v>79</v>
      </c>
      <c r="E900" t="s">
        <v>188</v>
      </c>
      <c r="F900">
        <v>49152</v>
      </c>
      <c r="G900">
        <f>MAX(I897,I899)</f>
        <v>1334036</v>
      </c>
      <c r="H900">
        <f>CEILING((dram_access_latency+F900/dram_bandwidth)*frequency,1)</f>
        <v>823</v>
      </c>
      <c r="I900">
        <f>G900+H900</f>
        <v>1334859</v>
      </c>
      <c r="J900">
        <f>IF(AND(D900&lt;&gt;"dram",D900&lt;&gt;"control"),H900,0)</f>
        <v>0</v>
      </c>
      <c r="K900">
        <f>IF(D900="dram",H900,0)</f>
        <v>823</v>
      </c>
      <c r="L900">
        <v>49152</v>
      </c>
      <c r="M900">
        <v>0</v>
      </c>
    </row>
    <row r="901" spans="1:13">
      <c r="A901">
        <v>899</v>
      </c>
      <c r="B901" t="s">
        <v>270</v>
      </c>
      <c r="C901" t="s">
        <v>78</v>
      </c>
      <c r="D901" t="s">
        <v>79</v>
      </c>
      <c r="E901" t="s">
        <v>188</v>
      </c>
      <c r="F901">
        <v>1024</v>
      </c>
      <c r="G901">
        <f>MAX(I897,I900)</f>
        <v>1334859</v>
      </c>
      <c r="H901">
        <f>CEILING((dram_access_latency+F901/dram_bandwidth)*frequency,1)</f>
        <v>116</v>
      </c>
      <c r="I901">
        <f>G901+H901</f>
        <v>1334975</v>
      </c>
      <c r="J901">
        <f>IF(AND(D901&lt;&gt;"dram",D901&lt;&gt;"control"),H901,0)</f>
        <v>0</v>
      </c>
      <c r="K901">
        <f>IF(D901="dram",H901,0)</f>
        <v>116</v>
      </c>
      <c r="L901">
        <v>1024</v>
      </c>
      <c r="M901">
        <v>0</v>
      </c>
    </row>
    <row r="902" spans="1:13">
      <c r="A902">
        <v>900</v>
      </c>
      <c r="B902" t="s">
        <v>271</v>
      </c>
      <c r="C902" t="s">
        <v>78</v>
      </c>
      <c r="D902" t="s">
        <v>79</v>
      </c>
      <c r="E902" t="s">
        <v>188</v>
      </c>
      <c r="F902">
        <v>384</v>
      </c>
      <c r="G902">
        <f>MAX(I897,I901)</f>
        <v>1334975</v>
      </c>
      <c r="H902">
        <f>CEILING((dram_access_latency+F902/dram_bandwidth)*frequency,1)</f>
        <v>106</v>
      </c>
      <c r="I902">
        <f>G902+H902</f>
        <v>1335081</v>
      </c>
      <c r="J902">
        <f>IF(AND(D902&lt;&gt;"dram",D902&lt;&gt;"control"),H902,0)</f>
        <v>0</v>
      </c>
      <c r="K902">
        <f>IF(D902="dram",H902,0)</f>
        <v>106</v>
      </c>
      <c r="L902">
        <v>384</v>
      </c>
      <c r="M902">
        <v>0</v>
      </c>
    </row>
    <row r="903" spans="1:13">
      <c r="A903">
        <v>901</v>
      </c>
      <c r="B903" t="s">
        <v>272</v>
      </c>
      <c r="C903" t="s">
        <v>78</v>
      </c>
      <c r="D903" t="s">
        <v>79</v>
      </c>
      <c r="E903" t="s">
        <v>188</v>
      </c>
      <c r="F903">
        <v>8</v>
      </c>
      <c r="G903">
        <f>MAX(I897,I902)</f>
        <v>1335081</v>
      </c>
      <c r="H903">
        <f>CEILING((dram_access_latency+F903/dram_bandwidth)*frequency,1)</f>
        <v>101</v>
      </c>
      <c r="I903">
        <f>G903+H903</f>
        <v>1335182</v>
      </c>
      <c r="J903">
        <f>IF(AND(D903&lt;&gt;"dram",D903&lt;&gt;"control"),H903,0)</f>
        <v>0</v>
      </c>
      <c r="K903">
        <f>IF(D903="dram",H903,0)</f>
        <v>101</v>
      </c>
      <c r="L903">
        <v>8</v>
      </c>
      <c r="M903">
        <v>0</v>
      </c>
    </row>
    <row r="904" spans="1:13">
      <c r="A904">
        <v>902</v>
      </c>
      <c r="B904" t="s">
        <v>273</v>
      </c>
      <c r="C904" t="s">
        <v>78</v>
      </c>
      <c r="D904" t="s">
        <v>79</v>
      </c>
      <c r="E904" t="s">
        <v>188</v>
      </c>
      <c r="F904">
        <v>256</v>
      </c>
      <c r="G904">
        <f>MAX(I897,I903)</f>
        <v>1335182</v>
      </c>
      <c r="H904">
        <f>CEILING((dram_access_latency+F904/dram_bandwidth)*frequency,1)</f>
        <v>104</v>
      </c>
      <c r="I904">
        <f>G904+H904</f>
        <v>1335286</v>
      </c>
      <c r="J904">
        <f>IF(AND(D904&lt;&gt;"dram",D904&lt;&gt;"control"),H904,0)</f>
        <v>0</v>
      </c>
      <c r="K904">
        <f>IF(D904="dram",H904,0)</f>
        <v>104</v>
      </c>
      <c r="L904">
        <v>256</v>
      </c>
      <c r="M904">
        <v>0</v>
      </c>
    </row>
    <row r="905" spans="1:13">
      <c r="A905">
        <v>903</v>
      </c>
      <c r="B905" t="s">
        <v>48</v>
      </c>
      <c r="C905" t="s">
        <v>85</v>
      </c>
      <c r="D905" t="s">
        <v>17</v>
      </c>
      <c r="E905" t="s">
        <v>188</v>
      </c>
      <c r="F905">
        <v>0</v>
      </c>
      <c r="G905">
        <f>MAX(I896,I900,I901,I902,I903,I904,I898,I899)</f>
        <v>1335286</v>
      </c>
      <c r="H905">
        <f>'Operations'!I19</f>
        <v>1024</v>
      </c>
      <c r="I905">
        <f>G905+H905</f>
        <v>1336310</v>
      </c>
      <c r="J905">
        <f>IF(AND(D905&lt;&gt;"dram",D905&lt;&gt;"control"),H905,0)</f>
        <v>1024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274</v>
      </c>
      <c r="C906" t="s">
        <v>82</v>
      </c>
      <c r="D906" t="s">
        <v>83</v>
      </c>
      <c r="E906" t="s">
        <v>188</v>
      </c>
      <c r="F906">
        <v>0</v>
      </c>
      <c r="G906">
        <f>MAX(I897,I896)</f>
        <v>1333406</v>
      </c>
      <c r="H906">
        <f>0</f>
        <v>1452</v>
      </c>
      <c r="I906">
        <f>G906+H906</f>
        <v>1334858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275</v>
      </c>
      <c r="C907" t="s">
        <v>87</v>
      </c>
      <c r="D907" t="s">
        <v>79</v>
      </c>
      <c r="E907" t="s">
        <v>188</v>
      </c>
      <c r="F907">
        <v>2</v>
      </c>
      <c r="G907">
        <f>MAX(I906,I904)</f>
        <v>1335286</v>
      </c>
      <c r="H907">
        <f>CEILING((dram_access_latency+F907/dram_bandwidth)*frequency,1)</f>
        <v>101</v>
      </c>
      <c r="I907">
        <f>G907+H907</f>
        <v>1335387</v>
      </c>
      <c r="J907">
        <f>IF(AND(D907&lt;&gt;"dram",D907&lt;&gt;"control"),H907,0)</f>
        <v>0</v>
      </c>
      <c r="K907">
        <f>IF(D907="dram",H907,0)</f>
        <v>101</v>
      </c>
      <c r="L907">
        <v>0</v>
      </c>
      <c r="M907">
        <v>2</v>
      </c>
    </row>
    <row r="908" spans="1:13">
      <c r="A908">
        <v>906</v>
      </c>
      <c r="B908" t="s">
        <v>276</v>
      </c>
      <c r="C908" t="s">
        <v>87</v>
      </c>
      <c r="D908" t="s">
        <v>79</v>
      </c>
      <c r="E908" t="s">
        <v>188</v>
      </c>
      <c r="F908">
        <v>64</v>
      </c>
      <c r="G908">
        <f>MAX(I906,I907)</f>
        <v>1335387</v>
      </c>
      <c r="H908">
        <f>CEILING((dram_access_latency+F908/dram_bandwidth)*frequency,1)</f>
        <v>101</v>
      </c>
      <c r="I908">
        <f>G908+H908</f>
        <v>1335488</v>
      </c>
      <c r="J908">
        <f>IF(AND(D908&lt;&gt;"dram",D908&lt;&gt;"control"),H908,0)</f>
        <v>0</v>
      </c>
      <c r="K908">
        <f>IF(D908="dram",H908,0)</f>
        <v>101</v>
      </c>
      <c r="L908">
        <v>0</v>
      </c>
      <c r="M908">
        <v>64</v>
      </c>
    </row>
    <row r="909" spans="1:13">
      <c r="A909">
        <v>907</v>
      </c>
      <c r="B909" t="s">
        <v>269</v>
      </c>
      <c r="C909" t="s">
        <v>78</v>
      </c>
      <c r="D909" t="s">
        <v>79</v>
      </c>
      <c r="E909" t="s">
        <v>189</v>
      </c>
      <c r="F909">
        <v>49152</v>
      </c>
      <c r="G909">
        <f>MAX(I906,I908)</f>
        <v>1335488</v>
      </c>
      <c r="H909">
        <f>CEILING((dram_access_latency+F909/dram_bandwidth)*frequency,1)</f>
        <v>823</v>
      </c>
      <c r="I909">
        <f>G909+H909</f>
        <v>1336311</v>
      </c>
      <c r="J909">
        <f>IF(AND(D909&lt;&gt;"dram",D909&lt;&gt;"control"),H909,0)</f>
        <v>0</v>
      </c>
      <c r="K909">
        <f>IF(D909="dram",H909,0)</f>
        <v>823</v>
      </c>
      <c r="L909">
        <v>49152</v>
      </c>
      <c r="M909">
        <v>0</v>
      </c>
    </row>
    <row r="910" spans="1:13">
      <c r="A910">
        <v>908</v>
      </c>
      <c r="B910" t="s">
        <v>270</v>
      </c>
      <c r="C910" t="s">
        <v>78</v>
      </c>
      <c r="D910" t="s">
        <v>79</v>
      </c>
      <c r="E910" t="s">
        <v>189</v>
      </c>
      <c r="F910">
        <v>1024</v>
      </c>
      <c r="G910">
        <f>MAX(I906,I909)</f>
        <v>1336311</v>
      </c>
      <c r="H910">
        <f>CEILING((dram_access_latency+F910/dram_bandwidth)*frequency,1)</f>
        <v>116</v>
      </c>
      <c r="I910">
        <f>G910+H910</f>
        <v>1336427</v>
      </c>
      <c r="J910">
        <f>IF(AND(D910&lt;&gt;"dram",D910&lt;&gt;"control"),H910,0)</f>
        <v>0</v>
      </c>
      <c r="K910">
        <f>IF(D910="dram",H910,0)</f>
        <v>116</v>
      </c>
      <c r="L910">
        <v>1024</v>
      </c>
      <c r="M910">
        <v>0</v>
      </c>
    </row>
    <row r="911" spans="1:13">
      <c r="A911">
        <v>909</v>
      </c>
      <c r="B911" t="s">
        <v>271</v>
      </c>
      <c r="C911" t="s">
        <v>78</v>
      </c>
      <c r="D911" t="s">
        <v>79</v>
      </c>
      <c r="E911" t="s">
        <v>189</v>
      </c>
      <c r="F911">
        <v>384</v>
      </c>
      <c r="G911">
        <f>MAX(I906,I910)</f>
        <v>1336427</v>
      </c>
      <c r="H911">
        <f>CEILING((dram_access_latency+F911/dram_bandwidth)*frequency,1)</f>
        <v>106</v>
      </c>
      <c r="I911">
        <f>G911+H911</f>
        <v>1336533</v>
      </c>
      <c r="J911">
        <f>IF(AND(D911&lt;&gt;"dram",D911&lt;&gt;"control"),H911,0)</f>
        <v>0</v>
      </c>
      <c r="K911">
        <f>IF(D911="dram",H911,0)</f>
        <v>106</v>
      </c>
      <c r="L911">
        <v>384</v>
      </c>
      <c r="M911">
        <v>0</v>
      </c>
    </row>
    <row r="912" spans="1:13">
      <c r="A912">
        <v>910</v>
      </c>
      <c r="B912" t="s">
        <v>272</v>
      </c>
      <c r="C912" t="s">
        <v>78</v>
      </c>
      <c r="D912" t="s">
        <v>79</v>
      </c>
      <c r="E912" t="s">
        <v>189</v>
      </c>
      <c r="F912">
        <v>8</v>
      </c>
      <c r="G912">
        <f>MAX(I906,I911)</f>
        <v>1336533</v>
      </c>
      <c r="H912">
        <f>CEILING((dram_access_latency+F912/dram_bandwidth)*frequency,1)</f>
        <v>101</v>
      </c>
      <c r="I912">
        <f>G912+H912</f>
        <v>1336634</v>
      </c>
      <c r="J912">
        <f>IF(AND(D912&lt;&gt;"dram",D912&lt;&gt;"control"),H912,0)</f>
        <v>0</v>
      </c>
      <c r="K912">
        <f>IF(D912="dram",H912,0)</f>
        <v>101</v>
      </c>
      <c r="L912">
        <v>8</v>
      </c>
      <c r="M912">
        <v>0</v>
      </c>
    </row>
    <row r="913" spans="1:13">
      <c r="A913">
        <v>911</v>
      </c>
      <c r="B913" t="s">
        <v>273</v>
      </c>
      <c r="C913" t="s">
        <v>78</v>
      </c>
      <c r="D913" t="s">
        <v>79</v>
      </c>
      <c r="E913" t="s">
        <v>189</v>
      </c>
      <c r="F913">
        <v>256</v>
      </c>
      <c r="G913">
        <f>MAX(I906,I912)</f>
        <v>1336634</v>
      </c>
      <c r="H913">
        <f>CEILING((dram_access_latency+F913/dram_bandwidth)*frequency,1)</f>
        <v>104</v>
      </c>
      <c r="I913">
        <f>G913+H913</f>
        <v>1336738</v>
      </c>
      <c r="J913">
        <f>IF(AND(D913&lt;&gt;"dram",D913&lt;&gt;"control"),H913,0)</f>
        <v>0</v>
      </c>
      <c r="K913">
        <f>IF(D913="dram",H913,0)</f>
        <v>104</v>
      </c>
      <c r="L913">
        <v>256</v>
      </c>
      <c r="M913">
        <v>0</v>
      </c>
    </row>
    <row r="914" spans="1:13">
      <c r="A914">
        <v>912</v>
      </c>
      <c r="B914" t="s">
        <v>48</v>
      </c>
      <c r="C914" t="s">
        <v>85</v>
      </c>
      <c r="D914" t="s">
        <v>17</v>
      </c>
      <c r="E914" t="s">
        <v>189</v>
      </c>
      <c r="F914">
        <v>0</v>
      </c>
      <c r="G914">
        <f>MAX(I905,I909,I910,I911,I912,I913,I907,I908)</f>
        <v>1336738</v>
      </c>
      <c r="H914">
        <f>'Operations'!I19</f>
        <v>1024</v>
      </c>
      <c r="I914">
        <f>G914+H914</f>
        <v>1337762</v>
      </c>
      <c r="J914">
        <f>IF(AND(D914&lt;&gt;"dram",D914&lt;&gt;"control"),H914,0)</f>
        <v>1024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274</v>
      </c>
      <c r="C915" t="s">
        <v>82</v>
      </c>
      <c r="D915" t="s">
        <v>83</v>
      </c>
      <c r="E915" t="s">
        <v>189</v>
      </c>
      <c r="F915">
        <v>0</v>
      </c>
      <c r="G915">
        <f>MAX(I906,I905)</f>
        <v>1334858</v>
      </c>
      <c r="H915">
        <f>0</f>
        <v>1452</v>
      </c>
      <c r="I915">
        <f>G915+H915</f>
        <v>1336310</v>
      </c>
      <c r="J915">
        <f>IF(AND(D915&lt;&gt;"dram",D915&lt;&gt;"control"),H915,0)</f>
        <v>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275</v>
      </c>
      <c r="C916" t="s">
        <v>87</v>
      </c>
      <c r="D916" t="s">
        <v>79</v>
      </c>
      <c r="E916" t="s">
        <v>189</v>
      </c>
      <c r="F916">
        <v>2</v>
      </c>
      <c r="G916">
        <f>MAX(I915,I913)</f>
        <v>1336738</v>
      </c>
      <c r="H916">
        <f>CEILING((dram_access_latency+F916/dram_bandwidth)*frequency,1)</f>
        <v>101</v>
      </c>
      <c r="I916">
        <f>G916+H916</f>
        <v>1336839</v>
      </c>
      <c r="J916">
        <f>IF(AND(D916&lt;&gt;"dram",D916&lt;&gt;"control"),H916,0)</f>
        <v>0</v>
      </c>
      <c r="K916">
        <f>IF(D916="dram",H916,0)</f>
        <v>101</v>
      </c>
      <c r="L916">
        <v>0</v>
      </c>
      <c r="M916">
        <v>2</v>
      </c>
    </row>
    <row r="917" spans="1:13">
      <c r="A917">
        <v>915</v>
      </c>
      <c r="B917" t="s">
        <v>276</v>
      </c>
      <c r="C917" t="s">
        <v>87</v>
      </c>
      <c r="D917" t="s">
        <v>79</v>
      </c>
      <c r="E917" t="s">
        <v>189</v>
      </c>
      <c r="F917">
        <v>64</v>
      </c>
      <c r="G917">
        <f>MAX(I915,I916)</f>
        <v>1336839</v>
      </c>
      <c r="H917">
        <f>CEILING((dram_access_latency+F917/dram_bandwidth)*frequency,1)</f>
        <v>101</v>
      </c>
      <c r="I917">
        <f>G917+H917</f>
        <v>1336940</v>
      </c>
      <c r="J917">
        <f>IF(AND(D917&lt;&gt;"dram",D917&lt;&gt;"control"),H917,0)</f>
        <v>0</v>
      </c>
      <c r="K917">
        <f>IF(D917="dram",H917,0)</f>
        <v>101</v>
      </c>
      <c r="L917">
        <v>0</v>
      </c>
      <c r="M917">
        <v>64</v>
      </c>
    </row>
    <row r="918" spans="1:13">
      <c r="A918">
        <v>916</v>
      </c>
      <c r="B918" t="s">
        <v>269</v>
      </c>
      <c r="C918" t="s">
        <v>78</v>
      </c>
      <c r="D918" t="s">
        <v>79</v>
      </c>
      <c r="E918" t="s">
        <v>190</v>
      </c>
      <c r="F918">
        <v>49152</v>
      </c>
      <c r="G918">
        <f>MAX(I915,I917)</f>
        <v>1336940</v>
      </c>
      <c r="H918">
        <f>CEILING((dram_access_latency+F918/dram_bandwidth)*frequency,1)</f>
        <v>823</v>
      </c>
      <c r="I918">
        <f>G918+H918</f>
        <v>1337763</v>
      </c>
      <c r="J918">
        <f>IF(AND(D918&lt;&gt;"dram",D918&lt;&gt;"control"),H918,0)</f>
        <v>0</v>
      </c>
      <c r="K918">
        <f>IF(D918="dram",H918,0)</f>
        <v>823</v>
      </c>
      <c r="L918">
        <v>49152</v>
      </c>
      <c r="M918">
        <v>0</v>
      </c>
    </row>
    <row r="919" spans="1:13">
      <c r="A919">
        <v>917</v>
      </c>
      <c r="B919" t="s">
        <v>270</v>
      </c>
      <c r="C919" t="s">
        <v>78</v>
      </c>
      <c r="D919" t="s">
        <v>79</v>
      </c>
      <c r="E919" t="s">
        <v>190</v>
      </c>
      <c r="F919">
        <v>1024</v>
      </c>
      <c r="G919">
        <f>MAX(I915,I918)</f>
        <v>1337763</v>
      </c>
      <c r="H919">
        <f>CEILING((dram_access_latency+F919/dram_bandwidth)*frequency,1)</f>
        <v>116</v>
      </c>
      <c r="I919">
        <f>G919+H919</f>
        <v>1337879</v>
      </c>
      <c r="J919">
        <f>IF(AND(D919&lt;&gt;"dram",D919&lt;&gt;"control"),H919,0)</f>
        <v>0</v>
      </c>
      <c r="K919">
        <f>IF(D919="dram",H919,0)</f>
        <v>116</v>
      </c>
      <c r="L919">
        <v>1024</v>
      </c>
      <c r="M919">
        <v>0</v>
      </c>
    </row>
    <row r="920" spans="1:13">
      <c r="A920">
        <v>918</v>
      </c>
      <c r="B920" t="s">
        <v>271</v>
      </c>
      <c r="C920" t="s">
        <v>78</v>
      </c>
      <c r="D920" t="s">
        <v>79</v>
      </c>
      <c r="E920" t="s">
        <v>190</v>
      </c>
      <c r="F920">
        <v>384</v>
      </c>
      <c r="G920">
        <f>MAX(I915,I919)</f>
        <v>1337879</v>
      </c>
      <c r="H920">
        <f>CEILING((dram_access_latency+F920/dram_bandwidth)*frequency,1)</f>
        <v>106</v>
      </c>
      <c r="I920">
        <f>G920+H920</f>
        <v>1337985</v>
      </c>
      <c r="J920">
        <f>IF(AND(D920&lt;&gt;"dram",D920&lt;&gt;"control"),H920,0)</f>
        <v>0</v>
      </c>
      <c r="K920">
        <f>IF(D920="dram",H920,0)</f>
        <v>106</v>
      </c>
      <c r="L920">
        <v>384</v>
      </c>
      <c r="M920">
        <v>0</v>
      </c>
    </row>
    <row r="921" spans="1:13">
      <c r="A921">
        <v>919</v>
      </c>
      <c r="B921" t="s">
        <v>272</v>
      </c>
      <c r="C921" t="s">
        <v>78</v>
      </c>
      <c r="D921" t="s">
        <v>79</v>
      </c>
      <c r="E921" t="s">
        <v>190</v>
      </c>
      <c r="F921">
        <v>8</v>
      </c>
      <c r="G921">
        <f>MAX(I915,I920)</f>
        <v>1337985</v>
      </c>
      <c r="H921">
        <f>CEILING((dram_access_latency+F921/dram_bandwidth)*frequency,1)</f>
        <v>101</v>
      </c>
      <c r="I921">
        <f>G921+H921</f>
        <v>1338086</v>
      </c>
      <c r="J921">
        <f>IF(AND(D921&lt;&gt;"dram",D921&lt;&gt;"control"),H921,0)</f>
        <v>0</v>
      </c>
      <c r="K921">
        <f>IF(D921="dram",H921,0)</f>
        <v>101</v>
      </c>
      <c r="L921">
        <v>8</v>
      </c>
      <c r="M921">
        <v>0</v>
      </c>
    </row>
    <row r="922" spans="1:13">
      <c r="A922">
        <v>920</v>
      </c>
      <c r="B922" t="s">
        <v>273</v>
      </c>
      <c r="C922" t="s">
        <v>78</v>
      </c>
      <c r="D922" t="s">
        <v>79</v>
      </c>
      <c r="E922" t="s">
        <v>190</v>
      </c>
      <c r="F922">
        <v>256</v>
      </c>
      <c r="G922">
        <f>MAX(I915,I921)</f>
        <v>1338086</v>
      </c>
      <c r="H922">
        <f>CEILING((dram_access_latency+F922/dram_bandwidth)*frequency,1)</f>
        <v>104</v>
      </c>
      <c r="I922">
        <f>G922+H922</f>
        <v>1338190</v>
      </c>
      <c r="J922">
        <f>IF(AND(D922&lt;&gt;"dram",D922&lt;&gt;"control"),H922,0)</f>
        <v>0</v>
      </c>
      <c r="K922">
        <f>IF(D922="dram",H922,0)</f>
        <v>104</v>
      </c>
      <c r="L922">
        <v>256</v>
      </c>
      <c r="M922">
        <v>0</v>
      </c>
    </row>
    <row r="923" spans="1:13">
      <c r="A923">
        <v>921</v>
      </c>
      <c r="B923" t="s">
        <v>48</v>
      </c>
      <c r="C923" t="s">
        <v>85</v>
      </c>
      <c r="D923" t="s">
        <v>17</v>
      </c>
      <c r="E923" t="s">
        <v>190</v>
      </c>
      <c r="F923">
        <v>0</v>
      </c>
      <c r="G923">
        <f>MAX(I914,I918,I919,I920,I921,I922,I916,I917)</f>
        <v>1338190</v>
      </c>
      <c r="H923">
        <f>'Operations'!I19</f>
        <v>1024</v>
      </c>
      <c r="I923">
        <f>G923+H923</f>
        <v>1339214</v>
      </c>
      <c r="J923">
        <f>IF(AND(D923&lt;&gt;"dram",D923&lt;&gt;"control"),H923,0)</f>
        <v>1024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274</v>
      </c>
      <c r="C924" t="s">
        <v>82</v>
      </c>
      <c r="D924" t="s">
        <v>83</v>
      </c>
      <c r="E924" t="s">
        <v>190</v>
      </c>
      <c r="F924">
        <v>0</v>
      </c>
      <c r="G924">
        <f>MAX(I915,I914)</f>
        <v>1336310</v>
      </c>
      <c r="H924">
        <f>0</f>
        <v>1452</v>
      </c>
      <c r="I924">
        <f>G924+H924</f>
        <v>1337762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275</v>
      </c>
      <c r="C925" t="s">
        <v>87</v>
      </c>
      <c r="D925" t="s">
        <v>79</v>
      </c>
      <c r="E925" t="s">
        <v>190</v>
      </c>
      <c r="F925">
        <v>2</v>
      </c>
      <c r="G925">
        <f>MAX(I924,I922)</f>
        <v>1338190</v>
      </c>
      <c r="H925">
        <f>CEILING((dram_access_latency+F925/dram_bandwidth)*frequency,1)</f>
        <v>101</v>
      </c>
      <c r="I925">
        <f>G925+H925</f>
        <v>1338291</v>
      </c>
      <c r="J925">
        <f>IF(AND(D925&lt;&gt;"dram",D925&lt;&gt;"control"),H925,0)</f>
        <v>0</v>
      </c>
      <c r="K925">
        <f>IF(D925="dram",H925,0)</f>
        <v>101</v>
      </c>
      <c r="L925">
        <v>0</v>
      </c>
      <c r="M925">
        <v>2</v>
      </c>
    </row>
    <row r="926" spans="1:13">
      <c r="A926">
        <v>924</v>
      </c>
      <c r="B926" t="s">
        <v>276</v>
      </c>
      <c r="C926" t="s">
        <v>87</v>
      </c>
      <c r="D926" t="s">
        <v>79</v>
      </c>
      <c r="E926" t="s">
        <v>190</v>
      </c>
      <c r="F926">
        <v>64</v>
      </c>
      <c r="G926">
        <f>MAX(I924,I925)</f>
        <v>1338291</v>
      </c>
      <c r="H926">
        <f>CEILING((dram_access_latency+F926/dram_bandwidth)*frequency,1)</f>
        <v>101</v>
      </c>
      <c r="I926">
        <f>G926+H926</f>
        <v>1338392</v>
      </c>
      <c r="J926">
        <f>IF(AND(D926&lt;&gt;"dram",D926&lt;&gt;"control"),H926,0)</f>
        <v>0</v>
      </c>
      <c r="K926">
        <f>IF(D926="dram",H926,0)</f>
        <v>101</v>
      </c>
      <c r="L926">
        <v>0</v>
      </c>
      <c r="M926">
        <v>64</v>
      </c>
    </row>
    <row r="927" spans="1:13">
      <c r="A927">
        <v>925</v>
      </c>
      <c r="B927" t="s">
        <v>269</v>
      </c>
      <c r="C927" t="s">
        <v>78</v>
      </c>
      <c r="D927" t="s">
        <v>79</v>
      </c>
      <c r="E927" t="s">
        <v>191</v>
      </c>
      <c r="F927">
        <v>49152</v>
      </c>
      <c r="G927">
        <f>MAX(I924,I926)</f>
        <v>1338392</v>
      </c>
      <c r="H927">
        <f>CEILING((dram_access_latency+F927/dram_bandwidth)*frequency,1)</f>
        <v>823</v>
      </c>
      <c r="I927">
        <f>G927+H927</f>
        <v>1339215</v>
      </c>
      <c r="J927">
        <f>IF(AND(D927&lt;&gt;"dram",D927&lt;&gt;"control"),H927,0)</f>
        <v>0</v>
      </c>
      <c r="K927">
        <f>IF(D927="dram",H927,0)</f>
        <v>823</v>
      </c>
      <c r="L927">
        <v>49152</v>
      </c>
      <c r="M927">
        <v>0</v>
      </c>
    </row>
    <row r="928" spans="1:13">
      <c r="A928">
        <v>926</v>
      </c>
      <c r="B928" t="s">
        <v>270</v>
      </c>
      <c r="C928" t="s">
        <v>78</v>
      </c>
      <c r="D928" t="s">
        <v>79</v>
      </c>
      <c r="E928" t="s">
        <v>191</v>
      </c>
      <c r="F928">
        <v>1024</v>
      </c>
      <c r="G928">
        <f>MAX(I924,I927)</f>
        <v>1339215</v>
      </c>
      <c r="H928">
        <f>CEILING((dram_access_latency+F928/dram_bandwidth)*frequency,1)</f>
        <v>116</v>
      </c>
      <c r="I928">
        <f>G928+H928</f>
        <v>1339331</v>
      </c>
      <c r="J928">
        <f>IF(AND(D928&lt;&gt;"dram",D928&lt;&gt;"control"),H928,0)</f>
        <v>0</v>
      </c>
      <c r="K928">
        <f>IF(D928="dram",H928,0)</f>
        <v>116</v>
      </c>
      <c r="L928">
        <v>1024</v>
      </c>
      <c r="M928">
        <v>0</v>
      </c>
    </row>
    <row r="929" spans="1:13">
      <c r="A929">
        <v>927</v>
      </c>
      <c r="B929" t="s">
        <v>271</v>
      </c>
      <c r="C929" t="s">
        <v>78</v>
      </c>
      <c r="D929" t="s">
        <v>79</v>
      </c>
      <c r="E929" t="s">
        <v>191</v>
      </c>
      <c r="F929">
        <v>384</v>
      </c>
      <c r="G929">
        <f>MAX(I924,I928)</f>
        <v>1339331</v>
      </c>
      <c r="H929">
        <f>CEILING((dram_access_latency+F929/dram_bandwidth)*frequency,1)</f>
        <v>106</v>
      </c>
      <c r="I929">
        <f>G929+H929</f>
        <v>1339437</v>
      </c>
      <c r="J929">
        <f>IF(AND(D929&lt;&gt;"dram",D929&lt;&gt;"control"),H929,0)</f>
        <v>0</v>
      </c>
      <c r="K929">
        <f>IF(D929="dram",H929,0)</f>
        <v>106</v>
      </c>
      <c r="L929">
        <v>384</v>
      </c>
      <c r="M929">
        <v>0</v>
      </c>
    </row>
    <row r="930" spans="1:13">
      <c r="A930">
        <v>928</v>
      </c>
      <c r="B930" t="s">
        <v>272</v>
      </c>
      <c r="C930" t="s">
        <v>78</v>
      </c>
      <c r="D930" t="s">
        <v>79</v>
      </c>
      <c r="E930" t="s">
        <v>191</v>
      </c>
      <c r="F930">
        <v>8</v>
      </c>
      <c r="G930">
        <f>MAX(I924,I929)</f>
        <v>1339437</v>
      </c>
      <c r="H930">
        <f>CEILING((dram_access_latency+F930/dram_bandwidth)*frequency,1)</f>
        <v>101</v>
      </c>
      <c r="I930">
        <f>G930+H930</f>
        <v>1339538</v>
      </c>
      <c r="J930">
        <f>IF(AND(D930&lt;&gt;"dram",D930&lt;&gt;"control"),H930,0)</f>
        <v>0</v>
      </c>
      <c r="K930">
        <f>IF(D930="dram",H930,0)</f>
        <v>101</v>
      </c>
      <c r="L930">
        <v>8</v>
      </c>
      <c r="M930">
        <v>0</v>
      </c>
    </row>
    <row r="931" spans="1:13">
      <c r="A931">
        <v>929</v>
      </c>
      <c r="B931" t="s">
        <v>273</v>
      </c>
      <c r="C931" t="s">
        <v>78</v>
      </c>
      <c r="D931" t="s">
        <v>79</v>
      </c>
      <c r="E931" t="s">
        <v>191</v>
      </c>
      <c r="F931">
        <v>256</v>
      </c>
      <c r="G931">
        <f>MAX(I924,I930)</f>
        <v>1339538</v>
      </c>
      <c r="H931">
        <f>CEILING((dram_access_latency+F931/dram_bandwidth)*frequency,1)</f>
        <v>104</v>
      </c>
      <c r="I931">
        <f>G931+H931</f>
        <v>1339642</v>
      </c>
      <c r="J931">
        <f>IF(AND(D931&lt;&gt;"dram",D931&lt;&gt;"control"),H931,0)</f>
        <v>0</v>
      </c>
      <c r="K931">
        <f>IF(D931="dram",H931,0)</f>
        <v>104</v>
      </c>
      <c r="L931">
        <v>256</v>
      </c>
      <c r="M931">
        <v>0</v>
      </c>
    </row>
    <row r="932" spans="1:13">
      <c r="A932">
        <v>930</v>
      </c>
      <c r="B932" t="s">
        <v>48</v>
      </c>
      <c r="C932" t="s">
        <v>85</v>
      </c>
      <c r="D932" t="s">
        <v>17</v>
      </c>
      <c r="E932" t="s">
        <v>191</v>
      </c>
      <c r="F932">
        <v>0</v>
      </c>
      <c r="G932">
        <f>MAX(I923,I927,I928,I929,I930,I931,I925,I926)</f>
        <v>1339642</v>
      </c>
      <c r="H932">
        <f>'Operations'!I19</f>
        <v>1024</v>
      </c>
      <c r="I932">
        <f>G932+H932</f>
        <v>1340666</v>
      </c>
      <c r="J932">
        <f>IF(AND(D932&lt;&gt;"dram",D932&lt;&gt;"control"),H932,0)</f>
        <v>1024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274</v>
      </c>
      <c r="C933" t="s">
        <v>82</v>
      </c>
      <c r="D933" t="s">
        <v>83</v>
      </c>
      <c r="E933" t="s">
        <v>191</v>
      </c>
      <c r="F933">
        <v>0</v>
      </c>
      <c r="G933">
        <f>MAX(I924,I923)</f>
        <v>1337762</v>
      </c>
      <c r="H933">
        <f>0</f>
        <v>1452</v>
      </c>
      <c r="I933">
        <f>G933+H933</f>
        <v>1339214</v>
      </c>
      <c r="J933">
        <f>IF(AND(D933&lt;&gt;"dram",D933&lt;&gt;"control"),H933,0)</f>
        <v>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275</v>
      </c>
      <c r="C934" t="s">
        <v>87</v>
      </c>
      <c r="D934" t="s">
        <v>79</v>
      </c>
      <c r="E934" t="s">
        <v>191</v>
      </c>
      <c r="F934">
        <v>2</v>
      </c>
      <c r="G934">
        <f>MAX(I933,I931)</f>
        <v>1339642</v>
      </c>
      <c r="H934">
        <f>CEILING((dram_access_latency+F934/dram_bandwidth)*frequency,1)</f>
        <v>101</v>
      </c>
      <c r="I934">
        <f>G934+H934</f>
        <v>1339743</v>
      </c>
      <c r="J934">
        <f>IF(AND(D934&lt;&gt;"dram",D934&lt;&gt;"control"),H934,0)</f>
        <v>0</v>
      </c>
      <c r="K934">
        <f>IF(D934="dram",H934,0)</f>
        <v>101</v>
      </c>
      <c r="L934">
        <v>0</v>
      </c>
      <c r="M934">
        <v>2</v>
      </c>
    </row>
    <row r="935" spans="1:13">
      <c r="A935">
        <v>933</v>
      </c>
      <c r="B935" t="s">
        <v>276</v>
      </c>
      <c r="C935" t="s">
        <v>87</v>
      </c>
      <c r="D935" t="s">
        <v>79</v>
      </c>
      <c r="E935" t="s">
        <v>191</v>
      </c>
      <c r="F935">
        <v>64</v>
      </c>
      <c r="G935">
        <f>MAX(I933,I934)</f>
        <v>1339743</v>
      </c>
      <c r="H935">
        <f>CEILING((dram_access_latency+F935/dram_bandwidth)*frequency,1)</f>
        <v>101</v>
      </c>
      <c r="I935">
        <f>G935+H935</f>
        <v>1339844</v>
      </c>
      <c r="J935">
        <f>IF(AND(D935&lt;&gt;"dram",D935&lt;&gt;"control"),H935,0)</f>
        <v>0</v>
      </c>
      <c r="K935">
        <f>IF(D935="dram",H935,0)</f>
        <v>101</v>
      </c>
      <c r="L935">
        <v>0</v>
      </c>
      <c r="M935">
        <v>64</v>
      </c>
    </row>
    <row r="936" spans="1:13">
      <c r="A936">
        <v>934</v>
      </c>
      <c r="B936" t="s">
        <v>269</v>
      </c>
      <c r="C936" t="s">
        <v>78</v>
      </c>
      <c r="D936" t="s">
        <v>79</v>
      </c>
      <c r="E936" t="s">
        <v>192</v>
      </c>
      <c r="F936">
        <v>49152</v>
      </c>
      <c r="G936">
        <f>MAX(I933,I935)</f>
        <v>1339844</v>
      </c>
      <c r="H936">
        <f>CEILING((dram_access_latency+F936/dram_bandwidth)*frequency,1)</f>
        <v>823</v>
      </c>
      <c r="I936">
        <f>G936+H936</f>
        <v>1340667</v>
      </c>
      <c r="J936">
        <f>IF(AND(D936&lt;&gt;"dram",D936&lt;&gt;"control"),H936,0)</f>
        <v>0</v>
      </c>
      <c r="K936">
        <f>IF(D936="dram",H936,0)</f>
        <v>823</v>
      </c>
      <c r="L936">
        <v>49152</v>
      </c>
      <c r="M936">
        <v>0</v>
      </c>
    </row>
    <row r="937" spans="1:13">
      <c r="A937">
        <v>935</v>
      </c>
      <c r="B937" t="s">
        <v>270</v>
      </c>
      <c r="C937" t="s">
        <v>78</v>
      </c>
      <c r="D937" t="s">
        <v>79</v>
      </c>
      <c r="E937" t="s">
        <v>192</v>
      </c>
      <c r="F937">
        <v>1024</v>
      </c>
      <c r="G937">
        <f>MAX(I933,I936)</f>
        <v>1340667</v>
      </c>
      <c r="H937">
        <f>CEILING((dram_access_latency+F937/dram_bandwidth)*frequency,1)</f>
        <v>116</v>
      </c>
      <c r="I937">
        <f>G937+H937</f>
        <v>1340783</v>
      </c>
      <c r="J937">
        <f>IF(AND(D937&lt;&gt;"dram",D937&lt;&gt;"control"),H937,0)</f>
        <v>0</v>
      </c>
      <c r="K937">
        <f>IF(D937="dram",H937,0)</f>
        <v>116</v>
      </c>
      <c r="L937">
        <v>1024</v>
      </c>
      <c r="M937">
        <v>0</v>
      </c>
    </row>
    <row r="938" spans="1:13">
      <c r="A938">
        <v>936</v>
      </c>
      <c r="B938" t="s">
        <v>271</v>
      </c>
      <c r="C938" t="s">
        <v>78</v>
      </c>
      <c r="D938" t="s">
        <v>79</v>
      </c>
      <c r="E938" t="s">
        <v>192</v>
      </c>
      <c r="F938">
        <v>384</v>
      </c>
      <c r="G938">
        <f>MAX(I933,I937)</f>
        <v>1340783</v>
      </c>
      <c r="H938">
        <f>CEILING((dram_access_latency+F938/dram_bandwidth)*frequency,1)</f>
        <v>106</v>
      </c>
      <c r="I938">
        <f>G938+H938</f>
        <v>1340889</v>
      </c>
      <c r="J938">
        <f>IF(AND(D938&lt;&gt;"dram",D938&lt;&gt;"control"),H938,0)</f>
        <v>0</v>
      </c>
      <c r="K938">
        <f>IF(D938="dram",H938,0)</f>
        <v>106</v>
      </c>
      <c r="L938">
        <v>384</v>
      </c>
      <c r="M938">
        <v>0</v>
      </c>
    </row>
    <row r="939" spans="1:13">
      <c r="A939">
        <v>937</v>
      </c>
      <c r="B939" t="s">
        <v>272</v>
      </c>
      <c r="C939" t="s">
        <v>78</v>
      </c>
      <c r="D939" t="s">
        <v>79</v>
      </c>
      <c r="E939" t="s">
        <v>192</v>
      </c>
      <c r="F939">
        <v>8</v>
      </c>
      <c r="G939">
        <f>MAX(I933,I938)</f>
        <v>1340889</v>
      </c>
      <c r="H939">
        <f>CEILING((dram_access_latency+F939/dram_bandwidth)*frequency,1)</f>
        <v>101</v>
      </c>
      <c r="I939">
        <f>G939+H939</f>
        <v>1340990</v>
      </c>
      <c r="J939">
        <f>IF(AND(D939&lt;&gt;"dram",D939&lt;&gt;"control"),H939,0)</f>
        <v>0</v>
      </c>
      <c r="K939">
        <f>IF(D939="dram",H939,0)</f>
        <v>101</v>
      </c>
      <c r="L939">
        <v>8</v>
      </c>
      <c r="M939">
        <v>0</v>
      </c>
    </row>
    <row r="940" spans="1:13">
      <c r="A940">
        <v>938</v>
      </c>
      <c r="B940" t="s">
        <v>273</v>
      </c>
      <c r="C940" t="s">
        <v>78</v>
      </c>
      <c r="D940" t="s">
        <v>79</v>
      </c>
      <c r="E940" t="s">
        <v>192</v>
      </c>
      <c r="F940">
        <v>256</v>
      </c>
      <c r="G940">
        <f>MAX(I933,I939)</f>
        <v>1340990</v>
      </c>
      <c r="H940">
        <f>CEILING((dram_access_latency+F940/dram_bandwidth)*frequency,1)</f>
        <v>104</v>
      </c>
      <c r="I940">
        <f>G940+H940</f>
        <v>1341094</v>
      </c>
      <c r="J940">
        <f>IF(AND(D940&lt;&gt;"dram",D940&lt;&gt;"control"),H940,0)</f>
        <v>0</v>
      </c>
      <c r="K940">
        <f>IF(D940="dram",H940,0)</f>
        <v>104</v>
      </c>
      <c r="L940">
        <v>256</v>
      </c>
      <c r="M940">
        <v>0</v>
      </c>
    </row>
    <row r="941" spans="1:13">
      <c r="A941">
        <v>939</v>
      </c>
      <c r="B941" t="s">
        <v>48</v>
      </c>
      <c r="C941" t="s">
        <v>85</v>
      </c>
      <c r="D941" t="s">
        <v>17</v>
      </c>
      <c r="E941" t="s">
        <v>192</v>
      </c>
      <c r="F941">
        <v>0</v>
      </c>
      <c r="G941">
        <f>MAX(I932,I936,I937,I938,I939,I940,I934,I935)</f>
        <v>1341094</v>
      </c>
      <c r="H941">
        <f>'Operations'!I19</f>
        <v>1024</v>
      </c>
      <c r="I941">
        <f>G941+H941</f>
        <v>1342118</v>
      </c>
      <c r="J941">
        <f>IF(AND(D941&lt;&gt;"dram",D941&lt;&gt;"control"),H941,0)</f>
        <v>1024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274</v>
      </c>
      <c r="C942" t="s">
        <v>82</v>
      </c>
      <c r="D942" t="s">
        <v>83</v>
      </c>
      <c r="E942" t="s">
        <v>192</v>
      </c>
      <c r="F942">
        <v>0</v>
      </c>
      <c r="G942">
        <f>MAX(I933,I932)</f>
        <v>1339214</v>
      </c>
      <c r="H942">
        <f>0</f>
        <v>1452</v>
      </c>
      <c r="I942">
        <f>G942+H942</f>
        <v>1340666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275</v>
      </c>
      <c r="C943" t="s">
        <v>87</v>
      </c>
      <c r="D943" t="s">
        <v>79</v>
      </c>
      <c r="E943" t="s">
        <v>192</v>
      </c>
      <c r="F943">
        <v>2</v>
      </c>
      <c r="G943">
        <f>MAX(I942,I940)</f>
        <v>1341094</v>
      </c>
      <c r="H943">
        <f>CEILING((dram_access_latency+F943/dram_bandwidth)*frequency,1)</f>
        <v>101</v>
      </c>
      <c r="I943">
        <f>G943+H943</f>
        <v>1341195</v>
      </c>
      <c r="J943">
        <f>IF(AND(D943&lt;&gt;"dram",D943&lt;&gt;"control"),H943,0)</f>
        <v>0</v>
      </c>
      <c r="K943">
        <f>IF(D943="dram",H943,0)</f>
        <v>101</v>
      </c>
      <c r="L943">
        <v>0</v>
      </c>
      <c r="M943">
        <v>2</v>
      </c>
    </row>
    <row r="944" spans="1:13">
      <c r="A944">
        <v>942</v>
      </c>
      <c r="B944" t="s">
        <v>276</v>
      </c>
      <c r="C944" t="s">
        <v>87</v>
      </c>
      <c r="D944" t="s">
        <v>79</v>
      </c>
      <c r="E944" t="s">
        <v>192</v>
      </c>
      <c r="F944">
        <v>64</v>
      </c>
      <c r="G944">
        <f>MAX(I942,I943)</f>
        <v>1341195</v>
      </c>
      <c r="H944">
        <f>CEILING((dram_access_latency+F944/dram_bandwidth)*frequency,1)</f>
        <v>101</v>
      </c>
      <c r="I944">
        <f>G944+H944</f>
        <v>1341296</v>
      </c>
      <c r="J944">
        <f>IF(AND(D944&lt;&gt;"dram",D944&lt;&gt;"control"),H944,0)</f>
        <v>0</v>
      </c>
      <c r="K944">
        <f>IF(D944="dram",H944,0)</f>
        <v>101</v>
      </c>
      <c r="L944">
        <v>0</v>
      </c>
      <c r="M944">
        <v>64</v>
      </c>
    </row>
    <row r="945" spans="1:13">
      <c r="A945">
        <v>943</v>
      </c>
      <c r="B945" t="s">
        <v>269</v>
      </c>
      <c r="C945" t="s">
        <v>78</v>
      </c>
      <c r="D945" t="s">
        <v>79</v>
      </c>
      <c r="E945" t="s">
        <v>193</v>
      </c>
      <c r="F945">
        <v>49152</v>
      </c>
      <c r="G945">
        <f>MAX(I942,I944)</f>
        <v>1341296</v>
      </c>
      <c r="H945">
        <f>CEILING((dram_access_latency+F945/dram_bandwidth)*frequency,1)</f>
        <v>823</v>
      </c>
      <c r="I945">
        <f>G945+H945</f>
        <v>1342119</v>
      </c>
      <c r="J945">
        <f>IF(AND(D945&lt;&gt;"dram",D945&lt;&gt;"control"),H945,0)</f>
        <v>0</v>
      </c>
      <c r="K945">
        <f>IF(D945="dram",H945,0)</f>
        <v>823</v>
      </c>
      <c r="L945">
        <v>49152</v>
      </c>
      <c r="M945">
        <v>0</v>
      </c>
    </row>
    <row r="946" spans="1:13">
      <c r="A946">
        <v>944</v>
      </c>
      <c r="B946" t="s">
        <v>270</v>
      </c>
      <c r="C946" t="s">
        <v>78</v>
      </c>
      <c r="D946" t="s">
        <v>79</v>
      </c>
      <c r="E946" t="s">
        <v>193</v>
      </c>
      <c r="F946">
        <v>1024</v>
      </c>
      <c r="G946">
        <f>MAX(I942,I945)</f>
        <v>1342119</v>
      </c>
      <c r="H946">
        <f>CEILING((dram_access_latency+F946/dram_bandwidth)*frequency,1)</f>
        <v>116</v>
      </c>
      <c r="I946">
        <f>G946+H946</f>
        <v>1342235</v>
      </c>
      <c r="J946">
        <f>IF(AND(D946&lt;&gt;"dram",D946&lt;&gt;"control"),H946,0)</f>
        <v>0</v>
      </c>
      <c r="K946">
        <f>IF(D946="dram",H946,0)</f>
        <v>116</v>
      </c>
      <c r="L946">
        <v>1024</v>
      </c>
      <c r="M946">
        <v>0</v>
      </c>
    </row>
    <row r="947" spans="1:13">
      <c r="A947">
        <v>945</v>
      </c>
      <c r="B947" t="s">
        <v>271</v>
      </c>
      <c r="C947" t="s">
        <v>78</v>
      </c>
      <c r="D947" t="s">
        <v>79</v>
      </c>
      <c r="E947" t="s">
        <v>193</v>
      </c>
      <c r="F947">
        <v>384</v>
      </c>
      <c r="G947">
        <f>MAX(I942,I946)</f>
        <v>1342235</v>
      </c>
      <c r="H947">
        <f>CEILING((dram_access_latency+F947/dram_bandwidth)*frequency,1)</f>
        <v>106</v>
      </c>
      <c r="I947">
        <f>G947+H947</f>
        <v>1342341</v>
      </c>
      <c r="J947">
        <f>IF(AND(D947&lt;&gt;"dram",D947&lt;&gt;"control"),H947,0)</f>
        <v>0</v>
      </c>
      <c r="K947">
        <f>IF(D947="dram",H947,0)</f>
        <v>106</v>
      </c>
      <c r="L947">
        <v>384</v>
      </c>
      <c r="M947">
        <v>0</v>
      </c>
    </row>
    <row r="948" spans="1:13">
      <c r="A948">
        <v>946</v>
      </c>
      <c r="B948" t="s">
        <v>272</v>
      </c>
      <c r="C948" t="s">
        <v>78</v>
      </c>
      <c r="D948" t="s">
        <v>79</v>
      </c>
      <c r="E948" t="s">
        <v>193</v>
      </c>
      <c r="F948">
        <v>8</v>
      </c>
      <c r="G948">
        <f>MAX(I942,I947)</f>
        <v>1342341</v>
      </c>
      <c r="H948">
        <f>CEILING((dram_access_latency+F948/dram_bandwidth)*frequency,1)</f>
        <v>101</v>
      </c>
      <c r="I948">
        <f>G948+H948</f>
        <v>1342442</v>
      </c>
      <c r="J948">
        <f>IF(AND(D948&lt;&gt;"dram",D948&lt;&gt;"control"),H948,0)</f>
        <v>0</v>
      </c>
      <c r="K948">
        <f>IF(D948="dram",H948,0)</f>
        <v>101</v>
      </c>
      <c r="L948">
        <v>8</v>
      </c>
      <c r="M948">
        <v>0</v>
      </c>
    </row>
    <row r="949" spans="1:13">
      <c r="A949">
        <v>947</v>
      </c>
      <c r="B949" t="s">
        <v>273</v>
      </c>
      <c r="C949" t="s">
        <v>78</v>
      </c>
      <c r="D949" t="s">
        <v>79</v>
      </c>
      <c r="E949" t="s">
        <v>193</v>
      </c>
      <c r="F949">
        <v>256</v>
      </c>
      <c r="G949">
        <f>MAX(I942,I948)</f>
        <v>1342442</v>
      </c>
      <c r="H949">
        <f>CEILING((dram_access_latency+F949/dram_bandwidth)*frequency,1)</f>
        <v>104</v>
      </c>
      <c r="I949">
        <f>G949+H949</f>
        <v>1342546</v>
      </c>
      <c r="J949">
        <f>IF(AND(D949&lt;&gt;"dram",D949&lt;&gt;"control"),H949,0)</f>
        <v>0</v>
      </c>
      <c r="K949">
        <f>IF(D949="dram",H949,0)</f>
        <v>104</v>
      </c>
      <c r="L949">
        <v>256</v>
      </c>
      <c r="M949">
        <v>0</v>
      </c>
    </row>
    <row r="950" spans="1:13">
      <c r="A950">
        <v>948</v>
      </c>
      <c r="B950" t="s">
        <v>48</v>
      </c>
      <c r="C950" t="s">
        <v>85</v>
      </c>
      <c r="D950" t="s">
        <v>17</v>
      </c>
      <c r="E950" t="s">
        <v>193</v>
      </c>
      <c r="F950">
        <v>0</v>
      </c>
      <c r="G950">
        <f>MAX(I941,I945,I946,I947,I948,I949,I943,I944)</f>
        <v>1342546</v>
      </c>
      <c r="H950">
        <f>'Operations'!I19</f>
        <v>1024</v>
      </c>
      <c r="I950">
        <f>G950+H950</f>
        <v>1343570</v>
      </c>
      <c r="J950">
        <f>IF(AND(D950&lt;&gt;"dram",D950&lt;&gt;"control"),H950,0)</f>
        <v>1024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274</v>
      </c>
      <c r="C951" t="s">
        <v>82</v>
      </c>
      <c r="D951" t="s">
        <v>83</v>
      </c>
      <c r="E951" t="s">
        <v>193</v>
      </c>
      <c r="F951">
        <v>0</v>
      </c>
      <c r="G951">
        <f>MAX(I942,I941)</f>
        <v>1340666</v>
      </c>
      <c r="H951">
        <f>0</f>
        <v>1452</v>
      </c>
      <c r="I951">
        <f>G951+H951</f>
        <v>1342118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275</v>
      </c>
      <c r="C952" t="s">
        <v>87</v>
      </c>
      <c r="D952" t="s">
        <v>79</v>
      </c>
      <c r="E952" t="s">
        <v>193</v>
      </c>
      <c r="F952">
        <v>2</v>
      </c>
      <c r="G952">
        <f>MAX(I951,I949)</f>
        <v>1342546</v>
      </c>
      <c r="H952">
        <f>CEILING((dram_access_latency+F952/dram_bandwidth)*frequency,1)</f>
        <v>101</v>
      </c>
      <c r="I952">
        <f>G952+H952</f>
        <v>1342647</v>
      </c>
      <c r="J952">
        <f>IF(AND(D952&lt;&gt;"dram",D952&lt;&gt;"control"),H952,0)</f>
        <v>0</v>
      </c>
      <c r="K952">
        <f>IF(D952="dram",H952,0)</f>
        <v>101</v>
      </c>
      <c r="L952">
        <v>0</v>
      </c>
      <c r="M952">
        <v>2</v>
      </c>
    </row>
    <row r="953" spans="1:13">
      <c r="A953">
        <v>951</v>
      </c>
      <c r="B953" t="s">
        <v>276</v>
      </c>
      <c r="C953" t="s">
        <v>87</v>
      </c>
      <c r="D953" t="s">
        <v>79</v>
      </c>
      <c r="E953" t="s">
        <v>193</v>
      </c>
      <c r="F953">
        <v>64</v>
      </c>
      <c r="G953">
        <f>MAX(I951,I952)</f>
        <v>1342647</v>
      </c>
      <c r="H953">
        <f>CEILING((dram_access_latency+F953/dram_bandwidth)*frequency,1)</f>
        <v>101</v>
      </c>
      <c r="I953">
        <f>G953+H953</f>
        <v>1342748</v>
      </c>
      <c r="J953">
        <f>IF(AND(D953&lt;&gt;"dram",D953&lt;&gt;"control"),H953,0)</f>
        <v>0</v>
      </c>
      <c r="K953">
        <f>IF(D953="dram",H953,0)</f>
        <v>101</v>
      </c>
      <c r="L953">
        <v>0</v>
      </c>
      <c r="M953">
        <v>64</v>
      </c>
    </row>
    <row r="954" spans="1:13">
      <c r="A954">
        <v>952</v>
      </c>
      <c r="B954" t="s">
        <v>269</v>
      </c>
      <c r="C954" t="s">
        <v>78</v>
      </c>
      <c r="D954" t="s">
        <v>79</v>
      </c>
      <c r="E954" t="s">
        <v>194</v>
      </c>
      <c r="F954">
        <v>49152</v>
      </c>
      <c r="G954">
        <f>MAX(I951,I953)</f>
        <v>1342748</v>
      </c>
      <c r="H954">
        <f>CEILING((dram_access_latency+F954/dram_bandwidth)*frequency,1)</f>
        <v>823</v>
      </c>
      <c r="I954">
        <f>G954+H954</f>
        <v>1343571</v>
      </c>
      <c r="J954">
        <f>IF(AND(D954&lt;&gt;"dram",D954&lt;&gt;"control"),H954,0)</f>
        <v>0</v>
      </c>
      <c r="K954">
        <f>IF(D954="dram",H954,0)</f>
        <v>823</v>
      </c>
      <c r="L954">
        <v>49152</v>
      </c>
      <c r="M954">
        <v>0</v>
      </c>
    </row>
    <row r="955" spans="1:13">
      <c r="A955">
        <v>953</v>
      </c>
      <c r="B955" t="s">
        <v>270</v>
      </c>
      <c r="C955" t="s">
        <v>78</v>
      </c>
      <c r="D955" t="s">
        <v>79</v>
      </c>
      <c r="E955" t="s">
        <v>194</v>
      </c>
      <c r="F955">
        <v>1024</v>
      </c>
      <c r="G955">
        <f>MAX(I951,I954)</f>
        <v>1343571</v>
      </c>
      <c r="H955">
        <f>CEILING((dram_access_latency+F955/dram_bandwidth)*frequency,1)</f>
        <v>116</v>
      </c>
      <c r="I955">
        <f>G955+H955</f>
        <v>1343687</v>
      </c>
      <c r="J955">
        <f>IF(AND(D955&lt;&gt;"dram",D955&lt;&gt;"control"),H955,0)</f>
        <v>0</v>
      </c>
      <c r="K955">
        <f>IF(D955="dram",H955,0)</f>
        <v>116</v>
      </c>
      <c r="L955">
        <v>1024</v>
      </c>
      <c r="M955">
        <v>0</v>
      </c>
    </row>
    <row r="956" spans="1:13">
      <c r="A956">
        <v>954</v>
      </c>
      <c r="B956" t="s">
        <v>271</v>
      </c>
      <c r="C956" t="s">
        <v>78</v>
      </c>
      <c r="D956" t="s">
        <v>79</v>
      </c>
      <c r="E956" t="s">
        <v>194</v>
      </c>
      <c r="F956">
        <v>384</v>
      </c>
      <c r="G956">
        <f>MAX(I951,I955)</f>
        <v>1343687</v>
      </c>
      <c r="H956">
        <f>CEILING((dram_access_latency+F956/dram_bandwidth)*frequency,1)</f>
        <v>106</v>
      </c>
      <c r="I956">
        <f>G956+H956</f>
        <v>1343793</v>
      </c>
      <c r="J956">
        <f>IF(AND(D956&lt;&gt;"dram",D956&lt;&gt;"control"),H956,0)</f>
        <v>0</v>
      </c>
      <c r="K956">
        <f>IF(D956="dram",H956,0)</f>
        <v>106</v>
      </c>
      <c r="L956">
        <v>384</v>
      </c>
      <c r="M956">
        <v>0</v>
      </c>
    </row>
    <row r="957" spans="1:13">
      <c r="A957">
        <v>955</v>
      </c>
      <c r="B957" t="s">
        <v>272</v>
      </c>
      <c r="C957" t="s">
        <v>78</v>
      </c>
      <c r="D957" t="s">
        <v>79</v>
      </c>
      <c r="E957" t="s">
        <v>194</v>
      </c>
      <c r="F957">
        <v>8</v>
      </c>
      <c r="G957">
        <f>MAX(I951,I956)</f>
        <v>1343793</v>
      </c>
      <c r="H957">
        <f>CEILING((dram_access_latency+F957/dram_bandwidth)*frequency,1)</f>
        <v>101</v>
      </c>
      <c r="I957">
        <f>G957+H957</f>
        <v>1343894</v>
      </c>
      <c r="J957">
        <f>IF(AND(D957&lt;&gt;"dram",D957&lt;&gt;"control"),H957,0)</f>
        <v>0</v>
      </c>
      <c r="K957">
        <f>IF(D957="dram",H957,0)</f>
        <v>101</v>
      </c>
      <c r="L957">
        <v>8</v>
      </c>
      <c r="M957">
        <v>0</v>
      </c>
    </row>
    <row r="958" spans="1:13">
      <c r="A958">
        <v>956</v>
      </c>
      <c r="B958" t="s">
        <v>273</v>
      </c>
      <c r="C958" t="s">
        <v>78</v>
      </c>
      <c r="D958" t="s">
        <v>79</v>
      </c>
      <c r="E958" t="s">
        <v>194</v>
      </c>
      <c r="F958">
        <v>256</v>
      </c>
      <c r="G958">
        <f>MAX(I951,I957)</f>
        <v>1343894</v>
      </c>
      <c r="H958">
        <f>CEILING((dram_access_latency+F958/dram_bandwidth)*frequency,1)</f>
        <v>104</v>
      </c>
      <c r="I958">
        <f>G958+H958</f>
        <v>1343998</v>
      </c>
      <c r="J958">
        <f>IF(AND(D958&lt;&gt;"dram",D958&lt;&gt;"control"),H958,0)</f>
        <v>0</v>
      </c>
      <c r="K958">
        <f>IF(D958="dram",H958,0)</f>
        <v>104</v>
      </c>
      <c r="L958">
        <v>256</v>
      </c>
      <c r="M958">
        <v>0</v>
      </c>
    </row>
    <row r="959" spans="1:13">
      <c r="A959">
        <v>957</v>
      </c>
      <c r="B959" t="s">
        <v>48</v>
      </c>
      <c r="C959" t="s">
        <v>85</v>
      </c>
      <c r="D959" t="s">
        <v>17</v>
      </c>
      <c r="E959" t="s">
        <v>194</v>
      </c>
      <c r="F959">
        <v>0</v>
      </c>
      <c r="G959">
        <f>MAX(I950,I954,I955,I956,I957,I958,I952,I953)</f>
        <v>1343998</v>
      </c>
      <c r="H959">
        <f>'Operations'!I19</f>
        <v>1024</v>
      </c>
      <c r="I959">
        <f>G959+H959</f>
        <v>1345022</v>
      </c>
      <c r="J959">
        <f>IF(AND(D959&lt;&gt;"dram",D959&lt;&gt;"control"),H959,0)</f>
        <v>1024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274</v>
      </c>
      <c r="C960" t="s">
        <v>82</v>
      </c>
      <c r="D960" t="s">
        <v>83</v>
      </c>
      <c r="E960" t="s">
        <v>194</v>
      </c>
      <c r="F960">
        <v>0</v>
      </c>
      <c r="G960">
        <f>MAX(I951,I950)</f>
        <v>1342118</v>
      </c>
      <c r="H960">
        <f>0</f>
        <v>1452</v>
      </c>
      <c r="I960">
        <f>G960+H960</f>
        <v>1343570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275</v>
      </c>
      <c r="C961" t="s">
        <v>87</v>
      </c>
      <c r="D961" t="s">
        <v>79</v>
      </c>
      <c r="E961" t="s">
        <v>194</v>
      </c>
      <c r="F961">
        <v>2</v>
      </c>
      <c r="G961">
        <f>MAX(I960,I958)</f>
        <v>1343998</v>
      </c>
      <c r="H961">
        <f>CEILING((dram_access_latency+F961/dram_bandwidth)*frequency,1)</f>
        <v>101</v>
      </c>
      <c r="I961">
        <f>G961+H961</f>
        <v>1344099</v>
      </c>
      <c r="J961">
        <f>IF(AND(D961&lt;&gt;"dram",D961&lt;&gt;"control"),H961,0)</f>
        <v>0</v>
      </c>
      <c r="K961">
        <f>IF(D961="dram",H961,0)</f>
        <v>101</v>
      </c>
      <c r="L961">
        <v>0</v>
      </c>
      <c r="M961">
        <v>2</v>
      </c>
    </row>
    <row r="962" spans="1:13">
      <c r="A962">
        <v>960</v>
      </c>
      <c r="B962" t="s">
        <v>276</v>
      </c>
      <c r="C962" t="s">
        <v>87</v>
      </c>
      <c r="D962" t="s">
        <v>79</v>
      </c>
      <c r="E962" t="s">
        <v>194</v>
      </c>
      <c r="F962">
        <v>64</v>
      </c>
      <c r="G962">
        <f>MAX(I960,I961)</f>
        <v>1344099</v>
      </c>
      <c r="H962">
        <f>CEILING((dram_access_latency+F962/dram_bandwidth)*frequency,1)</f>
        <v>101</v>
      </c>
      <c r="I962">
        <f>G962+H962</f>
        <v>1344200</v>
      </c>
      <c r="J962">
        <f>IF(AND(D962&lt;&gt;"dram",D962&lt;&gt;"control"),H962,0)</f>
        <v>0</v>
      </c>
      <c r="K962">
        <f>IF(D962="dram",H962,0)</f>
        <v>101</v>
      </c>
      <c r="L962">
        <v>0</v>
      </c>
      <c r="M962">
        <v>64</v>
      </c>
    </row>
    <row r="963" spans="1:13">
      <c r="A963">
        <v>961</v>
      </c>
      <c r="B963" t="s">
        <v>269</v>
      </c>
      <c r="C963" t="s">
        <v>78</v>
      </c>
      <c r="D963" t="s">
        <v>79</v>
      </c>
      <c r="E963" t="s">
        <v>206</v>
      </c>
      <c r="F963">
        <v>49152</v>
      </c>
      <c r="G963">
        <f>MAX(I960,I962)</f>
        <v>1344200</v>
      </c>
      <c r="H963">
        <f>CEILING((dram_access_latency+F963/dram_bandwidth)*frequency,1)</f>
        <v>823</v>
      </c>
      <c r="I963">
        <f>G963+H963</f>
        <v>1345023</v>
      </c>
      <c r="J963">
        <f>IF(AND(D963&lt;&gt;"dram",D963&lt;&gt;"control"),H963,0)</f>
        <v>0</v>
      </c>
      <c r="K963">
        <f>IF(D963="dram",H963,0)</f>
        <v>823</v>
      </c>
      <c r="L963">
        <v>49152</v>
      </c>
      <c r="M963">
        <v>0</v>
      </c>
    </row>
    <row r="964" spans="1:13">
      <c r="A964">
        <v>962</v>
      </c>
      <c r="B964" t="s">
        <v>270</v>
      </c>
      <c r="C964" t="s">
        <v>78</v>
      </c>
      <c r="D964" t="s">
        <v>79</v>
      </c>
      <c r="E964" t="s">
        <v>206</v>
      </c>
      <c r="F964">
        <v>1024</v>
      </c>
      <c r="G964">
        <f>MAX(I960,I963)</f>
        <v>1345023</v>
      </c>
      <c r="H964">
        <f>CEILING((dram_access_latency+F964/dram_bandwidth)*frequency,1)</f>
        <v>116</v>
      </c>
      <c r="I964">
        <f>G964+H964</f>
        <v>1345139</v>
      </c>
      <c r="J964">
        <f>IF(AND(D964&lt;&gt;"dram",D964&lt;&gt;"control"),H964,0)</f>
        <v>0</v>
      </c>
      <c r="K964">
        <f>IF(D964="dram",H964,0)</f>
        <v>116</v>
      </c>
      <c r="L964">
        <v>1024</v>
      </c>
      <c r="M964">
        <v>0</v>
      </c>
    </row>
    <row r="965" spans="1:13">
      <c r="A965">
        <v>963</v>
      </c>
      <c r="B965" t="s">
        <v>271</v>
      </c>
      <c r="C965" t="s">
        <v>78</v>
      </c>
      <c r="D965" t="s">
        <v>79</v>
      </c>
      <c r="E965" t="s">
        <v>206</v>
      </c>
      <c r="F965">
        <v>384</v>
      </c>
      <c r="G965">
        <f>MAX(I960,I964)</f>
        <v>1345139</v>
      </c>
      <c r="H965">
        <f>CEILING((dram_access_latency+F965/dram_bandwidth)*frequency,1)</f>
        <v>106</v>
      </c>
      <c r="I965">
        <f>G965+H965</f>
        <v>1345245</v>
      </c>
      <c r="J965">
        <f>IF(AND(D965&lt;&gt;"dram",D965&lt;&gt;"control"),H965,0)</f>
        <v>0</v>
      </c>
      <c r="K965">
        <f>IF(D965="dram",H965,0)</f>
        <v>106</v>
      </c>
      <c r="L965">
        <v>384</v>
      </c>
      <c r="M965">
        <v>0</v>
      </c>
    </row>
    <row r="966" spans="1:13">
      <c r="A966">
        <v>964</v>
      </c>
      <c r="B966" t="s">
        <v>272</v>
      </c>
      <c r="C966" t="s">
        <v>78</v>
      </c>
      <c r="D966" t="s">
        <v>79</v>
      </c>
      <c r="E966" t="s">
        <v>206</v>
      </c>
      <c r="F966">
        <v>8</v>
      </c>
      <c r="G966">
        <f>MAX(I960,I965)</f>
        <v>1345245</v>
      </c>
      <c r="H966">
        <f>CEILING((dram_access_latency+F966/dram_bandwidth)*frequency,1)</f>
        <v>101</v>
      </c>
      <c r="I966">
        <f>G966+H966</f>
        <v>1345346</v>
      </c>
      <c r="J966">
        <f>IF(AND(D966&lt;&gt;"dram",D966&lt;&gt;"control"),H966,0)</f>
        <v>0</v>
      </c>
      <c r="K966">
        <f>IF(D966="dram",H966,0)</f>
        <v>101</v>
      </c>
      <c r="L966">
        <v>8</v>
      </c>
      <c r="M966">
        <v>0</v>
      </c>
    </row>
    <row r="967" spans="1:13">
      <c r="A967">
        <v>965</v>
      </c>
      <c r="B967" t="s">
        <v>273</v>
      </c>
      <c r="C967" t="s">
        <v>78</v>
      </c>
      <c r="D967" t="s">
        <v>79</v>
      </c>
      <c r="E967" t="s">
        <v>206</v>
      </c>
      <c r="F967">
        <v>256</v>
      </c>
      <c r="G967">
        <f>MAX(I960,I966)</f>
        <v>1345346</v>
      </c>
      <c r="H967">
        <f>CEILING((dram_access_latency+F967/dram_bandwidth)*frequency,1)</f>
        <v>104</v>
      </c>
      <c r="I967">
        <f>G967+H967</f>
        <v>1345450</v>
      </c>
      <c r="J967">
        <f>IF(AND(D967&lt;&gt;"dram",D967&lt;&gt;"control"),H967,0)</f>
        <v>0</v>
      </c>
      <c r="K967">
        <f>IF(D967="dram",H967,0)</f>
        <v>104</v>
      </c>
      <c r="L967">
        <v>256</v>
      </c>
      <c r="M967">
        <v>0</v>
      </c>
    </row>
    <row r="968" spans="1:13">
      <c r="A968">
        <v>966</v>
      </c>
      <c r="B968" t="s">
        <v>48</v>
      </c>
      <c r="C968" t="s">
        <v>85</v>
      </c>
      <c r="D968" t="s">
        <v>17</v>
      </c>
      <c r="E968" t="s">
        <v>206</v>
      </c>
      <c r="F968">
        <v>0</v>
      </c>
      <c r="G968">
        <f>MAX(I959,I963,I964,I965,I966,I967,I961,I962)</f>
        <v>1345450</v>
      </c>
      <c r="H968">
        <f>'Operations'!I19</f>
        <v>1024</v>
      </c>
      <c r="I968">
        <f>G968+H968</f>
        <v>1346474</v>
      </c>
      <c r="J968">
        <f>IF(AND(D968&lt;&gt;"dram",D968&lt;&gt;"control"),H968,0)</f>
        <v>1024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274</v>
      </c>
      <c r="C969" t="s">
        <v>82</v>
      </c>
      <c r="D969" t="s">
        <v>83</v>
      </c>
      <c r="E969" t="s">
        <v>206</v>
      </c>
      <c r="F969">
        <v>0</v>
      </c>
      <c r="G969">
        <f>MAX(I960,I959)</f>
        <v>1343570</v>
      </c>
      <c r="H969">
        <f>0</f>
        <v>1452</v>
      </c>
      <c r="I969">
        <f>G969+H969</f>
        <v>1345022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275</v>
      </c>
      <c r="C970" t="s">
        <v>87</v>
      </c>
      <c r="D970" t="s">
        <v>79</v>
      </c>
      <c r="E970" t="s">
        <v>206</v>
      </c>
      <c r="F970">
        <v>2</v>
      </c>
      <c r="G970">
        <f>MAX(I969,I967)</f>
        <v>1345450</v>
      </c>
      <c r="H970">
        <f>CEILING((dram_access_latency+F970/dram_bandwidth)*frequency,1)</f>
        <v>101</v>
      </c>
      <c r="I970">
        <f>G970+H970</f>
        <v>1345551</v>
      </c>
      <c r="J970">
        <f>IF(AND(D970&lt;&gt;"dram",D970&lt;&gt;"control"),H970,0)</f>
        <v>0</v>
      </c>
      <c r="K970">
        <f>IF(D970="dram",H970,0)</f>
        <v>101</v>
      </c>
      <c r="L970">
        <v>0</v>
      </c>
      <c r="M970">
        <v>2</v>
      </c>
    </row>
    <row r="971" spans="1:13">
      <c r="A971">
        <v>969</v>
      </c>
      <c r="B971" t="s">
        <v>276</v>
      </c>
      <c r="C971" t="s">
        <v>87</v>
      </c>
      <c r="D971" t="s">
        <v>79</v>
      </c>
      <c r="E971" t="s">
        <v>206</v>
      </c>
      <c r="F971">
        <v>64</v>
      </c>
      <c r="G971">
        <f>MAX(I969,I970)</f>
        <v>1345551</v>
      </c>
      <c r="H971">
        <f>CEILING((dram_access_latency+F971/dram_bandwidth)*frequency,1)</f>
        <v>101</v>
      </c>
      <c r="I971">
        <f>G971+H971</f>
        <v>1345652</v>
      </c>
      <c r="J971">
        <f>IF(AND(D971&lt;&gt;"dram",D971&lt;&gt;"control"),H971,0)</f>
        <v>0</v>
      </c>
      <c r="K971">
        <f>IF(D971="dram",H971,0)</f>
        <v>101</v>
      </c>
      <c r="L971">
        <v>0</v>
      </c>
      <c r="M971">
        <v>64</v>
      </c>
    </row>
    <row r="972" spans="1:13">
      <c r="A972">
        <v>970</v>
      </c>
      <c r="B972" t="s">
        <v>269</v>
      </c>
      <c r="C972" t="s">
        <v>78</v>
      </c>
      <c r="D972" t="s">
        <v>79</v>
      </c>
      <c r="E972" t="s">
        <v>207</v>
      </c>
      <c r="F972">
        <v>49152</v>
      </c>
      <c r="G972">
        <f>MAX(I969,I971)</f>
        <v>1345652</v>
      </c>
      <c r="H972">
        <f>CEILING((dram_access_latency+F972/dram_bandwidth)*frequency,1)</f>
        <v>823</v>
      </c>
      <c r="I972">
        <f>G972+H972</f>
        <v>1346475</v>
      </c>
      <c r="J972">
        <f>IF(AND(D972&lt;&gt;"dram",D972&lt;&gt;"control"),H972,0)</f>
        <v>0</v>
      </c>
      <c r="K972">
        <f>IF(D972="dram",H972,0)</f>
        <v>823</v>
      </c>
      <c r="L972">
        <v>49152</v>
      </c>
      <c r="M972">
        <v>0</v>
      </c>
    </row>
    <row r="973" spans="1:13">
      <c r="A973">
        <v>971</v>
      </c>
      <c r="B973" t="s">
        <v>270</v>
      </c>
      <c r="C973" t="s">
        <v>78</v>
      </c>
      <c r="D973" t="s">
        <v>79</v>
      </c>
      <c r="E973" t="s">
        <v>207</v>
      </c>
      <c r="F973">
        <v>1024</v>
      </c>
      <c r="G973">
        <f>MAX(I969,I972)</f>
        <v>1346475</v>
      </c>
      <c r="H973">
        <f>CEILING((dram_access_latency+F973/dram_bandwidth)*frequency,1)</f>
        <v>116</v>
      </c>
      <c r="I973">
        <f>G973+H973</f>
        <v>1346591</v>
      </c>
      <c r="J973">
        <f>IF(AND(D973&lt;&gt;"dram",D973&lt;&gt;"control"),H973,0)</f>
        <v>0</v>
      </c>
      <c r="K973">
        <f>IF(D973="dram",H973,0)</f>
        <v>116</v>
      </c>
      <c r="L973">
        <v>1024</v>
      </c>
      <c r="M973">
        <v>0</v>
      </c>
    </row>
    <row r="974" spans="1:13">
      <c r="A974">
        <v>972</v>
      </c>
      <c r="B974" t="s">
        <v>271</v>
      </c>
      <c r="C974" t="s">
        <v>78</v>
      </c>
      <c r="D974" t="s">
        <v>79</v>
      </c>
      <c r="E974" t="s">
        <v>207</v>
      </c>
      <c r="F974">
        <v>384</v>
      </c>
      <c r="G974">
        <f>MAX(I969,I973)</f>
        <v>1346591</v>
      </c>
      <c r="H974">
        <f>CEILING((dram_access_latency+F974/dram_bandwidth)*frequency,1)</f>
        <v>106</v>
      </c>
      <c r="I974">
        <f>G974+H974</f>
        <v>1346697</v>
      </c>
      <c r="J974">
        <f>IF(AND(D974&lt;&gt;"dram",D974&lt;&gt;"control"),H974,0)</f>
        <v>0</v>
      </c>
      <c r="K974">
        <f>IF(D974="dram",H974,0)</f>
        <v>106</v>
      </c>
      <c r="L974">
        <v>384</v>
      </c>
      <c r="M974">
        <v>0</v>
      </c>
    </row>
    <row r="975" spans="1:13">
      <c r="A975">
        <v>973</v>
      </c>
      <c r="B975" t="s">
        <v>272</v>
      </c>
      <c r="C975" t="s">
        <v>78</v>
      </c>
      <c r="D975" t="s">
        <v>79</v>
      </c>
      <c r="E975" t="s">
        <v>207</v>
      </c>
      <c r="F975">
        <v>8</v>
      </c>
      <c r="G975">
        <f>MAX(I969,I974)</f>
        <v>1346697</v>
      </c>
      <c r="H975">
        <f>CEILING((dram_access_latency+F975/dram_bandwidth)*frequency,1)</f>
        <v>101</v>
      </c>
      <c r="I975">
        <f>G975+H975</f>
        <v>1346798</v>
      </c>
      <c r="J975">
        <f>IF(AND(D975&lt;&gt;"dram",D975&lt;&gt;"control"),H975,0)</f>
        <v>0</v>
      </c>
      <c r="K975">
        <f>IF(D975="dram",H975,0)</f>
        <v>101</v>
      </c>
      <c r="L975">
        <v>8</v>
      </c>
      <c r="M975">
        <v>0</v>
      </c>
    </row>
    <row r="976" spans="1:13">
      <c r="A976">
        <v>974</v>
      </c>
      <c r="B976" t="s">
        <v>273</v>
      </c>
      <c r="C976" t="s">
        <v>78</v>
      </c>
      <c r="D976" t="s">
        <v>79</v>
      </c>
      <c r="E976" t="s">
        <v>207</v>
      </c>
      <c r="F976">
        <v>256</v>
      </c>
      <c r="G976">
        <f>MAX(I969,I975)</f>
        <v>1346798</v>
      </c>
      <c r="H976">
        <f>CEILING((dram_access_latency+F976/dram_bandwidth)*frequency,1)</f>
        <v>104</v>
      </c>
      <c r="I976">
        <f>G976+H976</f>
        <v>1346902</v>
      </c>
      <c r="J976">
        <f>IF(AND(D976&lt;&gt;"dram",D976&lt;&gt;"control"),H976,0)</f>
        <v>0</v>
      </c>
      <c r="K976">
        <f>IF(D976="dram",H976,0)</f>
        <v>104</v>
      </c>
      <c r="L976">
        <v>256</v>
      </c>
      <c r="M976">
        <v>0</v>
      </c>
    </row>
    <row r="977" spans="1:13">
      <c r="A977">
        <v>975</v>
      </c>
      <c r="B977" t="s">
        <v>48</v>
      </c>
      <c r="C977" t="s">
        <v>85</v>
      </c>
      <c r="D977" t="s">
        <v>17</v>
      </c>
      <c r="E977" t="s">
        <v>207</v>
      </c>
      <c r="F977">
        <v>0</v>
      </c>
      <c r="G977">
        <f>MAX(I968,I972,I973,I974,I975,I976,I970,I971)</f>
        <v>1346902</v>
      </c>
      <c r="H977">
        <f>'Operations'!I19</f>
        <v>1024</v>
      </c>
      <c r="I977">
        <f>G977+H977</f>
        <v>1347926</v>
      </c>
      <c r="J977">
        <f>IF(AND(D977&lt;&gt;"dram",D977&lt;&gt;"control"),H977,0)</f>
        <v>1024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274</v>
      </c>
      <c r="C978" t="s">
        <v>82</v>
      </c>
      <c r="D978" t="s">
        <v>83</v>
      </c>
      <c r="E978" t="s">
        <v>207</v>
      </c>
      <c r="F978">
        <v>0</v>
      </c>
      <c r="G978">
        <f>MAX(I969,I968)</f>
        <v>1345022</v>
      </c>
      <c r="H978">
        <f>0</f>
        <v>1452</v>
      </c>
      <c r="I978">
        <f>G978+H978</f>
        <v>1346474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275</v>
      </c>
      <c r="C979" t="s">
        <v>87</v>
      </c>
      <c r="D979" t="s">
        <v>79</v>
      </c>
      <c r="E979" t="s">
        <v>207</v>
      </c>
      <c r="F979">
        <v>2</v>
      </c>
      <c r="G979">
        <f>MAX(I978,I976)</f>
        <v>1346902</v>
      </c>
      <c r="H979">
        <f>CEILING((dram_access_latency+F979/dram_bandwidth)*frequency,1)</f>
        <v>101</v>
      </c>
      <c r="I979">
        <f>G979+H979</f>
        <v>1347003</v>
      </c>
      <c r="J979">
        <f>IF(AND(D979&lt;&gt;"dram",D979&lt;&gt;"control"),H979,0)</f>
        <v>0</v>
      </c>
      <c r="K979">
        <f>IF(D979="dram",H979,0)</f>
        <v>101</v>
      </c>
      <c r="L979">
        <v>0</v>
      </c>
      <c r="M979">
        <v>2</v>
      </c>
    </row>
    <row r="980" spans="1:13">
      <c r="A980">
        <v>978</v>
      </c>
      <c r="B980" t="s">
        <v>276</v>
      </c>
      <c r="C980" t="s">
        <v>87</v>
      </c>
      <c r="D980" t="s">
        <v>79</v>
      </c>
      <c r="E980" t="s">
        <v>207</v>
      </c>
      <c r="F980">
        <v>64</v>
      </c>
      <c r="G980">
        <f>MAX(I978,I979)</f>
        <v>1347003</v>
      </c>
      <c r="H980">
        <f>CEILING((dram_access_latency+F980/dram_bandwidth)*frequency,1)</f>
        <v>101</v>
      </c>
      <c r="I980">
        <f>G980+H980</f>
        <v>1347104</v>
      </c>
      <c r="J980">
        <f>IF(AND(D980&lt;&gt;"dram",D980&lt;&gt;"control"),H980,0)</f>
        <v>0</v>
      </c>
      <c r="K980">
        <f>IF(D980="dram",H980,0)</f>
        <v>101</v>
      </c>
      <c r="L980">
        <v>0</v>
      </c>
      <c r="M980">
        <v>64</v>
      </c>
    </row>
    <row r="981" spans="1:13">
      <c r="A981">
        <v>979</v>
      </c>
      <c r="B981" t="s">
        <v>269</v>
      </c>
      <c r="C981" t="s">
        <v>78</v>
      </c>
      <c r="D981" t="s">
        <v>79</v>
      </c>
      <c r="E981" t="s">
        <v>208</v>
      </c>
      <c r="F981">
        <v>49152</v>
      </c>
      <c r="G981">
        <f>MAX(I978,I980)</f>
        <v>1347104</v>
      </c>
      <c r="H981">
        <f>CEILING((dram_access_latency+F981/dram_bandwidth)*frequency,1)</f>
        <v>823</v>
      </c>
      <c r="I981">
        <f>G981+H981</f>
        <v>1347927</v>
      </c>
      <c r="J981">
        <f>IF(AND(D981&lt;&gt;"dram",D981&lt;&gt;"control"),H981,0)</f>
        <v>0</v>
      </c>
      <c r="K981">
        <f>IF(D981="dram",H981,0)</f>
        <v>823</v>
      </c>
      <c r="L981">
        <v>49152</v>
      </c>
      <c r="M981">
        <v>0</v>
      </c>
    </row>
    <row r="982" spans="1:13">
      <c r="A982">
        <v>980</v>
      </c>
      <c r="B982" t="s">
        <v>270</v>
      </c>
      <c r="C982" t="s">
        <v>78</v>
      </c>
      <c r="D982" t="s">
        <v>79</v>
      </c>
      <c r="E982" t="s">
        <v>208</v>
      </c>
      <c r="F982">
        <v>1024</v>
      </c>
      <c r="G982">
        <f>MAX(I978,I981)</f>
        <v>1347927</v>
      </c>
      <c r="H982">
        <f>CEILING((dram_access_latency+F982/dram_bandwidth)*frequency,1)</f>
        <v>116</v>
      </c>
      <c r="I982">
        <f>G982+H982</f>
        <v>1348043</v>
      </c>
      <c r="J982">
        <f>IF(AND(D982&lt;&gt;"dram",D982&lt;&gt;"control"),H982,0)</f>
        <v>0</v>
      </c>
      <c r="K982">
        <f>IF(D982="dram",H982,0)</f>
        <v>116</v>
      </c>
      <c r="L982">
        <v>1024</v>
      </c>
      <c r="M982">
        <v>0</v>
      </c>
    </row>
    <row r="983" spans="1:13">
      <c r="A983">
        <v>981</v>
      </c>
      <c r="B983" t="s">
        <v>271</v>
      </c>
      <c r="C983" t="s">
        <v>78</v>
      </c>
      <c r="D983" t="s">
        <v>79</v>
      </c>
      <c r="E983" t="s">
        <v>208</v>
      </c>
      <c r="F983">
        <v>384</v>
      </c>
      <c r="G983">
        <f>MAX(I978,I982)</f>
        <v>1348043</v>
      </c>
      <c r="H983">
        <f>CEILING((dram_access_latency+F983/dram_bandwidth)*frequency,1)</f>
        <v>106</v>
      </c>
      <c r="I983">
        <f>G983+H983</f>
        <v>1348149</v>
      </c>
      <c r="J983">
        <f>IF(AND(D983&lt;&gt;"dram",D983&lt;&gt;"control"),H983,0)</f>
        <v>0</v>
      </c>
      <c r="K983">
        <f>IF(D983="dram",H983,0)</f>
        <v>106</v>
      </c>
      <c r="L983">
        <v>384</v>
      </c>
      <c r="M983">
        <v>0</v>
      </c>
    </row>
    <row r="984" spans="1:13">
      <c r="A984">
        <v>982</v>
      </c>
      <c r="B984" t="s">
        <v>272</v>
      </c>
      <c r="C984" t="s">
        <v>78</v>
      </c>
      <c r="D984" t="s">
        <v>79</v>
      </c>
      <c r="E984" t="s">
        <v>208</v>
      </c>
      <c r="F984">
        <v>8</v>
      </c>
      <c r="G984">
        <f>MAX(I978,I983)</f>
        <v>1348149</v>
      </c>
      <c r="H984">
        <f>CEILING((dram_access_latency+F984/dram_bandwidth)*frequency,1)</f>
        <v>101</v>
      </c>
      <c r="I984">
        <f>G984+H984</f>
        <v>1348250</v>
      </c>
      <c r="J984">
        <f>IF(AND(D984&lt;&gt;"dram",D984&lt;&gt;"control"),H984,0)</f>
        <v>0</v>
      </c>
      <c r="K984">
        <f>IF(D984="dram",H984,0)</f>
        <v>101</v>
      </c>
      <c r="L984">
        <v>8</v>
      </c>
      <c r="M984">
        <v>0</v>
      </c>
    </row>
    <row r="985" spans="1:13">
      <c r="A985">
        <v>983</v>
      </c>
      <c r="B985" t="s">
        <v>273</v>
      </c>
      <c r="C985" t="s">
        <v>78</v>
      </c>
      <c r="D985" t="s">
        <v>79</v>
      </c>
      <c r="E985" t="s">
        <v>208</v>
      </c>
      <c r="F985">
        <v>256</v>
      </c>
      <c r="G985">
        <f>MAX(I978,I984)</f>
        <v>1348250</v>
      </c>
      <c r="H985">
        <f>CEILING((dram_access_latency+F985/dram_bandwidth)*frequency,1)</f>
        <v>104</v>
      </c>
      <c r="I985">
        <f>G985+H985</f>
        <v>1348354</v>
      </c>
      <c r="J985">
        <f>IF(AND(D985&lt;&gt;"dram",D985&lt;&gt;"control"),H985,0)</f>
        <v>0</v>
      </c>
      <c r="K985">
        <f>IF(D985="dram",H985,0)</f>
        <v>104</v>
      </c>
      <c r="L985">
        <v>256</v>
      </c>
      <c r="M985">
        <v>0</v>
      </c>
    </row>
    <row r="986" spans="1:13">
      <c r="A986">
        <v>984</v>
      </c>
      <c r="B986" t="s">
        <v>48</v>
      </c>
      <c r="C986" t="s">
        <v>85</v>
      </c>
      <c r="D986" t="s">
        <v>17</v>
      </c>
      <c r="E986" t="s">
        <v>208</v>
      </c>
      <c r="F986">
        <v>0</v>
      </c>
      <c r="G986">
        <f>MAX(I977,I981,I982,I983,I984,I985,I979,I980)</f>
        <v>1348354</v>
      </c>
      <c r="H986">
        <f>'Operations'!I19</f>
        <v>1024</v>
      </c>
      <c r="I986">
        <f>G986+H986</f>
        <v>1349378</v>
      </c>
      <c r="J986">
        <f>IF(AND(D986&lt;&gt;"dram",D986&lt;&gt;"control"),H986,0)</f>
        <v>1024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274</v>
      </c>
      <c r="C987" t="s">
        <v>82</v>
      </c>
      <c r="D987" t="s">
        <v>83</v>
      </c>
      <c r="E987" t="s">
        <v>208</v>
      </c>
      <c r="F987">
        <v>0</v>
      </c>
      <c r="G987">
        <f>MAX(I978,I977)</f>
        <v>1346474</v>
      </c>
      <c r="H987">
        <f>0</f>
        <v>1452</v>
      </c>
      <c r="I987">
        <f>G987+H987</f>
        <v>1347926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275</v>
      </c>
      <c r="C988" t="s">
        <v>87</v>
      </c>
      <c r="D988" t="s">
        <v>79</v>
      </c>
      <c r="E988" t="s">
        <v>208</v>
      </c>
      <c r="F988">
        <v>2</v>
      </c>
      <c r="G988">
        <f>MAX(I987,I985)</f>
        <v>1348354</v>
      </c>
      <c r="H988">
        <f>CEILING((dram_access_latency+F988/dram_bandwidth)*frequency,1)</f>
        <v>101</v>
      </c>
      <c r="I988">
        <f>G988+H988</f>
        <v>1348455</v>
      </c>
      <c r="J988">
        <f>IF(AND(D988&lt;&gt;"dram",D988&lt;&gt;"control"),H988,0)</f>
        <v>0</v>
      </c>
      <c r="K988">
        <f>IF(D988="dram",H988,0)</f>
        <v>101</v>
      </c>
      <c r="L988">
        <v>0</v>
      </c>
      <c r="M988">
        <v>2</v>
      </c>
    </row>
    <row r="989" spans="1:13">
      <c r="A989">
        <v>987</v>
      </c>
      <c r="B989" t="s">
        <v>276</v>
      </c>
      <c r="C989" t="s">
        <v>87</v>
      </c>
      <c r="D989" t="s">
        <v>79</v>
      </c>
      <c r="E989" t="s">
        <v>208</v>
      </c>
      <c r="F989">
        <v>64</v>
      </c>
      <c r="G989">
        <f>MAX(I987,I988)</f>
        <v>1348455</v>
      </c>
      <c r="H989">
        <f>CEILING((dram_access_latency+F989/dram_bandwidth)*frequency,1)</f>
        <v>101</v>
      </c>
      <c r="I989">
        <f>G989+H989</f>
        <v>1348556</v>
      </c>
      <c r="J989">
        <f>IF(AND(D989&lt;&gt;"dram",D989&lt;&gt;"control"),H989,0)</f>
        <v>0</v>
      </c>
      <c r="K989">
        <f>IF(D989="dram",H989,0)</f>
        <v>101</v>
      </c>
      <c r="L989">
        <v>0</v>
      </c>
      <c r="M989">
        <v>64</v>
      </c>
    </row>
    <row r="990" spans="1:13">
      <c r="A990">
        <v>988</v>
      </c>
      <c r="B990" t="s">
        <v>269</v>
      </c>
      <c r="C990" t="s">
        <v>78</v>
      </c>
      <c r="D990" t="s">
        <v>79</v>
      </c>
      <c r="E990" t="s">
        <v>209</v>
      </c>
      <c r="F990">
        <v>49152</v>
      </c>
      <c r="G990">
        <f>MAX(I987,I989)</f>
        <v>1348556</v>
      </c>
      <c r="H990">
        <f>CEILING((dram_access_latency+F990/dram_bandwidth)*frequency,1)</f>
        <v>823</v>
      </c>
      <c r="I990">
        <f>G990+H990</f>
        <v>1349379</v>
      </c>
      <c r="J990">
        <f>IF(AND(D990&lt;&gt;"dram",D990&lt;&gt;"control"),H990,0)</f>
        <v>0</v>
      </c>
      <c r="K990">
        <f>IF(D990="dram",H990,0)</f>
        <v>823</v>
      </c>
      <c r="L990">
        <v>49152</v>
      </c>
      <c r="M990">
        <v>0</v>
      </c>
    </row>
    <row r="991" spans="1:13">
      <c r="A991">
        <v>989</v>
      </c>
      <c r="B991" t="s">
        <v>270</v>
      </c>
      <c r="C991" t="s">
        <v>78</v>
      </c>
      <c r="D991" t="s">
        <v>79</v>
      </c>
      <c r="E991" t="s">
        <v>209</v>
      </c>
      <c r="F991">
        <v>1024</v>
      </c>
      <c r="G991">
        <f>MAX(I987,I990)</f>
        <v>1349379</v>
      </c>
      <c r="H991">
        <f>CEILING((dram_access_latency+F991/dram_bandwidth)*frequency,1)</f>
        <v>116</v>
      </c>
      <c r="I991">
        <f>G991+H991</f>
        <v>1349495</v>
      </c>
      <c r="J991">
        <f>IF(AND(D991&lt;&gt;"dram",D991&lt;&gt;"control"),H991,0)</f>
        <v>0</v>
      </c>
      <c r="K991">
        <f>IF(D991="dram",H991,0)</f>
        <v>116</v>
      </c>
      <c r="L991">
        <v>1024</v>
      </c>
      <c r="M991">
        <v>0</v>
      </c>
    </row>
    <row r="992" spans="1:13">
      <c r="A992">
        <v>990</v>
      </c>
      <c r="B992" t="s">
        <v>271</v>
      </c>
      <c r="C992" t="s">
        <v>78</v>
      </c>
      <c r="D992" t="s">
        <v>79</v>
      </c>
      <c r="E992" t="s">
        <v>209</v>
      </c>
      <c r="F992">
        <v>384</v>
      </c>
      <c r="G992">
        <f>MAX(I987,I991)</f>
        <v>1349495</v>
      </c>
      <c r="H992">
        <f>CEILING((dram_access_latency+F992/dram_bandwidth)*frequency,1)</f>
        <v>106</v>
      </c>
      <c r="I992">
        <f>G992+H992</f>
        <v>1349601</v>
      </c>
      <c r="J992">
        <f>IF(AND(D992&lt;&gt;"dram",D992&lt;&gt;"control"),H992,0)</f>
        <v>0</v>
      </c>
      <c r="K992">
        <f>IF(D992="dram",H992,0)</f>
        <v>106</v>
      </c>
      <c r="L992">
        <v>384</v>
      </c>
      <c r="M992">
        <v>0</v>
      </c>
    </row>
    <row r="993" spans="1:13">
      <c r="A993">
        <v>991</v>
      </c>
      <c r="B993" t="s">
        <v>272</v>
      </c>
      <c r="C993" t="s">
        <v>78</v>
      </c>
      <c r="D993" t="s">
        <v>79</v>
      </c>
      <c r="E993" t="s">
        <v>209</v>
      </c>
      <c r="F993">
        <v>8</v>
      </c>
      <c r="G993">
        <f>MAX(I987,I992)</f>
        <v>1349601</v>
      </c>
      <c r="H993">
        <f>CEILING((dram_access_latency+F993/dram_bandwidth)*frequency,1)</f>
        <v>101</v>
      </c>
      <c r="I993">
        <f>G993+H993</f>
        <v>1349702</v>
      </c>
      <c r="J993">
        <f>IF(AND(D993&lt;&gt;"dram",D993&lt;&gt;"control"),H993,0)</f>
        <v>0</v>
      </c>
      <c r="K993">
        <f>IF(D993="dram",H993,0)</f>
        <v>101</v>
      </c>
      <c r="L993">
        <v>8</v>
      </c>
      <c r="M993">
        <v>0</v>
      </c>
    </row>
    <row r="994" spans="1:13">
      <c r="A994">
        <v>992</v>
      </c>
      <c r="B994" t="s">
        <v>273</v>
      </c>
      <c r="C994" t="s">
        <v>78</v>
      </c>
      <c r="D994" t="s">
        <v>79</v>
      </c>
      <c r="E994" t="s">
        <v>209</v>
      </c>
      <c r="F994">
        <v>256</v>
      </c>
      <c r="G994">
        <f>MAX(I987,I993)</f>
        <v>1349702</v>
      </c>
      <c r="H994">
        <f>CEILING((dram_access_latency+F994/dram_bandwidth)*frequency,1)</f>
        <v>104</v>
      </c>
      <c r="I994">
        <f>G994+H994</f>
        <v>1349806</v>
      </c>
      <c r="J994">
        <f>IF(AND(D994&lt;&gt;"dram",D994&lt;&gt;"control"),H994,0)</f>
        <v>0</v>
      </c>
      <c r="K994">
        <f>IF(D994="dram",H994,0)</f>
        <v>104</v>
      </c>
      <c r="L994">
        <v>256</v>
      </c>
      <c r="M994">
        <v>0</v>
      </c>
    </row>
    <row r="995" spans="1:13">
      <c r="A995">
        <v>993</v>
      </c>
      <c r="B995" t="s">
        <v>48</v>
      </c>
      <c r="C995" t="s">
        <v>85</v>
      </c>
      <c r="D995" t="s">
        <v>17</v>
      </c>
      <c r="E995" t="s">
        <v>209</v>
      </c>
      <c r="F995">
        <v>0</v>
      </c>
      <c r="G995">
        <f>MAX(I986,I990,I991,I992,I993,I994,I988,I989)</f>
        <v>1349806</v>
      </c>
      <c r="H995">
        <f>'Operations'!I19</f>
        <v>1024</v>
      </c>
      <c r="I995">
        <f>G995+H995</f>
        <v>1350830</v>
      </c>
      <c r="J995">
        <f>IF(AND(D995&lt;&gt;"dram",D995&lt;&gt;"control"),H995,0)</f>
        <v>1024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274</v>
      </c>
      <c r="C996" t="s">
        <v>82</v>
      </c>
      <c r="D996" t="s">
        <v>83</v>
      </c>
      <c r="E996" t="s">
        <v>209</v>
      </c>
      <c r="F996">
        <v>0</v>
      </c>
      <c r="G996">
        <f>MAX(I987,I986)</f>
        <v>1347926</v>
      </c>
      <c r="H996">
        <f>0</f>
        <v>1452</v>
      </c>
      <c r="I996">
        <f>G996+H996</f>
        <v>1349378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275</v>
      </c>
      <c r="C997" t="s">
        <v>87</v>
      </c>
      <c r="D997" t="s">
        <v>79</v>
      </c>
      <c r="E997" t="s">
        <v>209</v>
      </c>
      <c r="F997">
        <v>2</v>
      </c>
      <c r="G997">
        <f>MAX(I996,I994)</f>
        <v>1349806</v>
      </c>
      <c r="H997">
        <f>CEILING((dram_access_latency+F997/dram_bandwidth)*frequency,1)</f>
        <v>101</v>
      </c>
      <c r="I997">
        <f>G997+H997</f>
        <v>1349907</v>
      </c>
      <c r="J997">
        <f>IF(AND(D997&lt;&gt;"dram",D997&lt;&gt;"control"),H997,0)</f>
        <v>0</v>
      </c>
      <c r="K997">
        <f>IF(D997="dram",H997,0)</f>
        <v>101</v>
      </c>
      <c r="L997">
        <v>0</v>
      </c>
      <c r="M997">
        <v>2</v>
      </c>
    </row>
    <row r="998" spans="1:13">
      <c r="A998">
        <v>996</v>
      </c>
      <c r="B998" t="s">
        <v>276</v>
      </c>
      <c r="C998" t="s">
        <v>87</v>
      </c>
      <c r="D998" t="s">
        <v>79</v>
      </c>
      <c r="E998" t="s">
        <v>209</v>
      </c>
      <c r="F998">
        <v>64</v>
      </c>
      <c r="G998">
        <f>MAX(I996,I997)</f>
        <v>1349907</v>
      </c>
      <c r="H998">
        <f>CEILING((dram_access_latency+F998/dram_bandwidth)*frequency,1)</f>
        <v>101</v>
      </c>
      <c r="I998">
        <f>G998+H998</f>
        <v>1350008</v>
      </c>
      <c r="J998">
        <f>IF(AND(D998&lt;&gt;"dram",D998&lt;&gt;"control"),H998,0)</f>
        <v>0</v>
      </c>
      <c r="K998">
        <f>IF(D998="dram",H998,0)</f>
        <v>101</v>
      </c>
      <c r="L998">
        <v>0</v>
      </c>
      <c r="M998">
        <v>64</v>
      </c>
    </row>
    <row r="999" spans="1:13">
      <c r="A999">
        <v>997</v>
      </c>
      <c r="B999" t="s">
        <v>269</v>
      </c>
      <c r="C999" t="s">
        <v>78</v>
      </c>
      <c r="D999" t="s">
        <v>79</v>
      </c>
      <c r="E999" t="s">
        <v>210</v>
      </c>
      <c r="F999">
        <v>49152</v>
      </c>
      <c r="G999">
        <f>MAX(I996,I998)</f>
        <v>1350008</v>
      </c>
      <c r="H999">
        <f>CEILING((dram_access_latency+F999/dram_bandwidth)*frequency,1)</f>
        <v>823</v>
      </c>
      <c r="I999">
        <f>G999+H999</f>
        <v>1350831</v>
      </c>
      <c r="J999">
        <f>IF(AND(D999&lt;&gt;"dram",D999&lt;&gt;"control"),H999,0)</f>
        <v>0</v>
      </c>
      <c r="K999">
        <f>IF(D999="dram",H999,0)</f>
        <v>823</v>
      </c>
      <c r="L999">
        <v>49152</v>
      </c>
      <c r="M999">
        <v>0</v>
      </c>
    </row>
    <row r="1000" spans="1:13">
      <c r="A1000">
        <v>998</v>
      </c>
      <c r="B1000" t="s">
        <v>270</v>
      </c>
      <c r="C1000" t="s">
        <v>78</v>
      </c>
      <c r="D1000" t="s">
        <v>79</v>
      </c>
      <c r="E1000" t="s">
        <v>210</v>
      </c>
      <c r="F1000">
        <v>1024</v>
      </c>
      <c r="G1000">
        <f>MAX(I996,I999)</f>
        <v>1350831</v>
      </c>
      <c r="H1000">
        <f>CEILING((dram_access_latency+F1000/dram_bandwidth)*frequency,1)</f>
        <v>116</v>
      </c>
      <c r="I1000">
        <f>G1000+H1000</f>
        <v>1350947</v>
      </c>
      <c r="J1000">
        <f>IF(AND(D1000&lt;&gt;"dram",D1000&lt;&gt;"control"),H1000,0)</f>
        <v>0</v>
      </c>
      <c r="K1000">
        <f>IF(D1000="dram",H1000,0)</f>
        <v>116</v>
      </c>
      <c r="L1000">
        <v>1024</v>
      </c>
      <c r="M1000">
        <v>0</v>
      </c>
    </row>
    <row r="1001" spans="1:13">
      <c r="A1001">
        <v>999</v>
      </c>
      <c r="B1001" t="s">
        <v>271</v>
      </c>
      <c r="C1001" t="s">
        <v>78</v>
      </c>
      <c r="D1001" t="s">
        <v>79</v>
      </c>
      <c r="E1001" t="s">
        <v>210</v>
      </c>
      <c r="F1001">
        <v>384</v>
      </c>
      <c r="G1001">
        <f>MAX(I996,I1000)</f>
        <v>1350947</v>
      </c>
      <c r="H1001">
        <f>CEILING((dram_access_latency+F1001/dram_bandwidth)*frequency,1)</f>
        <v>106</v>
      </c>
      <c r="I1001">
        <f>G1001+H1001</f>
        <v>1351053</v>
      </c>
      <c r="J1001">
        <f>IF(AND(D1001&lt;&gt;"dram",D1001&lt;&gt;"control"),H1001,0)</f>
        <v>0</v>
      </c>
      <c r="K1001">
        <f>IF(D1001="dram",H1001,0)</f>
        <v>106</v>
      </c>
      <c r="L1001">
        <v>384</v>
      </c>
      <c r="M1001">
        <v>0</v>
      </c>
    </row>
    <row r="1002" spans="1:13">
      <c r="A1002">
        <v>1000</v>
      </c>
      <c r="B1002" t="s">
        <v>272</v>
      </c>
      <c r="C1002" t="s">
        <v>78</v>
      </c>
      <c r="D1002" t="s">
        <v>79</v>
      </c>
      <c r="E1002" t="s">
        <v>210</v>
      </c>
      <c r="F1002">
        <v>8</v>
      </c>
      <c r="G1002">
        <f>MAX(I996,I1001)</f>
        <v>1351053</v>
      </c>
      <c r="H1002">
        <f>CEILING((dram_access_latency+F1002/dram_bandwidth)*frequency,1)</f>
        <v>101</v>
      </c>
      <c r="I1002">
        <f>G1002+H1002</f>
        <v>1351154</v>
      </c>
      <c r="J1002">
        <f>IF(AND(D1002&lt;&gt;"dram",D1002&lt;&gt;"control"),H1002,0)</f>
        <v>0</v>
      </c>
      <c r="K1002">
        <f>IF(D1002="dram",H1002,0)</f>
        <v>101</v>
      </c>
      <c r="L1002">
        <v>8</v>
      </c>
      <c r="M1002">
        <v>0</v>
      </c>
    </row>
    <row r="1003" spans="1:13">
      <c r="A1003">
        <v>1001</v>
      </c>
      <c r="B1003" t="s">
        <v>273</v>
      </c>
      <c r="C1003" t="s">
        <v>78</v>
      </c>
      <c r="D1003" t="s">
        <v>79</v>
      </c>
      <c r="E1003" t="s">
        <v>210</v>
      </c>
      <c r="F1003">
        <v>256</v>
      </c>
      <c r="G1003">
        <f>MAX(I996,I1002)</f>
        <v>1351154</v>
      </c>
      <c r="H1003">
        <f>CEILING((dram_access_latency+F1003/dram_bandwidth)*frequency,1)</f>
        <v>104</v>
      </c>
      <c r="I1003">
        <f>G1003+H1003</f>
        <v>1351258</v>
      </c>
      <c r="J1003">
        <f>IF(AND(D1003&lt;&gt;"dram",D1003&lt;&gt;"control"),H1003,0)</f>
        <v>0</v>
      </c>
      <c r="K1003">
        <f>IF(D1003="dram",H1003,0)</f>
        <v>104</v>
      </c>
      <c r="L1003">
        <v>256</v>
      </c>
      <c r="M1003">
        <v>0</v>
      </c>
    </row>
    <row r="1004" spans="1:13">
      <c r="A1004">
        <v>1002</v>
      </c>
      <c r="B1004" t="s">
        <v>48</v>
      </c>
      <c r="C1004" t="s">
        <v>85</v>
      </c>
      <c r="D1004" t="s">
        <v>17</v>
      </c>
      <c r="E1004" t="s">
        <v>210</v>
      </c>
      <c r="F1004">
        <v>0</v>
      </c>
      <c r="G1004">
        <f>MAX(I995,I999,I1000,I1001,I1002,I1003,I997,I998)</f>
        <v>1351258</v>
      </c>
      <c r="H1004">
        <f>'Operations'!I19</f>
        <v>1024</v>
      </c>
      <c r="I1004">
        <f>G1004+H1004</f>
        <v>1352282</v>
      </c>
      <c r="J1004">
        <f>IF(AND(D1004&lt;&gt;"dram",D1004&lt;&gt;"control"),H1004,0)</f>
        <v>1024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274</v>
      </c>
      <c r="C1005" t="s">
        <v>82</v>
      </c>
      <c r="D1005" t="s">
        <v>83</v>
      </c>
      <c r="E1005" t="s">
        <v>210</v>
      </c>
      <c r="F1005">
        <v>0</v>
      </c>
      <c r="G1005">
        <f>MAX(I996,I995)</f>
        <v>1349378</v>
      </c>
      <c r="H1005">
        <f>0</f>
        <v>1452</v>
      </c>
      <c r="I1005">
        <f>G1005+H1005</f>
        <v>1350830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275</v>
      </c>
      <c r="C1006" t="s">
        <v>87</v>
      </c>
      <c r="D1006" t="s">
        <v>79</v>
      </c>
      <c r="E1006" t="s">
        <v>210</v>
      </c>
      <c r="F1006">
        <v>2</v>
      </c>
      <c r="G1006">
        <f>MAX(I1005,I1003)</f>
        <v>1351258</v>
      </c>
      <c r="H1006">
        <f>CEILING((dram_access_latency+F1006/dram_bandwidth)*frequency,1)</f>
        <v>101</v>
      </c>
      <c r="I1006">
        <f>G1006+H1006</f>
        <v>1351359</v>
      </c>
      <c r="J1006">
        <f>IF(AND(D1006&lt;&gt;"dram",D1006&lt;&gt;"control"),H1006,0)</f>
        <v>0</v>
      </c>
      <c r="K1006">
        <f>IF(D1006="dram",H1006,0)</f>
        <v>101</v>
      </c>
      <c r="L1006">
        <v>0</v>
      </c>
      <c r="M1006">
        <v>2</v>
      </c>
    </row>
    <row r="1007" spans="1:13">
      <c r="A1007">
        <v>1005</v>
      </c>
      <c r="B1007" t="s">
        <v>276</v>
      </c>
      <c r="C1007" t="s">
        <v>87</v>
      </c>
      <c r="D1007" t="s">
        <v>79</v>
      </c>
      <c r="E1007" t="s">
        <v>210</v>
      </c>
      <c r="F1007">
        <v>64</v>
      </c>
      <c r="G1007">
        <f>MAX(I1005,I1006)</f>
        <v>1351359</v>
      </c>
      <c r="H1007">
        <f>CEILING((dram_access_latency+F1007/dram_bandwidth)*frequency,1)</f>
        <v>101</v>
      </c>
      <c r="I1007">
        <f>G1007+H1007</f>
        <v>1351460</v>
      </c>
      <c r="J1007">
        <f>IF(AND(D1007&lt;&gt;"dram",D1007&lt;&gt;"control"),H1007,0)</f>
        <v>0</v>
      </c>
      <c r="K1007">
        <f>IF(D1007="dram",H1007,0)</f>
        <v>101</v>
      </c>
      <c r="L1007">
        <v>0</v>
      </c>
      <c r="M1007">
        <v>64</v>
      </c>
    </row>
    <row r="1008" spans="1:13">
      <c r="A1008">
        <v>1006</v>
      </c>
      <c r="B1008" t="s">
        <v>269</v>
      </c>
      <c r="C1008" t="s">
        <v>78</v>
      </c>
      <c r="D1008" t="s">
        <v>79</v>
      </c>
      <c r="E1008" t="s">
        <v>211</v>
      </c>
      <c r="F1008">
        <v>49152</v>
      </c>
      <c r="G1008">
        <f>MAX(I1005,I1007)</f>
        <v>1351460</v>
      </c>
      <c r="H1008">
        <f>CEILING((dram_access_latency+F1008/dram_bandwidth)*frequency,1)</f>
        <v>823</v>
      </c>
      <c r="I1008">
        <f>G1008+H1008</f>
        <v>1352283</v>
      </c>
      <c r="J1008">
        <f>IF(AND(D1008&lt;&gt;"dram",D1008&lt;&gt;"control"),H1008,0)</f>
        <v>0</v>
      </c>
      <c r="K1008">
        <f>IF(D1008="dram",H1008,0)</f>
        <v>823</v>
      </c>
      <c r="L1008">
        <v>49152</v>
      </c>
      <c r="M1008">
        <v>0</v>
      </c>
    </row>
    <row r="1009" spans="1:13">
      <c r="A1009">
        <v>1007</v>
      </c>
      <c r="B1009" t="s">
        <v>270</v>
      </c>
      <c r="C1009" t="s">
        <v>78</v>
      </c>
      <c r="D1009" t="s">
        <v>79</v>
      </c>
      <c r="E1009" t="s">
        <v>211</v>
      </c>
      <c r="F1009">
        <v>1024</v>
      </c>
      <c r="G1009">
        <f>MAX(I1005,I1008)</f>
        <v>1352283</v>
      </c>
      <c r="H1009">
        <f>CEILING((dram_access_latency+F1009/dram_bandwidth)*frequency,1)</f>
        <v>116</v>
      </c>
      <c r="I1009">
        <f>G1009+H1009</f>
        <v>1352399</v>
      </c>
      <c r="J1009">
        <f>IF(AND(D1009&lt;&gt;"dram",D1009&lt;&gt;"control"),H1009,0)</f>
        <v>0</v>
      </c>
      <c r="K1009">
        <f>IF(D1009="dram",H1009,0)</f>
        <v>116</v>
      </c>
      <c r="L1009">
        <v>1024</v>
      </c>
      <c r="M1009">
        <v>0</v>
      </c>
    </row>
    <row r="1010" spans="1:13">
      <c r="A1010">
        <v>1008</v>
      </c>
      <c r="B1010" t="s">
        <v>271</v>
      </c>
      <c r="C1010" t="s">
        <v>78</v>
      </c>
      <c r="D1010" t="s">
        <v>79</v>
      </c>
      <c r="E1010" t="s">
        <v>211</v>
      </c>
      <c r="F1010">
        <v>384</v>
      </c>
      <c r="G1010">
        <f>MAX(I1005,I1009)</f>
        <v>1352399</v>
      </c>
      <c r="H1010">
        <f>CEILING((dram_access_latency+F1010/dram_bandwidth)*frequency,1)</f>
        <v>106</v>
      </c>
      <c r="I1010">
        <f>G1010+H1010</f>
        <v>1352505</v>
      </c>
      <c r="J1010">
        <f>IF(AND(D1010&lt;&gt;"dram",D1010&lt;&gt;"control"),H1010,0)</f>
        <v>0</v>
      </c>
      <c r="K1010">
        <f>IF(D1010="dram",H1010,0)</f>
        <v>106</v>
      </c>
      <c r="L1010">
        <v>384</v>
      </c>
      <c r="M1010">
        <v>0</v>
      </c>
    </row>
    <row r="1011" spans="1:13">
      <c r="A1011">
        <v>1009</v>
      </c>
      <c r="B1011" t="s">
        <v>272</v>
      </c>
      <c r="C1011" t="s">
        <v>78</v>
      </c>
      <c r="D1011" t="s">
        <v>79</v>
      </c>
      <c r="E1011" t="s">
        <v>211</v>
      </c>
      <c r="F1011">
        <v>8</v>
      </c>
      <c r="G1011">
        <f>MAX(I1005,I1010)</f>
        <v>1352505</v>
      </c>
      <c r="H1011">
        <f>CEILING((dram_access_latency+F1011/dram_bandwidth)*frequency,1)</f>
        <v>101</v>
      </c>
      <c r="I1011">
        <f>G1011+H1011</f>
        <v>1352606</v>
      </c>
      <c r="J1011">
        <f>IF(AND(D1011&lt;&gt;"dram",D1011&lt;&gt;"control"),H1011,0)</f>
        <v>0</v>
      </c>
      <c r="K1011">
        <f>IF(D1011="dram",H1011,0)</f>
        <v>101</v>
      </c>
      <c r="L1011">
        <v>8</v>
      </c>
      <c r="M1011">
        <v>0</v>
      </c>
    </row>
    <row r="1012" spans="1:13">
      <c r="A1012">
        <v>1010</v>
      </c>
      <c r="B1012" t="s">
        <v>273</v>
      </c>
      <c r="C1012" t="s">
        <v>78</v>
      </c>
      <c r="D1012" t="s">
        <v>79</v>
      </c>
      <c r="E1012" t="s">
        <v>211</v>
      </c>
      <c r="F1012">
        <v>256</v>
      </c>
      <c r="G1012">
        <f>MAX(I1005,I1011)</f>
        <v>1352606</v>
      </c>
      <c r="H1012">
        <f>CEILING((dram_access_latency+F1012/dram_bandwidth)*frequency,1)</f>
        <v>104</v>
      </c>
      <c r="I1012">
        <f>G1012+H1012</f>
        <v>1352710</v>
      </c>
      <c r="J1012">
        <f>IF(AND(D1012&lt;&gt;"dram",D1012&lt;&gt;"control"),H1012,0)</f>
        <v>0</v>
      </c>
      <c r="K1012">
        <f>IF(D1012="dram",H1012,0)</f>
        <v>104</v>
      </c>
      <c r="L1012">
        <v>256</v>
      </c>
      <c r="M1012">
        <v>0</v>
      </c>
    </row>
    <row r="1013" spans="1:13">
      <c r="A1013">
        <v>1011</v>
      </c>
      <c r="B1013" t="s">
        <v>48</v>
      </c>
      <c r="C1013" t="s">
        <v>85</v>
      </c>
      <c r="D1013" t="s">
        <v>17</v>
      </c>
      <c r="E1013" t="s">
        <v>211</v>
      </c>
      <c r="F1013">
        <v>0</v>
      </c>
      <c r="G1013">
        <f>MAX(I1004,I1008,I1009,I1010,I1011,I1012,I1006,I1007)</f>
        <v>1352710</v>
      </c>
      <c r="H1013">
        <f>'Operations'!I19</f>
        <v>1024</v>
      </c>
      <c r="I1013">
        <f>G1013+H1013</f>
        <v>1353734</v>
      </c>
      <c r="J1013">
        <f>IF(AND(D1013&lt;&gt;"dram",D1013&lt;&gt;"control"),H1013,0)</f>
        <v>1024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274</v>
      </c>
      <c r="C1014" t="s">
        <v>82</v>
      </c>
      <c r="D1014" t="s">
        <v>83</v>
      </c>
      <c r="E1014" t="s">
        <v>211</v>
      </c>
      <c r="F1014">
        <v>0</v>
      </c>
      <c r="G1014">
        <f>MAX(I1005,I1004)</f>
        <v>1350830</v>
      </c>
      <c r="H1014">
        <f>0</f>
        <v>1452</v>
      </c>
      <c r="I1014">
        <f>G1014+H1014</f>
        <v>1352282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275</v>
      </c>
      <c r="C1015" t="s">
        <v>87</v>
      </c>
      <c r="D1015" t="s">
        <v>79</v>
      </c>
      <c r="E1015" t="s">
        <v>211</v>
      </c>
      <c r="F1015">
        <v>2</v>
      </c>
      <c r="G1015">
        <f>MAX(I1014,I1012)</f>
        <v>1352710</v>
      </c>
      <c r="H1015">
        <f>CEILING((dram_access_latency+F1015/dram_bandwidth)*frequency,1)</f>
        <v>101</v>
      </c>
      <c r="I1015">
        <f>G1015+H1015</f>
        <v>1352811</v>
      </c>
      <c r="J1015">
        <f>IF(AND(D1015&lt;&gt;"dram",D1015&lt;&gt;"control"),H1015,0)</f>
        <v>0</v>
      </c>
      <c r="K1015">
        <f>IF(D1015="dram",H1015,0)</f>
        <v>101</v>
      </c>
      <c r="L1015">
        <v>0</v>
      </c>
      <c r="M1015">
        <v>2</v>
      </c>
    </row>
    <row r="1016" spans="1:13">
      <c r="A1016">
        <v>1014</v>
      </c>
      <c r="B1016" t="s">
        <v>276</v>
      </c>
      <c r="C1016" t="s">
        <v>87</v>
      </c>
      <c r="D1016" t="s">
        <v>79</v>
      </c>
      <c r="E1016" t="s">
        <v>211</v>
      </c>
      <c r="F1016">
        <v>64</v>
      </c>
      <c r="G1016">
        <f>MAX(I1014,I1015)</f>
        <v>1352811</v>
      </c>
      <c r="H1016">
        <f>CEILING((dram_access_latency+F1016/dram_bandwidth)*frequency,1)</f>
        <v>101</v>
      </c>
      <c r="I1016">
        <f>G1016+H1016</f>
        <v>1352912</v>
      </c>
      <c r="J1016">
        <f>IF(AND(D1016&lt;&gt;"dram",D1016&lt;&gt;"control"),H1016,0)</f>
        <v>0</v>
      </c>
      <c r="K1016">
        <f>IF(D1016="dram",H1016,0)</f>
        <v>101</v>
      </c>
      <c r="L1016">
        <v>0</v>
      </c>
      <c r="M1016">
        <v>64</v>
      </c>
    </row>
    <row r="1017" spans="1:13">
      <c r="A1017">
        <v>1015</v>
      </c>
      <c r="B1017" t="s">
        <v>269</v>
      </c>
      <c r="C1017" t="s">
        <v>78</v>
      </c>
      <c r="D1017" t="s">
        <v>79</v>
      </c>
      <c r="E1017" t="s">
        <v>212</v>
      </c>
      <c r="F1017">
        <v>49152</v>
      </c>
      <c r="G1017">
        <f>MAX(I1014,I1016)</f>
        <v>1352912</v>
      </c>
      <c r="H1017">
        <f>CEILING((dram_access_latency+F1017/dram_bandwidth)*frequency,1)</f>
        <v>823</v>
      </c>
      <c r="I1017">
        <f>G1017+H1017</f>
        <v>1353735</v>
      </c>
      <c r="J1017">
        <f>IF(AND(D1017&lt;&gt;"dram",D1017&lt;&gt;"control"),H1017,0)</f>
        <v>0</v>
      </c>
      <c r="K1017">
        <f>IF(D1017="dram",H1017,0)</f>
        <v>823</v>
      </c>
      <c r="L1017">
        <v>49152</v>
      </c>
      <c r="M1017">
        <v>0</v>
      </c>
    </row>
    <row r="1018" spans="1:13">
      <c r="A1018">
        <v>1016</v>
      </c>
      <c r="B1018" t="s">
        <v>270</v>
      </c>
      <c r="C1018" t="s">
        <v>78</v>
      </c>
      <c r="D1018" t="s">
        <v>79</v>
      </c>
      <c r="E1018" t="s">
        <v>212</v>
      </c>
      <c r="F1018">
        <v>1024</v>
      </c>
      <c r="G1018">
        <f>MAX(I1014,I1017)</f>
        <v>1353735</v>
      </c>
      <c r="H1018">
        <f>CEILING((dram_access_latency+F1018/dram_bandwidth)*frequency,1)</f>
        <v>116</v>
      </c>
      <c r="I1018">
        <f>G1018+H1018</f>
        <v>1353851</v>
      </c>
      <c r="J1018">
        <f>IF(AND(D1018&lt;&gt;"dram",D1018&lt;&gt;"control"),H1018,0)</f>
        <v>0</v>
      </c>
      <c r="K1018">
        <f>IF(D1018="dram",H1018,0)</f>
        <v>116</v>
      </c>
      <c r="L1018">
        <v>1024</v>
      </c>
      <c r="M1018">
        <v>0</v>
      </c>
    </row>
    <row r="1019" spans="1:13">
      <c r="A1019">
        <v>1017</v>
      </c>
      <c r="B1019" t="s">
        <v>271</v>
      </c>
      <c r="C1019" t="s">
        <v>78</v>
      </c>
      <c r="D1019" t="s">
        <v>79</v>
      </c>
      <c r="E1019" t="s">
        <v>212</v>
      </c>
      <c r="F1019">
        <v>384</v>
      </c>
      <c r="G1019">
        <f>MAX(I1014,I1018)</f>
        <v>1353851</v>
      </c>
      <c r="H1019">
        <f>CEILING((dram_access_latency+F1019/dram_bandwidth)*frequency,1)</f>
        <v>106</v>
      </c>
      <c r="I1019">
        <f>G1019+H1019</f>
        <v>1353957</v>
      </c>
      <c r="J1019">
        <f>IF(AND(D1019&lt;&gt;"dram",D1019&lt;&gt;"control"),H1019,0)</f>
        <v>0</v>
      </c>
      <c r="K1019">
        <f>IF(D1019="dram",H1019,0)</f>
        <v>106</v>
      </c>
      <c r="L1019">
        <v>384</v>
      </c>
      <c r="M1019">
        <v>0</v>
      </c>
    </row>
    <row r="1020" spans="1:13">
      <c r="A1020">
        <v>1018</v>
      </c>
      <c r="B1020" t="s">
        <v>272</v>
      </c>
      <c r="C1020" t="s">
        <v>78</v>
      </c>
      <c r="D1020" t="s">
        <v>79</v>
      </c>
      <c r="E1020" t="s">
        <v>212</v>
      </c>
      <c r="F1020">
        <v>8</v>
      </c>
      <c r="G1020">
        <f>MAX(I1014,I1019)</f>
        <v>1353957</v>
      </c>
      <c r="H1020">
        <f>CEILING((dram_access_latency+F1020/dram_bandwidth)*frequency,1)</f>
        <v>101</v>
      </c>
      <c r="I1020">
        <f>G1020+H1020</f>
        <v>1354058</v>
      </c>
      <c r="J1020">
        <f>IF(AND(D1020&lt;&gt;"dram",D1020&lt;&gt;"control"),H1020,0)</f>
        <v>0</v>
      </c>
      <c r="K1020">
        <f>IF(D1020="dram",H1020,0)</f>
        <v>101</v>
      </c>
      <c r="L1020">
        <v>8</v>
      </c>
      <c r="M1020">
        <v>0</v>
      </c>
    </row>
    <row r="1021" spans="1:13">
      <c r="A1021">
        <v>1019</v>
      </c>
      <c r="B1021" t="s">
        <v>273</v>
      </c>
      <c r="C1021" t="s">
        <v>78</v>
      </c>
      <c r="D1021" t="s">
        <v>79</v>
      </c>
      <c r="E1021" t="s">
        <v>212</v>
      </c>
      <c r="F1021">
        <v>256</v>
      </c>
      <c r="G1021">
        <f>MAX(I1014,I1020)</f>
        <v>1354058</v>
      </c>
      <c r="H1021">
        <f>CEILING((dram_access_latency+F1021/dram_bandwidth)*frequency,1)</f>
        <v>104</v>
      </c>
      <c r="I1021">
        <f>G1021+H1021</f>
        <v>1354162</v>
      </c>
      <c r="J1021">
        <f>IF(AND(D1021&lt;&gt;"dram",D1021&lt;&gt;"control"),H1021,0)</f>
        <v>0</v>
      </c>
      <c r="K1021">
        <f>IF(D1021="dram",H1021,0)</f>
        <v>104</v>
      </c>
      <c r="L1021">
        <v>256</v>
      </c>
      <c r="M1021">
        <v>0</v>
      </c>
    </row>
    <row r="1022" spans="1:13">
      <c r="A1022">
        <v>1020</v>
      </c>
      <c r="B1022" t="s">
        <v>48</v>
      </c>
      <c r="C1022" t="s">
        <v>85</v>
      </c>
      <c r="D1022" t="s">
        <v>17</v>
      </c>
      <c r="E1022" t="s">
        <v>212</v>
      </c>
      <c r="F1022">
        <v>0</v>
      </c>
      <c r="G1022">
        <f>MAX(I1013,I1017,I1018,I1019,I1020,I1021,I1015,I1016)</f>
        <v>1354162</v>
      </c>
      <c r="H1022">
        <f>'Operations'!I19</f>
        <v>1024</v>
      </c>
      <c r="I1022">
        <f>G1022+H1022</f>
        <v>1355186</v>
      </c>
      <c r="J1022">
        <f>IF(AND(D1022&lt;&gt;"dram",D1022&lt;&gt;"control"),H1022,0)</f>
        <v>1024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274</v>
      </c>
      <c r="C1023" t="s">
        <v>82</v>
      </c>
      <c r="D1023" t="s">
        <v>83</v>
      </c>
      <c r="E1023" t="s">
        <v>212</v>
      </c>
      <c r="F1023">
        <v>0</v>
      </c>
      <c r="G1023">
        <f>MAX(I1014,I1013)</f>
        <v>1352282</v>
      </c>
      <c r="H1023">
        <f>0</f>
        <v>1452</v>
      </c>
      <c r="I1023">
        <f>G1023+H1023</f>
        <v>1353734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275</v>
      </c>
      <c r="C1024" t="s">
        <v>87</v>
      </c>
      <c r="D1024" t="s">
        <v>79</v>
      </c>
      <c r="E1024" t="s">
        <v>212</v>
      </c>
      <c r="F1024">
        <v>2</v>
      </c>
      <c r="G1024">
        <f>MAX(I1023,I1021)</f>
        <v>1354162</v>
      </c>
      <c r="H1024">
        <f>CEILING((dram_access_latency+F1024/dram_bandwidth)*frequency,1)</f>
        <v>101</v>
      </c>
      <c r="I1024">
        <f>G1024+H1024</f>
        <v>1354263</v>
      </c>
      <c r="J1024">
        <f>IF(AND(D1024&lt;&gt;"dram",D1024&lt;&gt;"control"),H1024,0)</f>
        <v>0</v>
      </c>
      <c r="K1024">
        <f>IF(D1024="dram",H1024,0)</f>
        <v>101</v>
      </c>
      <c r="L1024">
        <v>0</v>
      </c>
      <c r="M1024">
        <v>2</v>
      </c>
    </row>
    <row r="1025" spans="1:13">
      <c r="A1025">
        <v>1023</v>
      </c>
      <c r="B1025" t="s">
        <v>276</v>
      </c>
      <c r="C1025" t="s">
        <v>87</v>
      </c>
      <c r="D1025" t="s">
        <v>79</v>
      </c>
      <c r="E1025" t="s">
        <v>212</v>
      </c>
      <c r="F1025">
        <v>64</v>
      </c>
      <c r="G1025">
        <f>MAX(I1023,I1024)</f>
        <v>1354263</v>
      </c>
      <c r="H1025">
        <f>CEILING((dram_access_latency+F1025/dram_bandwidth)*frequency,1)</f>
        <v>101</v>
      </c>
      <c r="I1025">
        <f>G1025+H1025</f>
        <v>1354364</v>
      </c>
      <c r="J1025">
        <f>IF(AND(D1025&lt;&gt;"dram",D1025&lt;&gt;"control"),H1025,0)</f>
        <v>0</v>
      </c>
      <c r="K1025">
        <f>IF(D1025="dram",H1025,0)</f>
        <v>101</v>
      </c>
      <c r="L1025">
        <v>0</v>
      </c>
      <c r="M1025">
        <v>64</v>
      </c>
    </row>
    <row r="1026" spans="1:13">
      <c r="A1026">
        <v>1024</v>
      </c>
      <c r="B1026" t="s">
        <v>269</v>
      </c>
      <c r="C1026" t="s">
        <v>78</v>
      </c>
      <c r="D1026" t="s">
        <v>79</v>
      </c>
      <c r="E1026" t="s">
        <v>213</v>
      </c>
      <c r="F1026">
        <v>49152</v>
      </c>
      <c r="G1026">
        <f>MAX(I1023,I1025)</f>
        <v>1354364</v>
      </c>
      <c r="H1026">
        <f>CEILING((dram_access_latency+F1026/dram_bandwidth)*frequency,1)</f>
        <v>823</v>
      </c>
      <c r="I1026">
        <f>G1026+H1026</f>
        <v>1355187</v>
      </c>
      <c r="J1026">
        <f>IF(AND(D1026&lt;&gt;"dram",D1026&lt;&gt;"control"),H1026,0)</f>
        <v>0</v>
      </c>
      <c r="K1026">
        <f>IF(D1026="dram",H1026,0)</f>
        <v>823</v>
      </c>
      <c r="L1026">
        <v>49152</v>
      </c>
      <c r="M1026">
        <v>0</v>
      </c>
    </row>
    <row r="1027" spans="1:13">
      <c r="A1027">
        <v>1025</v>
      </c>
      <c r="B1027" t="s">
        <v>270</v>
      </c>
      <c r="C1027" t="s">
        <v>78</v>
      </c>
      <c r="D1027" t="s">
        <v>79</v>
      </c>
      <c r="E1027" t="s">
        <v>213</v>
      </c>
      <c r="F1027">
        <v>1024</v>
      </c>
      <c r="G1027">
        <f>MAX(I1023,I1026)</f>
        <v>1355187</v>
      </c>
      <c r="H1027">
        <f>CEILING((dram_access_latency+F1027/dram_bandwidth)*frequency,1)</f>
        <v>116</v>
      </c>
      <c r="I1027">
        <f>G1027+H1027</f>
        <v>1355303</v>
      </c>
      <c r="J1027">
        <f>IF(AND(D1027&lt;&gt;"dram",D1027&lt;&gt;"control"),H1027,0)</f>
        <v>0</v>
      </c>
      <c r="K1027">
        <f>IF(D1027="dram",H1027,0)</f>
        <v>116</v>
      </c>
      <c r="L1027">
        <v>1024</v>
      </c>
      <c r="M1027">
        <v>0</v>
      </c>
    </row>
    <row r="1028" spans="1:13">
      <c r="A1028">
        <v>1026</v>
      </c>
      <c r="B1028" t="s">
        <v>271</v>
      </c>
      <c r="C1028" t="s">
        <v>78</v>
      </c>
      <c r="D1028" t="s">
        <v>79</v>
      </c>
      <c r="E1028" t="s">
        <v>213</v>
      </c>
      <c r="F1028">
        <v>384</v>
      </c>
      <c r="G1028">
        <f>MAX(I1023,I1027)</f>
        <v>1355303</v>
      </c>
      <c r="H1028">
        <f>CEILING((dram_access_latency+F1028/dram_bandwidth)*frequency,1)</f>
        <v>106</v>
      </c>
      <c r="I1028">
        <f>G1028+H1028</f>
        <v>1355409</v>
      </c>
      <c r="J1028">
        <f>IF(AND(D1028&lt;&gt;"dram",D1028&lt;&gt;"control"),H1028,0)</f>
        <v>0</v>
      </c>
      <c r="K1028">
        <f>IF(D1028="dram",H1028,0)</f>
        <v>106</v>
      </c>
      <c r="L1028">
        <v>384</v>
      </c>
      <c r="M1028">
        <v>0</v>
      </c>
    </row>
    <row r="1029" spans="1:13">
      <c r="A1029">
        <v>1027</v>
      </c>
      <c r="B1029" t="s">
        <v>272</v>
      </c>
      <c r="C1029" t="s">
        <v>78</v>
      </c>
      <c r="D1029" t="s">
        <v>79</v>
      </c>
      <c r="E1029" t="s">
        <v>213</v>
      </c>
      <c r="F1029">
        <v>8</v>
      </c>
      <c r="G1029">
        <f>MAX(I1023,I1028)</f>
        <v>1355409</v>
      </c>
      <c r="H1029">
        <f>CEILING((dram_access_latency+F1029/dram_bandwidth)*frequency,1)</f>
        <v>101</v>
      </c>
      <c r="I1029">
        <f>G1029+H1029</f>
        <v>1355510</v>
      </c>
      <c r="J1029">
        <f>IF(AND(D1029&lt;&gt;"dram",D1029&lt;&gt;"control"),H1029,0)</f>
        <v>0</v>
      </c>
      <c r="K1029">
        <f>IF(D1029="dram",H1029,0)</f>
        <v>101</v>
      </c>
      <c r="L1029">
        <v>8</v>
      </c>
      <c r="M1029">
        <v>0</v>
      </c>
    </row>
    <row r="1030" spans="1:13">
      <c r="A1030">
        <v>1028</v>
      </c>
      <c r="B1030" t="s">
        <v>273</v>
      </c>
      <c r="C1030" t="s">
        <v>78</v>
      </c>
      <c r="D1030" t="s">
        <v>79</v>
      </c>
      <c r="E1030" t="s">
        <v>213</v>
      </c>
      <c r="F1030">
        <v>256</v>
      </c>
      <c r="G1030">
        <f>MAX(I1023,I1029)</f>
        <v>1355510</v>
      </c>
      <c r="H1030">
        <f>CEILING((dram_access_latency+F1030/dram_bandwidth)*frequency,1)</f>
        <v>104</v>
      </c>
      <c r="I1030">
        <f>G1030+H1030</f>
        <v>1355614</v>
      </c>
      <c r="J1030">
        <f>IF(AND(D1030&lt;&gt;"dram",D1030&lt;&gt;"control"),H1030,0)</f>
        <v>0</v>
      </c>
      <c r="K1030">
        <f>IF(D1030="dram",H1030,0)</f>
        <v>104</v>
      </c>
      <c r="L1030">
        <v>256</v>
      </c>
      <c r="M1030">
        <v>0</v>
      </c>
    </row>
    <row r="1031" spans="1:13">
      <c r="A1031">
        <v>1029</v>
      </c>
      <c r="B1031" t="s">
        <v>48</v>
      </c>
      <c r="C1031" t="s">
        <v>85</v>
      </c>
      <c r="D1031" t="s">
        <v>17</v>
      </c>
      <c r="E1031" t="s">
        <v>213</v>
      </c>
      <c r="F1031">
        <v>0</v>
      </c>
      <c r="G1031">
        <f>MAX(I1022,I1026,I1027,I1028,I1029,I1030,I1024,I1025)</f>
        <v>1355614</v>
      </c>
      <c r="H1031">
        <f>'Operations'!I19</f>
        <v>1024</v>
      </c>
      <c r="I1031">
        <f>G1031+H1031</f>
        <v>1356638</v>
      </c>
      <c r="J1031">
        <f>IF(AND(D1031&lt;&gt;"dram",D1031&lt;&gt;"control"),H1031,0)</f>
        <v>1024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274</v>
      </c>
      <c r="C1032" t="s">
        <v>82</v>
      </c>
      <c r="D1032" t="s">
        <v>83</v>
      </c>
      <c r="E1032" t="s">
        <v>213</v>
      </c>
      <c r="F1032">
        <v>0</v>
      </c>
      <c r="G1032">
        <f>MAX(I1023,I1022)</f>
        <v>1353734</v>
      </c>
      <c r="H1032">
        <f>0</f>
        <v>1452</v>
      </c>
      <c r="I1032">
        <f>G1032+H1032</f>
        <v>1355186</v>
      </c>
      <c r="J1032">
        <f>IF(AND(D1032&lt;&gt;"dram",D1032&lt;&gt;"control"),H1032,0)</f>
        <v>0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275</v>
      </c>
      <c r="C1033" t="s">
        <v>87</v>
      </c>
      <c r="D1033" t="s">
        <v>79</v>
      </c>
      <c r="E1033" t="s">
        <v>213</v>
      </c>
      <c r="F1033">
        <v>2</v>
      </c>
      <c r="G1033">
        <f>MAX(I1032,I1030)</f>
        <v>1355614</v>
      </c>
      <c r="H1033">
        <f>CEILING((dram_access_latency+F1033/dram_bandwidth)*frequency,1)</f>
        <v>101</v>
      </c>
      <c r="I1033">
        <f>G1033+H1033</f>
        <v>1355715</v>
      </c>
      <c r="J1033">
        <f>IF(AND(D1033&lt;&gt;"dram",D1033&lt;&gt;"control"),H1033,0)</f>
        <v>0</v>
      </c>
      <c r="K1033">
        <f>IF(D1033="dram",H1033,0)</f>
        <v>101</v>
      </c>
      <c r="L1033">
        <v>0</v>
      </c>
      <c r="M1033">
        <v>2</v>
      </c>
    </row>
    <row r="1034" spans="1:13">
      <c r="A1034">
        <v>1032</v>
      </c>
      <c r="B1034" t="s">
        <v>276</v>
      </c>
      <c r="C1034" t="s">
        <v>87</v>
      </c>
      <c r="D1034" t="s">
        <v>79</v>
      </c>
      <c r="E1034" t="s">
        <v>213</v>
      </c>
      <c r="F1034">
        <v>64</v>
      </c>
      <c r="G1034">
        <f>MAX(I1032,I1033)</f>
        <v>1355715</v>
      </c>
      <c r="H1034">
        <f>CEILING((dram_access_latency+F1034/dram_bandwidth)*frequency,1)</f>
        <v>101</v>
      </c>
      <c r="I1034">
        <f>G1034+H1034</f>
        <v>1355816</v>
      </c>
      <c r="J1034">
        <f>IF(AND(D1034&lt;&gt;"dram",D1034&lt;&gt;"control"),H1034,0)</f>
        <v>0</v>
      </c>
      <c r="K1034">
        <f>IF(D1034="dram",H1034,0)</f>
        <v>101</v>
      </c>
      <c r="L1034">
        <v>0</v>
      </c>
      <c r="M1034">
        <v>64</v>
      </c>
    </row>
    <row r="1035" spans="1:13">
      <c r="A1035">
        <v>1033</v>
      </c>
      <c r="B1035" t="s">
        <v>269</v>
      </c>
      <c r="C1035" t="s">
        <v>78</v>
      </c>
      <c r="D1035" t="s">
        <v>79</v>
      </c>
      <c r="E1035" t="s">
        <v>214</v>
      </c>
      <c r="F1035">
        <v>49152</v>
      </c>
      <c r="G1035">
        <f>MAX(I1032,I1034)</f>
        <v>1355816</v>
      </c>
      <c r="H1035">
        <f>CEILING((dram_access_latency+F1035/dram_bandwidth)*frequency,1)</f>
        <v>823</v>
      </c>
      <c r="I1035">
        <f>G1035+H1035</f>
        <v>1356639</v>
      </c>
      <c r="J1035">
        <f>IF(AND(D1035&lt;&gt;"dram",D1035&lt;&gt;"control"),H1035,0)</f>
        <v>0</v>
      </c>
      <c r="K1035">
        <f>IF(D1035="dram",H1035,0)</f>
        <v>823</v>
      </c>
      <c r="L1035">
        <v>49152</v>
      </c>
      <c r="M1035">
        <v>0</v>
      </c>
    </row>
    <row r="1036" spans="1:13">
      <c r="A1036">
        <v>1034</v>
      </c>
      <c r="B1036" t="s">
        <v>270</v>
      </c>
      <c r="C1036" t="s">
        <v>78</v>
      </c>
      <c r="D1036" t="s">
        <v>79</v>
      </c>
      <c r="E1036" t="s">
        <v>214</v>
      </c>
      <c r="F1036">
        <v>1024</v>
      </c>
      <c r="G1036">
        <f>MAX(I1032,I1035)</f>
        <v>1356639</v>
      </c>
      <c r="H1036">
        <f>CEILING((dram_access_latency+F1036/dram_bandwidth)*frequency,1)</f>
        <v>116</v>
      </c>
      <c r="I1036">
        <f>G1036+H1036</f>
        <v>1356755</v>
      </c>
      <c r="J1036">
        <f>IF(AND(D1036&lt;&gt;"dram",D1036&lt;&gt;"control"),H1036,0)</f>
        <v>0</v>
      </c>
      <c r="K1036">
        <f>IF(D1036="dram",H1036,0)</f>
        <v>116</v>
      </c>
      <c r="L1036">
        <v>1024</v>
      </c>
      <c r="M1036">
        <v>0</v>
      </c>
    </row>
    <row r="1037" spans="1:13">
      <c r="A1037">
        <v>1035</v>
      </c>
      <c r="B1037" t="s">
        <v>271</v>
      </c>
      <c r="C1037" t="s">
        <v>78</v>
      </c>
      <c r="D1037" t="s">
        <v>79</v>
      </c>
      <c r="E1037" t="s">
        <v>214</v>
      </c>
      <c r="F1037">
        <v>384</v>
      </c>
      <c r="G1037">
        <f>MAX(I1032,I1036)</f>
        <v>1356755</v>
      </c>
      <c r="H1037">
        <f>CEILING((dram_access_latency+F1037/dram_bandwidth)*frequency,1)</f>
        <v>106</v>
      </c>
      <c r="I1037">
        <f>G1037+H1037</f>
        <v>1356861</v>
      </c>
      <c r="J1037">
        <f>IF(AND(D1037&lt;&gt;"dram",D1037&lt;&gt;"control"),H1037,0)</f>
        <v>0</v>
      </c>
      <c r="K1037">
        <f>IF(D1037="dram",H1037,0)</f>
        <v>106</v>
      </c>
      <c r="L1037">
        <v>384</v>
      </c>
      <c r="M1037">
        <v>0</v>
      </c>
    </row>
    <row r="1038" spans="1:13">
      <c r="A1038">
        <v>1036</v>
      </c>
      <c r="B1038" t="s">
        <v>272</v>
      </c>
      <c r="C1038" t="s">
        <v>78</v>
      </c>
      <c r="D1038" t="s">
        <v>79</v>
      </c>
      <c r="E1038" t="s">
        <v>214</v>
      </c>
      <c r="F1038">
        <v>8</v>
      </c>
      <c r="G1038">
        <f>MAX(I1032,I1037)</f>
        <v>1356861</v>
      </c>
      <c r="H1038">
        <f>CEILING((dram_access_latency+F1038/dram_bandwidth)*frequency,1)</f>
        <v>101</v>
      </c>
      <c r="I1038">
        <f>G1038+H1038</f>
        <v>1356962</v>
      </c>
      <c r="J1038">
        <f>IF(AND(D1038&lt;&gt;"dram",D1038&lt;&gt;"control"),H1038,0)</f>
        <v>0</v>
      </c>
      <c r="K1038">
        <f>IF(D1038="dram",H1038,0)</f>
        <v>101</v>
      </c>
      <c r="L1038">
        <v>8</v>
      </c>
      <c r="M1038">
        <v>0</v>
      </c>
    </row>
    <row r="1039" spans="1:13">
      <c r="A1039">
        <v>1037</v>
      </c>
      <c r="B1039" t="s">
        <v>273</v>
      </c>
      <c r="C1039" t="s">
        <v>78</v>
      </c>
      <c r="D1039" t="s">
        <v>79</v>
      </c>
      <c r="E1039" t="s">
        <v>214</v>
      </c>
      <c r="F1039">
        <v>256</v>
      </c>
      <c r="G1039">
        <f>MAX(I1032,I1038)</f>
        <v>1356962</v>
      </c>
      <c r="H1039">
        <f>CEILING((dram_access_latency+F1039/dram_bandwidth)*frequency,1)</f>
        <v>104</v>
      </c>
      <c r="I1039">
        <f>G1039+H1039</f>
        <v>1357066</v>
      </c>
      <c r="J1039">
        <f>IF(AND(D1039&lt;&gt;"dram",D1039&lt;&gt;"control"),H1039,0)</f>
        <v>0</v>
      </c>
      <c r="K1039">
        <f>IF(D1039="dram",H1039,0)</f>
        <v>104</v>
      </c>
      <c r="L1039">
        <v>256</v>
      </c>
      <c r="M1039">
        <v>0</v>
      </c>
    </row>
    <row r="1040" spans="1:13">
      <c r="A1040">
        <v>1038</v>
      </c>
      <c r="B1040" t="s">
        <v>48</v>
      </c>
      <c r="C1040" t="s">
        <v>85</v>
      </c>
      <c r="D1040" t="s">
        <v>17</v>
      </c>
      <c r="E1040" t="s">
        <v>214</v>
      </c>
      <c r="F1040">
        <v>0</v>
      </c>
      <c r="G1040">
        <f>MAX(I1031,I1035,I1036,I1037,I1038,I1039,I1033,I1034)</f>
        <v>1357066</v>
      </c>
      <c r="H1040">
        <f>'Operations'!I19</f>
        <v>1024</v>
      </c>
      <c r="I1040">
        <f>G1040+H1040</f>
        <v>1358090</v>
      </c>
      <c r="J1040">
        <f>IF(AND(D1040&lt;&gt;"dram",D1040&lt;&gt;"control"),H1040,0)</f>
        <v>1024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274</v>
      </c>
      <c r="C1041" t="s">
        <v>82</v>
      </c>
      <c r="D1041" t="s">
        <v>83</v>
      </c>
      <c r="E1041" t="s">
        <v>214</v>
      </c>
      <c r="F1041">
        <v>0</v>
      </c>
      <c r="G1041">
        <f>MAX(I1032,I1031)</f>
        <v>1355186</v>
      </c>
      <c r="H1041">
        <f>0</f>
        <v>1452</v>
      </c>
      <c r="I1041">
        <f>G1041+H1041</f>
        <v>1356638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275</v>
      </c>
      <c r="C1042" t="s">
        <v>87</v>
      </c>
      <c r="D1042" t="s">
        <v>79</v>
      </c>
      <c r="E1042" t="s">
        <v>214</v>
      </c>
      <c r="F1042">
        <v>2</v>
      </c>
      <c r="G1042">
        <f>MAX(I1041,I1039)</f>
        <v>1357066</v>
      </c>
      <c r="H1042">
        <f>CEILING((dram_access_latency+F1042/dram_bandwidth)*frequency,1)</f>
        <v>101</v>
      </c>
      <c r="I1042">
        <f>G1042+H1042</f>
        <v>1357167</v>
      </c>
      <c r="J1042">
        <f>IF(AND(D1042&lt;&gt;"dram",D1042&lt;&gt;"control"),H1042,0)</f>
        <v>0</v>
      </c>
      <c r="K1042">
        <f>IF(D1042="dram",H1042,0)</f>
        <v>101</v>
      </c>
      <c r="L1042">
        <v>0</v>
      </c>
      <c r="M1042">
        <v>2</v>
      </c>
    </row>
    <row r="1043" spans="1:13">
      <c r="A1043">
        <v>1041</v>
      </c>
      <c r="B1043" t="s">
        <v>276</v>
      </c>
      <c r="C1043" t="s">
        <v>87</v>
      </c>
      <c r="D1043" t="s">
        <v>79</v>
      </c>
      <c r="E1043" t="s">
        <v>214</v>
      </c>
      <c r="F1043">
        <v>64</v>
      </c>
      <c r="G1043">
        <f>MAX(I1041,I1042)</f>
        <v>1357167</v>
      </c>
      <c r="H1043">
        <f>CEILING((dram_access_latency+F1043/dram_bandwidth)*frequency,1)</f>
        <v>101</v>
      </c>
      <c r="I1043">
        <f>G1043+H1043</f>
        <v>1357268</v>
      </c>
      <c r="J1043">
        <f>IF(AND(D1043&lt;&gt;"dram",D1043&lt;&gt;"control"),H1043,0)</f>
        <v>0</v>
      </c>
      <c r="K1043">
        <f>IF(D1043="dram",H1043,0)</f>
        <v>101</v>
      </c>
      <c r="L1043">
        <v>0</v>
      </c>
      <c r="M1043">
        <v>64</v>
      </c>
    </row>
    <row r="1044" spans="1:13">
      <c r="A1044">
        <v>1042</v>
      </c>
      <c r="B1044" t="s">
        <v>269</v>
      </c>
      <c r="C1044" t="s">
        <v>78</v>
      </c>
      <c r="D1044" t="s">
        <v>79</v>
      </c>
      <c r="E1044" t="s">
        <v>215</v>
      </c>
      <c r="F1044">
        <v>49152</v>
      </c>
      <c r="G1044">
        <f>MAX(I1041,I1043)</f>
        <v>1357268</v>
      </c>
      <c r="H1044">
        <f>CEILING((dram_access_latency+F1044/dram_bandwidth)*frequency,1)</f>
        <v>823</v>
      </c>
      <c r="I1044">
        <f>G1044+H1044</f>
        <v>1358091</v>
      </c>
      <c r="J1044">
        <f>IF(AND(D1044&lt;&gt;"dram",D1044&lt;&gt;"control"),H1044,0)</f>
        <v>0</v>
      </c>
      <c r="K1044">
        <f>IF(D1044="dram",H1044,0)</f>
        <v>823</v>
      </c>
      <c r="L1044">
        <v>49152</v>
      </c>
      <c r="M1044">
        <v>0</v>
      </c>
    </row>
    <row r="1045" spans="1:13">
      <c r="A1045">
        <v>1043</v>
      </c>
      <c r="B1045" t="s">
        <v>270</v>
      </c>
      <c r="C1045" t="s">
        <v>78</v>
      </c>
      <c r="D1045" t="s">
        <v>79</v>
      </c>
      <c r="E1045" t="s">
        <v>215</v>
      </c>
      <c r="F1045">
        <v>1024</v>
      </c>
      <c r="G1045">
        <f>MAX(I1041,I1044)</f>
        <v>1358091</v>
      </c>
      <c r="H1045">
        <f>CEILING((dram_access_latency+F1045/dram_bandwidth)*frequency,1)</f>
        <v>116</v>
      </c>
      <c r="I1045">
        <f>G1045+H1045</f>
        <v>1358207</v>
      </c>
      <c r="J1045">
        <f>IF(AND(D1045&lt;&gt;"dram",D1045&lt;&gt;"control"),H1045,0)</f>
        <v>0</v>
      </c>
      <c r="K1045">
        <f>IF(D1045="dram",H1045,0)</f>
        <v>116</v>
      </c>
      <c r="L1045">
        <v>1024</v>
      </c>
      <c r="M1045">
        <v>0</v>
      </c>
    </row>
    <row r="1046" spans="1:13">
      <c r="A1046">
        <v>1044</v>
      </c>
      <c r="B1046" t="s">
        <v>271</v>
      </c>
      <c r="C1046" t="s">
        <v>78</v>
      </c>
      <c r="D1046" t="s">
        <v>79</v>
      </c>
      <c r="E1046" t="s">
        <v>215</v>
      </c>
      <c r="F1046">
        <v>384</v>
      </c>
      <c r="G1046">
        <f>MAX(I1041,I1045)</f>
        <v>1358207</v>
      </c>
      <c r="H1046">
        <f>CEILING((dram_access_latency+F1046/dram_bandwidth)*frequency,1)</f>
        <v>106</v>
      </c>
      <c r="I1046">
        <f>G1046+H1046</f>
        <v>1358313</v>
      </c>
      <c r="J1046">
        <f>IF(AND(D1046&lt;&gt;"dram",D1046&lt;&gt;"control"),H1046,0)</f>
        <v>0</v>
      </c>
      <c r="K1046">
        <f>IF(D1046="dram",H1046,0)</f>
        <v>106</v>
      </c>
      <c r="L1046">
        <v>384</v>
      </c>
      <c r="M1046">
        <v>0</v>
      </c>
    </row>
    <row r="1047" spans="1:13">
      <c r="A1047">
        <v>1045</v>
      </c>
      <c r="B1047" t="s">
        <v>272</v>
      </c>
      <c r="C1047" t="s">
        <v>78</v>
      </c>
      <c r="D1047" t="s">
        <v>79</v>
      </c>
      <c r="E1047" t="s">
        <v>215</v>
      </c>
      <c r="F1047">
        <v>8</v>
      </c>
      <c r="G1047">
        <f>MAX(I1041,I1046)</f>
        <v>1358313</v>
      </c>
      <c r="H1047">
        <f>CEILING((dram_access_latency+F1047/dram_bandwidth)*frequency,1)</f>
        <v>101</v>
      </c>
      <c r="I1047">
        <f>G1047+H1047</f>
        <v>1358414</v>
      </c>
      <c r="J1047">
        <f>IF(AND(D1047&lt;&gt;"dram",D1047&lt;&gt;"control"),H1047,0)</f>
        <v>0</v>
      </c>
      <c r="K1047">
        <f>IF(D1047="dram",H1047,0)</f>
        <v>101</v>
      </c>
      <c r="L1047">
        <v>8</v>
      </c>
      <c r="M1047">
        <v>0</v>
      </c>
    </row>
    <row r="1048" spans="1:13">
      <c r="A1048">
        <v>1046</v>
      </c>
      <c r="B1048" t="s">
        <v>273</v>
      </c>
      <c r="C1048" t="s">
        <v>78</v>
      </c>
      <c r="D1048" t="s">
        <v>79</v>
      </c>
      <c r="E1048" t="s">
        <v>215</v>
      </c>
      <c r="F1048">
        <v>256</v>
      </c>
      <c r="G1048">
        <f>MAX(I1041,I1047)</f>
        <v>1358414</v>
      </c>
      <c r="H1048">
        <f>CEILING((dram_access_latency+F1048/dram_bandwidth)*frequency,1)</f>
        <v>104</v>
      </c>
      <c r="I1048">
        <f>G1048+H1048</f>
        <v>1358518</v>
      </c>
      <c r="J1048">
        <f>IF(AND(D1048&lt;&gt;"dram",D1048&lt;&gt;"control"),H1048,0)</f>
        <v>0</v>
      </c>
      <c r="K1048">
        <f>IF(D1048="dram",H1048,0)</f>
        <v>104</v>
      </c>
      <c r="L1048">
        <v>256</v>
      </c>
      <c r="M1048">
        <v>0</v>
      </c>
    </row>
    <row r="1049" spans="1:13">
      <c r="A1049">
        <v>1047</v>
      </c>
      <c r="B1049" t="s">
        <v>48</v>
      </c>
      <c r="C1049" t="s">
        <v>85</v>
      </c>
      <c r="D1049" t="s">
        <v>17</v>
      </c>
      <c r="E1049" t="s">
        <v>215</v>
      </c>
      <c r="F1049">
        <v>0</v>
      </c>
      <c r="G1049">
        <f>MAX(I1040,I1044,I1045,I1046,I1047,I1048,I1042,I1043)</f>
        <v>1358518</v>
      </c>
      <c r="H1049">
        <f>'Operations'!I19</f>
        <v>1024</v>
      </c>
      <c r="I1049">
        <f>G1049+H1049</f>
        <v>1359542</v>
      </c>
      <c r="J1049">
        <f>IF(AND(D1049&lt;&gt;"dram",D1049&lt;&gt;"control"),H1049,0)</f>
        <v>1024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274</v>
      </c>
      <c r="C1050" t="s">
        <v>82</v>
      </c>
      <c r="D1050" t="s">
        <v>83</v>
      </c>
      <c r="E1050" t="s">
        <v>215</v>
      </c>
      <c r="F1050">
        <v>0</v>
      </c>
      <c r="G1050">
        <f>MAX(I1041,I1040)</f>
        <v>1356638</v>
      </c>
      <c r="H1050">
        <f>0</f>
        <v>1452</v>
      </c>
      <c r="I1050">
        <f>G1050+H1050</f>
        <v>1358090</v>
      </c>
      <c r="J1050">
        <f>IF(AND(D1050&lt;&gt;"dram",D1050&lt;&gt;"control"),H1050,0)</f>
        <v>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275</v>
      </c>
      <c r="C1051" t="s">
        <v>87</v>
      </c>
      <c r="D1051" t="s">
        <v>79</v>
      </c>
      <c r="E1051" t="s">
        <v>215</v>
      </c>
      <c r="F1051">
        <v>2</v>
      </c>
      <c r="G1051">
        <f>MAX(I1050,I1048)</f>
        <v>1358518</v>
      </c>
      <c r="H1051">
        <f>CEILING((dram_access_latency+F1051/dram_bandwidth)*frequency,1)</f>
        <v>101</v>
      </c>
      <c r="I1051">
        <f>G1051+H1051</f>
        <v>1358619</v>
      </c>
      <c r="J1051">
        <f>IF(AND(D1051&lt;&gt;"dram",D1051&lt;&gt;"control"),H1051,0)</f>
        <v>0</v>
      </c>
      <c r="K1051">
        <f>IF(D1051="dram",H1051,0)</f>
        <v>101</v>
      </c>
      <c r="L1051">
        <v>0</v>
      </c>
      <c r="M1051">
        <v>2</v>
      </c>
    </row>
    <row r="1052" spans="1:13">
      <c r="A1052">
        <v>1050</v>
      </c>
      <c r="B1052" t="s">
        <v>276</v>
      </c>
      <c r="C1052" t="s">
        <v>87</v>
      </c>
      <c r="D1052" t="s">
        <v>79</v>
      </c>
      <c r="E1052" t="s">
        <v>215</v>
      </c>
      <c r="F1052">
        <v>64</v>
      </c>
      <c r="G1052">
        <f>MAX(I1050,I1051)</f>
        <v>1358619</v>
      </c>
      <c r="H1052">
        <f>CEILING((dram_access_latency+F1052/dram_bandwidth)*frequency,1)</f>
        <v>101</v>
      </c>
      <c r="I1052">
        <f>G1052+H1052</f>
        <v>1358720</v>
      </c>
      <c r="J1052">
        <f>IF(AND(D1052&lt;&gt;"dram",D1052&lt;&gt;"control"),H1052,0)</f>
        <v>0</v>
      </c>
      <c r="K1052">
        <f>IF(D1052="dram",H1052,0)</f>
        <v>101</v>
      </c>
      <c r="L1052">
        <v>0</v>
      </c>
      <c r="M1052">
        <v>64</v>
      </c>
    </row>
    <row r="1053" spans="1:13">
      <c r="A1053">
        <v>1051</v>
      </c>
      <c r="B1053" t="s">
        <v>269</v>
      </c>
      <c r="C1053" t="s">
        <v>78</v>
      </c>
      <c r="D1053" t="s">
        <v>79</v>
      </c>
      <c r="E1053" t="s">
        <v>216</v>
      </c>
      <c r="F1053">
        <v>49152</v>
      </c>
      <c r="G1053">
        <f>MAX(I1050,I1052)</f>
        <v>1358720</v>
      </c>
      <c r="H1053">
        <f>CEILING((dram_access_latency+F1053/dram_bandwidth)*frequency,1)</f>
        <v>823</v>
      </c>
      <c r="I1053">
        <f>G1053+H1053</f>
        <v>1359543</v>
      </c>
      <c r="J1053">
        <f>IF(AND(D1053&lt;&gt;"dram",D1053&lt;&gt;"control"),H1053,0)</f>
        <v>0</v>
      </c>
      <c r="K1053">
        <f>IF(D1053="dram",H1053,0)</f>
        <v>823</v>
      </c>
      <c r="L1053">
        <v>49152</v>
      </c>
      <c r="M1053">
        <v>0</v>
      </c>
    </row>
    <row r="1054" spans="1:13">
      <c r="A1054">
        <v>1052</v>
      </c>
      <c r="B1054" t="s">
        <v>270</v>
      </c>
      <c r="C1054" t="s">
        <v>78</v>
      </c>
      <c r="D1054" t="s">
        <v>79</v>
      </c>
      <c r="E1054" t="s">
        <v>216</v>
      </c>
      <c r="F1054">
        <v>1024</v>
      </c>
      <c r="G1054">
        <f>MAX(I1050,I1053)</f>
        <v>1359543</v>
      </c>
      <c r="H1054">
        <f>CEILING((dram_access_latency+F1054/dram_bandwidth)*frequency,1)</f>
        <v>116</v>
      </c>
      <c r="I1054">
        <f>G1054+H1054</f>
        <v>1359659</v>
      </c>
      <c r="J1054">
        <f>IF(AND(D1054&lt;&gt;"dram",D1054&lt;&gt;"control"),H1054,0)</f>
        <v>0</v>
      </c>
      <c r="K1054">
        <f>IF(D1054="dram",H1054,0)</f>
        <v>116</v>
      </c>
      <c r="L1054">
        <v>1024</v>
      </c>
      <c r="M1054">
        <v>0</v>
      </c>
    </row>
    <row r="1055" spans="1:13">
      <c r="A1055">
        <v>1053</v>
      </c>
      <c r="B1055" t="s">
        <v>271</v>
      </c>
      <c r="C1055" t="s">
        <v>78</v>
      </c>
      <c r="D1055" t="s">
        <v>79</v>
      </c>
      <c r="E1055" t="s">
        <v>216</v>
      </c>
      <c r="F1055">
        <v>384</v>
      </c>
      <c r="G1055">
        <f>MAX(I1050,I1054)</f>
        <v>1359659</v>
      </c>
      <c r="H1055">
        <f>CEILING((dram_access_latency+F1055/dram_bandwidth)*frequency,1)</f>
        <v>106</v>
      </c>
      <c r="I1055">
        <f>G1055+H1055</f>
        <v>1359765</v>
      </c>
      <c r="J1055">
        <f>IF(AND(D1055&lt;&gt;"dram",D1055&lt;&gt;"control"),H1055,0)</f>
        <v>0</v>
      </c>
      <c r="K1055">
        <f>IF(D1055="dram",H1055,0)</f>
        <v>106</v>
      </c>
      <c r="L1055">
        <v>384</v>
      </c>
      <c r="M1055">
        <v>0</v>
      </c>
    </row>
    <row r="1056" spans="1:13">
      <c r="A1056">
        <v>1054</v>
      </c>
      <c r="B1056" t="s">
        <v>272</v>
      </c>
      <c r="C1056" t="s">
        <v>78</v>
      </c>
      <c r="D1056" t="s">
        <v>79</v>
      </c>
      <c r="E1056" t="s">
        <v>216</v>
      </c>
      <c r="F1056">
        <v>8</v>
      </c>
      <c r="G1056">
        <f>MAX(I1050,I1055)</f>
        <v>1359765</v>
      </c>
      <c r="H1056">
        <f>CEILING((dram_access_latency+F1056/dram_bandwidth)*frequency,1)</f>
        <v>101</v>
      </c>
      <c r="I1056">
        <f>G1056+H1056</f>
        <v>1359866</v>
      </c>
      <c r="J1056">
        <f>IF(AND(D1056&lt;&gt;"dram",D1056&lt;&gt;"control"),H1056,0)</f>
        <v>0</v>
      </c>
      <c r="K1056">
        <f>IF(D1056="dram",H1056,0)</f>
        <v>101</v>
      </c>
      <c r="L1056">
        <v>8</v>
      </c>
      <c r="M1056">
        <v>0</v>
      </c>
    </row>
    <row r="1057" spans="1:13">
      <c r="A1057">
        <v>1055</v>
      </c>
      <c r="B1057" t="s">
        <v>273</v>
      </c>
      <c r="C1057" t="s">
        <v>78</v>
      </c>
      <c r="D1057" t="s">
        <v>79</v>
      </c>
      <c r="E1057" t="s">
        <v>216</v>
      </c>
      <c r="F1057">
        <v>256</v>
      </c>
      <c r="G1057">
        <f>MAX(I1050,I1056)</f>
        <v>1359866</v>
      </c>
      <c r="H1057">
        <f>CEILING((dram_access_latency+F1057/dram_bandwidth)*frequency,1)</f>
        <v>104</v>
      </c>
      <c r="I1057">
        <f>G1057+H1057</f>
        <v>1359970</v>
      </c>
      <c r="J1057">
        <f>IF(AND(D1057&lt;&gt;"dram",D1057&lt;&gt;"control"),H1057,0)</f>
        <v>0</v>
      </c>
      <c r="K1057">
        <f>IF(D1057="dram",H1057,0)</f>
        <v>104</v>
      </c>
      <c r="L1057">
        <v>256</v>
      </c>
      <c r="M1057">
        <v>0</v>
      </c>
    </row>
    <row r="1058" spans="1:13">
      <c r="A1058">
        <v>1056</v>
      </c>
      <c r="B1058" t="s">
        <v>48</v>
      </c>
      <c r="C1058" t="s">
        <v>85</v>
      </c>
      <c r="D1058" t="s">
        <v>17</v>
      </c>
      <c r="E1058" t="s">
        <v>216</v>
      </c>
      <c r="F1058">
        <v>0</v>
      </c>
      <c r="G1058">
        <f>MAX(I1049,I1053,I1054,I1055,I1056,I1057,I1051,I1052)</f>
        <v>1359970</v>
      </c>
      <c r="H1058">
        <f>'Operations'!I19</f>
        <v>1024</v>
      </c>
      <c r="I1058">
        <f>G1058+H1058</f>
        <v>1360994</v>
      </c>
      <c r="J1058">
        <f>IF(AND(D1058&lt;&gt;"dram",D1058&lt;&gt;"control"),H1058,0)</f>
        <v>1024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274</v>
      </c>
      <c r="C1059" t="s">
        <v>82</v>
      </c>
      <c r="D1059" t="s">
        <v>83</v>
      </c>
      <c r="E1059" t="s">
        <v>216</v>
      </c>
      <c r="F1059">
        <v>0</v>
      </c>
      <c r="G1059">
        <f>MAX(I1050,I1049)</f>
        <v>1358090</v>
      </c>
      <c r="H1059">
        <f>0</f>
        <v>1452</v>
      </c>
      <c r="I1059">
        <f>G1059+H1059</f>
        <v>1359542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275</v>
      </c>
      <c r="C1060" t="s">
        <v>87</v>
      </c>
      <c r="D1060" t="s">
        <v>79</v>
      </c>
      <c r="E1060" t="s">
        <v>216</v>
      </c>
      <c r="F1060">
        <v>2</v>
      </c>
      <c r="G1060">
        <f>MAX(I1059,I1057)</f>
        <v>1359970</v>
      </c>
      <c r="H1060">
        <f>CEILING((dram_access_latency+F1060/dram_bandwidth)*frequency,1)</f>
        <v>101</v>
      </c>
      <c r="I1060">
        <f>G1060+H1060</f>
        <v>1360071</v>
      </c>
      <c r="J1060">
        <f>IF(AND(D1060&lt;&gt;"dram",D1060&lt;&gt;"control"),H1060,0)</f>
        <v>0</v>
      </c>
      <c r="K1060">
        <f>IF(D1060="dram",H1060,0)</f>
        <v>101</v>
      </c>
      <c r="L1060">
        <v>0</v>
      </c>
      <c r="M1060">
        <v>2</v>
      </c>
    </row>
    <row r="1061" spans="1:13">
      <c r="A1061">
        <v>1059</v>
      </c>
      <c r="B1061" t="s">
        <v>276</v>
      </c>
      <c r="C1061" t="s">
        <v>87</v>
      </c>
      <c r="D1061" t="s">
        <v>79</v>
      </c>
      <c r="E1061" t="s">
        <v>216</v>
      </c>
      <c r="F1061">
        <v>64</v>
      </c>
      <c r="G1061">
        <f>MAX(I1059,I1060)</f>
        <v>1360071</v>
      </c>
      <c r="H1061">
        <f>CEILING((dram_access_latency+F1061/dram_bandwidth)*frequency,1)</f>
        <v>101</v>
      </c>
      <c r="I1061">
        <f>G1061+H1061</f>
        <v>1360172</v>
      </c>
      <c r="J1061">
        <f>IF(AND(D1061&lt;&gt;"dram",D1061&lt;&gt;"control"),H1061,0)</f>
        <v>0</v>
      </c>
      <c r="K1061">
        <f>IF(D1061="dram",H1061,0)</f>
        <v>101</v>
      </c>
      <c r="L1061">
        <v>0</v>
      </c>
      <c r="M1061">
        <v>64</v>
      </c>
    </row>
    <row r="1062" spans="1:13">
      <c r="A1062">
        <v>1060</v>
      </c>
      <c r="B1062" t="s">
        <v>269</v>
      </c>
      <c r="C1062" t="s">
        <v>78</v>
      </c>
      <c r="D1062" t="s">
        <v>79</v>
      </c>
      <c r="E1062" t="s">
        <v>217</v>
      </c>
      <c r="F1062">
        <v>49152</v>
      </c>
      <c r="G1062">
        <f>MAX(I1059,I1061)</f>
        <v>1360172</v>
      </c>
      <c r="H1062">
        <f>CEILING((dram_access_latency+F1062/dram_bandwidth)*frequency,1)</f>
        <v>823</v>
      </c>
      <c r="I1062">
        <f>G1062+H1062</f>
        <v>1360995</v>
      </c>
      <c r="J1062">
        <f>IF(AND(D1062&lt;&gt;"dram",D1062&lt;&gt;"control"),H1062,0)</f>
        <v>0</v>
      </c>
      <c r="K1062">
        <f>IF(D1062="dram",H1062,0)</f>
        <v>823</v>
      </c>
      <c r="L1062">
        <v>49152</v>
      </c>
      <c r="M1062">
        <v>0</v>
      </c>
    </row>
    <row r="1063" spans="1:13">
      <c r="A1063">
        <v>1061</v>
      </c>
      <c r="B1063" t="s">
        <v>270</v>
      </c>
      <c r="C1063" t="s">
        <v>78</v>
      </c>
      <c r="D1063" t="s">
        <v>79</v>
      </c>
      <c r="E1063" t="s">
        <v>217</v>
      </c>
      <c r="F1063">
        <v>1024</v>
      </c>
      <c r="G1063">
        <f>MAX(I1059,I1062)</f>
        <v>1360995</v>
      </c>
      <c r="H1063">
        <f>CEILING((dram_access_latency+F1063/dram_bandwidth)*frequency,1)</f>
        <v>116</v>
      </c>
      <c r="I1063">
        <f>G1063+H1063</f>
        <v>1361111</v>
      </c>
      <c r="J1063">
        <f>IF(AND(D1063&lt;&gt;"dram",D1063&lt;&gt;"control"),H1063,0)</f>
        <v>0</v>
      </c>
      <c r="K1063">
        <f>IF(D1063="dram",H1063,0)</f>
        <v>116</v>
      </c>
      <c r="L1063">
        <v>1024</v>
      </c>
      <c r="M1063">
        <v>0</v>
      </c>
    </row>
    <row r="1064" spans="1:13">
      <c r="A1064">
        <v>1062</v>
      </c>
      <c r="B1064" t="s">
        <v>271</v>
      </c>
      <c r="C1064" t="s">
        <v>78</v>
      </c>
      <c r="D1064" t="s">
        <v>79</v>
      </c>
      <c r="E1064" t="s">
        <v>217</v>
      </c>
      <c r="F1064">
        <v>384</v>
      </c>
      <c r="G1064">
        <f>MAX(I1059,I1063)</f>
        <v>1361111</v>
      </c>
      <c r="H1064">
        <f>CEILING((dram_access_latency+F1064/dram_bandwidth)*frequency,1)</f>
        <v>106</v>
      </c>
      <c r="I1064">
        <f>G1064+H1064</f>
        <v>1361217</v>
      </c>
      <c r="J1064">
        <f>IF(AND(D1064&lt;&gt;"dram",D1064&lt;&gt;"control"),H1064,0)</f>
        <v>0</v>
      </c>
      <c r="K1064">
        <f>IF(D1064="dram",H1064,0)</f>
        <v>106</v>
      </c>
      <c r="L1064">
        <v>384</v>
      </c>
      <c r="M1064">
        <v>0</v>
      </c>
    </row>
    <row r="1065" spans="1:13">
      <c r="A1065">
        <v>1063</v>
      </c>
      <c r="B1065" t="s">
        <v>272</v>
      </c>
      <c r="C1065" t="s">
        <v>78</v>
      </c>
      <c r="D1065" t="s">
        <v>79</v>
      </c>
      <c r="E1065" t="s">
        <v>217</v>
      </c>
      <c r="F1065">
        <v>8</v>
      </c>
      <c r="G1065">
        <f>MAX(I1059,I1064)</f>
        <v>1361217</v>
      </c>
      <c r="H1065">
        <f>CEILING((dram_access_latency+F1065/dram_bandwidth)*frequency,1)</f>
        <v>101</v>
      </c>
      <c r="I1065">
        <f>G1065+H1065</f>
        <v>1361318</v>
      </c>
      <c r="J1065">
        <f>IF(AND(D1065&lt;&gt;"dram",D1065&lt;&gt;"control"),H1065,0)</f>
        <v>0</v>
      </c>
      <c r="K1065">
        <f>IF(D1065="dram",H1065,0)</f>
        <v>101</v>
      </c>
      <c r="L1065">
        <v>8</v>
      </c>
      <c r="M1065">
        <v>0</v>
      </c>
    </row>
    <row r="1066" spans="1:13">
      <c r="A1066">
        <v>1064</v>
      </c>
      <c r="B1066" t="s">
        <v>273</v>
      </c>
      <c r="C1066" t="s">
        <v>78</v>
      </c>
      <c r="D1066" t="s">
        <v>79</v>
      </c>
      <c r="E1066" t="s">
        <v>217</v>
      </c>
      <c r="F1066">
        <v>256</v>
      </c>
      <c r="G1066">
        <f>MAX(I1059,I1065)</f>
        <v>1361318</v>
      </c>
      <c r="H1066">
        <f>CEILING((dram_access_latency+F1066/dram_bandwidth)*frequency,1)</f>
        <v>104</v>
      </c>
      <c r="I1066">
        <f>G1066+H1066</f>
        <v>1361422</v>
      </c>
      <c r="J1066">
        <f>IF(AND(D1066&lt;&gt;"dram",D1066&lt;&gt;"control"),H1066,0)</f>
        <v>0</v>
      </c>
      <c r="K1066">
        <f>IF(D1066="dram",H1066,0)</f>
        <v>104</v>
      </c>
      <c r="L1066">
        <v>256</v>
      </c>
      <c r="M1066">
        <v>0</v>
      </c>
    </row>
    <row r="1067" spans="1:13">
      <c r="A1067">
        <v>1065</v>
      </c>
      <c r="B1067" t="s">
        <v>48</v>
      </c>
      <c r="C1067" t="s">
        <v>85</v>
      </c>
      <c r="D1067" t="s">
        <v>17</v>
      </c>
      <c r="E1067" t="s">
        <v>217</v>
      </c>
      <c r="F1067">
        <v>0</v>
      </c>
      <c r="G1067">
        <f>MAX(I1058,I1062,I1063,I1064,I1065,I1066,I1060,I1061)</f>
        <v>1361422</v>
      </c>
      <c r="H1067">
        <f>'Operations'!I19</f>
        <v>1024</v>
      </c>
      <c r="I1067">
        <f>G1067+H1067</f>
        <v>1362446</v>
      </c>
      <c r="J1067">
        <f>IF(AND(D1067&lt;&gt;"dram",D1067&lt;&gt;"control"),H1067,0)</f>
        <v>1024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274</v>
      </c>
      <c r="C1068" t="s">
        <v>82</v>
      </c>
      <c r="D1068" t="s">
        <v>83</v>
      </c>
      <c r="E1068" t="s">
        <v>217</v>
      </c>
      <c r="F1068">
        <v>0</v>
      </c>
      <c r="G1068">
        <f>MAX(I1059,I1058)</f>
        <v>1359542</v>
      </c>
      <c r="H1068">
        <f>0</f>
        <v>1452</v>
      </c>
      <c r="I1068">
        <f>G1068+H1068</f>
        <v>1360994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275</v>
      </c>
      <c r="C1069" t="s">
        <v>87</v>
      </c>
      <c r="D1069" t="s">
        <v>79</v>
      </c>
      <c r="E1069" t="s">
        <v>217</v>
      </c>
      <c r="F1069">
        <v>2</v>
      </c>
      <c r="G1069">
        <f>MAX(I1068,I1066)</f>
        <v>1361422</v>
      </c>
      <c r="H1069">
        <f>CEILING((dram_access_latency+F1069/dram_bandwidth)*frequency,1)</f>
        <v>101</v>
      </c>
      <c r="I1069">
        <f>G1069+H1069</f>
        <v>1361523</v>
      </c>
      <c r="J1069">
        <f>IF(AND(D1069&lt;&gt;"dram",D1069&lt;&gt;"control"),H1069,0)</f>
        <v>0</v>
      </c>
      <c r="K1069">
        <f>IF(D1069="dram",H1069,0)</f>
        <v>101</v>
      </c>
      <c r="L1069">
        <v>0</v>
      </c>
      <c r="M1069">
        <v>2</v>
      </c>
    </row>
    <row r="1070" spans="1:13">
      <c r="A1070">
        <v>1068</v>
      </c>
      <c r="B1070" t="s">
        <v>276</v>
      </c>
      <c r="C1070" t="s">
        <v>87</v>
      </c>
      <c r="D1070" t="s">
        <v>79</v>
      </c>
      <c r="E1070" t="s">
        <v>217</v>
      </c>
      <c r="F1070">
        <v>64</v>
      </c>
      <c r="G1070">
        <f>MAX(I1068,I1069)</f>
        <v>1361523</v>
      </c>
      <c r="H1070">
        <f>CEILING((dram_access_latency+F1070/dram_bandwidth)*frequency,1)</f>
        <v>101</v>
      </c>
      <c r="I1070">
        <f>G1070+H1070</f>
        <v>1361624</v>
      </c>
      <c r="J1070">
        <f>IF(AND(D1070&lt;&gt;"dram",D1070&lt;&gt;"control"),H1070,0)</f>
        <v>0</v>
      </c>
      <c r="K1070">
        <f>IF(D1070="dram",H1070,0)</f>
        <v>101</v>
      </c>
      <c r="L1070">
        <v>0</v>
      </c>
      <c r="M1070">
        <v>64</v>
      </c>
    </row>
    <row r="1071" spans="1:13">
      <c r="A1071">
        <v>1069</v>
      </c>
      <c r="B1071" t="s">
        <v>269</v>
      </c>
      <c r="C1071" t="s">
        <v>78</v>
      </c>
      <c r="D1071" t="s">
        <v>79</v>
      </c>
      <c r="E1071" t="s">
        <v>218</v>
      </c>
      <c r="F1071">
        <v>49152</v>
      </c>
      <c r="G1071">
        <f>MAX(I1068,I1070)</f>
        <v>1361624</v>
      </c>
      <c r="H1071">
        <f>CEILING((dram_access_latency+F1071/dram_bandwidth)*frequency,1)</f>
        <v>823</v>
      </c>
      <c r="I1071">
        <f>G1071+H1071</f>
        <v>1362447</v>
      </c>
      <c r="J1071">
        <f>IF(AND(D1071&lt;&gt;"dram",D1071&lt;&gt;"control"),H1071,0)</f>
        <v>0</v>
      </c>
      <c r="K1071">
        <f>IF(D1071="dram",H1071,0)</f>
        <v>823</v>
      </c>
      <c r="L1071">
        <v>49152</v>
      </c>
      <c r="M1071">
        <v>0</v>
      </c>
    </row>
    <row r="1072" spans="1:13">
      <c r="A1072">
        <v>1070</v>
      </c>
      <c r="B1072" t="s">
        <v>270</v>
      </c>
      <c r="C1072" t="s">
        <v>78</v>
      </c>
      <c r="D1072" t="s">
        <v>79</v>
      </c>
      <c r="E1072" t="s">
        <v>218</v>
      </c>
      <c r="F1072">
        <v>1024</v>
      </c>
      <c r="G1072">
        <f>MAX(I1068,I1071)</f>
        <v>1362447</v>
      </c>
      <c r="H1072">
        <f>CEILING((dram_access_latency+F1072/dram_bandwidth)*frequency,1)</f>
        <v>116</v>
      </c>
      <c r="I1072">
        <f>G1072+H1072</f>
        <v>1362563</v>
      </c>
      <c r="J1072">
        <f>IF(AND(D1072&lt;&gt;"dram",D1072&lt;&gt;"control"),H1072,0)</f>
        <v>0</v>
      </c>
      <c r="K1072">
        <f>IF(D1072="dram",H1072,0)</f>
        <v>116</v>
      </c>
      <c r="L1072">
        <v>1024</v>
      </c>
      <c r="M1072">
        <v>0</v>
      </c>
    </row>
    <row r="1073" spans="1:13">
      <c r="A1073">
        <v>1071</v>
      </c>
      <c r="B1073" t="s">
        <v>271</v>
      </c>
      <c r="C1073" t="s">
        <v>78</v>
      </c>
      <c r="D1073" t="s">
        <v>79</v>
      </c>
      <c r="E1073" t="s">
        <v>218</v>
      </c>
      <c r="F1073">
        <v>384</v>
      </c>
      <c r="G1073">
        <f>MAX(I1068,I1072)</f>
        <v>1362563</v>
      </c>
      <c r="H1073">
        <f>CEILING((dram_access_latency+F1073/dram_bandwidth)*frequency,1)</f>
        <v>106</v>
      </c>
      <c r="I1073">
        <f>G1073+H1073</f>
        <v>1362669</v>
      </c>
      <c r="J1073">
        <f>IF(AND(D1073&lt;&gt;"dram",D1073&lt;&gt;"control"),H1073,0)</f>
        <v>0</v>
      </c>
      <c r="K1073">
        <f>IF(D1073="dram",H1073,0)</f>
        <v>106</v>
      </c>
      <c r="L1073">
        <v>384</v>
      </c>
      <c r="M1073">
        <v>0</v>
      </c>
    </row>
    <row r="1074" spans="1:13">
      <c r="A1074">
        <v>1072</v>
      </c>
      <c r="B1074" t="s">
        <v>272</v>
      </c>
      <c r="C1074" t="s">
        <v>78</v>
      </c>
      <c r="D1074" t="s">
        <v>79</v>
      </c>
      <c r="E1074" t="s">
        <v>218</v>
      </c>
      <c r="F1074">
        <v>8</v>
      </c>
      <c r="G1074">
        <f>MAX(I1068,I1073)</f>
        <v>1362669</v>
      </c>
      <c r="H1074">
        <f>CEILING((dram_access_latency+F1074/dram_bandwidth)*frequency,1)</f>
        <v>101</v>
      </c>
      <c r="I1074">
        <f>G1074+H1074</f>
        <v>1362770</v>
      </c>
      <c r="J1074">
        <f>IF(AND(D1074&lt;&gt;"dram",D1074&lt;&gt;"control"),H1074,0)</f>
        <v>0</v>
      </c>
      <c r="K1074">
        <f>IF(D1074="dram",H1074,0)</f>
        <v>101</v>
      </c>
      <c r="L1074">
        <v>8</v>
      </c>
      <c r="M1074">
        <v>0</v>
      </c>
    </row>
    <row r="1075" spans="1:13">
      <c r="A1075">
        <v>1073</v>
      </c>
      <c r="B1075" t="s">
        <v>273</v>
      </c>
      <c r="C1075" t="s">
        <v>78</v>
      </c>
      <c r="D1075" t="s">
        <v>79</v>
      </c>
      <c r="E1075" t="s">
        <v>218</v>
      </c>
      <c r="F1075">
        <v>256</v>
      </c>
      <c r="G1075">
        <f>MAX(I1068,I1074)</f>
        <v>1362770</v>
      </c>
      <c r="H1075">
        <f>CEILING((dram_access_latency+F1075/dram_bandwidth)*frequency,1)</f>
        <v>104</v>
      </c>
      <c r="I1075">
        <f>G1075+H1075</f>
        <v>1362874</v>
      </c>
      <c r="J1075">
        <f>IF(AND(D1075&lt;&gt;"dram",D1075&lt;&gt;"control"),H1075,0)</f>
        <v>0</v>
      </c>
      <c r="K1075">
        <f>IF(D1075="dram",H1075,0)</f>
        <v>104</v>
      </c>
      <c r="L1075">
        <v>256</v>
      </c>
      <c r="M1075">
        <v>0</v>
      </c>
    </row>
    <row r="1076" spans="1:13">
      <c r="A1076">
        <v>1074</v>
      </c>
      <c r="B1076" t="s">
        <v>48</v>
      </c>
      <c r="C1076" t="s">
        <v>85</v>
      </c>
      <c r="D1076" t="s">
        <v>17</v>
      </c>
      <c r="E1076" t="s">
        <v>218</v>
      </c>
      <c r="F1076">
        <v>0</v>
      </c>
      <c r="G1076">
        <f>MAX(I1067,I1071,I1072,I1073,I1074,I1075,I1069,I1070)</f>
        <v>1362874</v>
      </c>
      <c r="H1076">
        <f>'Operations'!I19</f>
        <v>1024</v>
      </c>
      <c r="I1076">
        <f>G1076+H1076</f>
        <v>1363898</v>
      </c>
      <c r="J1076">
        <f>IF(AND(D1076&lt;&gt;"dram",D1076&lt;&gt;"control"),H1076,0)</f>
        <v>1024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274</v>
      </c>
      <c r="C1077" t="s">
        <v>82</v>
      </c>
      <c r="D1077" t="s">
        <v>83</v>
      </c>
      <c r="E1077" t="s">
        <v>218</v>
      </c>
      <c r="F1077">
        <v>0</v>
      </c>
      <c r="G1077">
        <f>MAX(I1068,I1067)</f>
        <v>1360994</v>
      </c>
      <c r="H1077">
        <f>0</f>
        <v>1452</v>
      </c>
      <c r="I1077">
        <f>G1077+H1077</f>
        <v>1362446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275</v>
      </c>
      <c r="C1078" t="s">
        <v>87</v>
      </c>
      <c r="D1078" t="s">
        <v>79</v>
      </c>
      <c r="E1078" t="s">
        <v>218</v>
      </c>
      <c r="F1078">
        <v>2</v>
      </c>
      <c r="G1078">
        <f>MAX(I1077,I1075)</f>
        <v>1362874</v>
      </c>
      <c r="H1078">
        <f>CEILING((dram_access_latency+F1078/dram_bandwidth)*frequency,1)</f>
        <v>101</v>
      </c>
      <c r="I1078">
        <f>G1078+H1078</f>
        <v>1362975</v>
      </c>
      <c r="J1078">
        <f>IF(AND(D1078&lt;&gt;"dram",D1078&lt;&gt;"control"),H1078,0)</f>
        <v>0</v>
      </c>
      <c r="K1078">
        <f>IF(D1078="dram",H1078,0)</f>
        <v>101</v>
      </c>
      <c r="L1078">
        <v>0</v>
      </c>
      <c r="M1078">
        <v>2</v>
      </c>
    </row>
    <row r="1079" spans="1:13">
      <c r="A1079">
        <v>1077</v>
      </c>
      <c r="B1079" t="s">
        <v>276</v>
      </c>
      <c r="C1079" t="s">
        <v>87</v>
      </c>
      <c r="D1079" t="s">
        <v>79</v>
      </c>
      <c r="E1079" t="s">
        <v>218</v>
      </c>
      <c r="F1079">
        <v>64</v>
      </c>
      <c r="G1079">
        <f>MAX(I1077,I1078)</f>
        <v>1362975</v>
      </c>
      <c r="H1079">
        <f>CEILING((dram_access_latency+F1079/dram_bandwidth)*frequency,1)</f>
        <v>101</v>
      </c>
      <c r="I1079">
        <f>G1079+H1079</f>
        <v>1363076</v>
      </c>
      <c r="J1079">
        <f>IF(AND(D1079&lt;&gt;"dram",D1079&lt;&gt;"control"),H1079,0)</f>
        <v>0</v>
      </c>
      <c r="K1079">
        <f>IF(D1079="dram",H1079,0)</f>
        <v>101</v>
      </c>
      <c r="L1079">
        <v>0</v>
      </c>
      <c r="M1079">
        <v>64</v>
      </c>
    </row>
    <row r="1080" spans="1:13">
      <c r="A1080">
        <v>1078</v>
      </c>
      <c r="B1080" t="s">
        <v>269</v>
      </c>
      <c r="C1080" t="s">
        <v>78</v>
      </c>
      <c r="D1080" t="s">
        <v>79</v>
      </c>
      <c r="E1080" t="s">
        <v>219</v>
      </c>
      <c r="F1080">
        <v>49152</v>
      </c>
      <c r="G1080">
        <f>MAX(I1077,I1079)</f>
        <v>1363076</v>
      </c>
      <c r="H1080">
        <f>CEILING((dram_access_latency+F1080/dram_bandwidth)*frequency,1)</f>
        <v>823</v>
      </c>
      <c r="I1080">
        <f>G1080+H1080</f>
        <v>1363899</v>
      </c>
      <c r="J1080">
        <f>IF(AND(D1080&lt;&gt;"dram",D1080&lt;&gt;"control"),H1080,0)</f>
        <v>0</v>
      </c>
      <c r="K1080">
        <f>IF(D1080="dram",H1080,0)</f>
        <v>823</v>
      </c>
      <c r="L1080">
        <v>49152</v>
      </c>
      <c r="M1080">
        <v>0</v>
      </c>
    </row>
    <row r="1081" spans="1:13">
      <c r="A1081">
        <v>1079</v>
      </c>
      <c r="B1081" t="s">
        <v>270</v>
      </c>
      <c r="C1081" t="s">
        <v>78</v>
      </c>
      <c r="D1081" t="s">
        <v>79</v>
      </c>
      <c r="E1081" t="s">
        <v>219</v>
      </c>
      <c r="F1081">
        <v>1024</v>
      </c>
      <c r="G1081">
        <f>MAX(I1077,I1080)</f>
        <v>1363899</v>
      </c>
      <c r="H1081">
        <f>CEILING((dram_access_latency+F1081/dram_bandwidth)*frequency,1)</f>
        <v>116</v>
      </c>
      <c r="I1081">
        <f>G1081+H1081</f>
        <v>1364015</v>
      </c>
      <c r="J1081">
        <f>IF(AND(D1081&lt;&gt;"dram",D1081&lt;&gt;"control"),H1081,0)</f>
        <v>0</v>
      </c>
      <c r="K1081">
        <f>IF(D1081="dram",H1081,0)</f>
        <v>116</v>
      </c>
      <c r="L1081">
        <v>1024</v>
      </c>
      <c r="M1081">
        <v>0</v>
      </c>
    </row>
    <row r="1082" spans="1:13">
      <c r="A1082">
        <v>1080</v>
      </c>
      <c r="B1082" t="s">
        <v>271</v>
      </c>
      <c r="C1082" t="s">
        <v>78</v>
      </c>
      <c r="D1082" t="s">
        <v>79</v>
      </c>
      <c r="E1082" t="s">
        <v>219</v>
      </c>
      <c r="F1082">
        <v>384</v>
      </c>
      <c r="G1082">
        <f>MAX(I1077,I1081)</f>
        <v>1364015</v>
      </c>
      <c r="H1082">
        <f>CEILING((dram_access_latency+F1082/dram_bandwidth)*frequency,1)</f>
        <v>106</v>
      </c>
      <c r="I1082">
        <f>G1082+H1082</f>
        <v>1364121</v>
      </c>
      <c r="J1082">
        <f>IF(AND(D1082&lt;&gt;"dram",D1082&lt;&gt;"control"),H1082,0)</f>
        <v>0</v>
      </c>
      <c r="K1082">
        <f>IF(D1082="dram",H1082,0)</f>
        <v>106</v>
      </c>
      <c r="L1082">
        <v>384</v>
      </c>
      <c r="M1082">
        <v>0</v>
      </c>
    </row>
    <row r="1083" spans="1:13">
      <c r="A1083">
        <v>1081</v>
      </c>
      <c r="B1083" t="s">
        <v>272</v>
      </c>
      <c r="C1083" t="s">
        <v>78</v>
      </c>
      <c r="D1083" t="s">
        <v>79</v>
      </c>
      <c r="E1083" t="s">
        <v>219</v>
      </c>
      <c r="F1083">
        <v>8</v>
      </c>
      <c r="G1083">
        <f>MAX(I1077,I1082)</f>
        <v>1364121</v>
      </c>
      <c r="H1083">
        <f>CEILING((dram_access_latency+F1083/dram_bandwidth)*frequency,1)</f>
        <v>101</v>
      </c>
      <c r="I1083">
        <f>G1083+H1083</f>
        <v>1364222</v>
      </c>
      <c r="J1083">
        <f>IF(AND(D1083&lt;&gt;"dram",D1083&lt;&gt;"control"),H1083,0)</f>
        <v>0</v>
      </c>
      <c r="K1083">
        <f>IF(D1083="dram",H1083,0)</f>
        <v>101</v>
      </c>
      <c r="L1083">
        <v>8</v>
      </c>
      <c r="M1083">
        <v>0</v>
      </c>
    </row>
    <row r="1084" spans="1:13">
      <c r="A1084">
        <v>1082</v>
      </c>
      <c r="B1084" t="s">
        <v>273</v>
      </c>
      <c r="C1084" t="s">
        <v>78</v>
      </c>
      <c r="D1084" t="s">
        <v>79</v>
      </c>
      <c r="E1084" t="s">
        <v>219</v>
      </c>
      <c r="F1084">
        <v>256</v>
      </c>
      <c r="G1084">
        <f>MAX(I1077,I1083)</f>
        <v>1364222</v>
      </c>
      <c r="H1084">
        <f>CEILING((dram_access_latency+F1084/dram_bandwidth)*frequency,1)</f>
        <v>104</v>
      </c>
      <c r="I1084">
        <f>G1084+H1084</f>
        <v>1364326</v>
      </c>
      <c r="J1084">
        <f>IF(AND(D1084&lt;&gt;"dram",D1084&lt;&gt;"control"),H1084,0)</f>
        <v>0</v>
      </c>
      <c r="K1084">
        <f>IF(D1084="dram",H1084,0)</f>
        <v>104</v>
      </c>
      <c r="L1084">
        <v>256</v>
      </c>
      <c r="M1084">
        <v>0</v>
      </c>
    </row>
    <row r="1085" spans="1:13">
      <c r="A1085">
        <v>1083</v>
      </c>
      <c r="B1085" t="s">
        <v>48</v>
      </c>
      <c r="C1085" t="s">
        <v>85</v>
      </c>
      <c r="D1085" t="s">
        <v>17</v>
      </c>
      <c r="E1085" t="s">
        <v>219</v>
      </c>
      <c r="F1085">
        <v>0</v>
      </c>
      <c r="G1085">
        <f>MAX(I1076,I1080,I1081,I1082,I1083,I1084,I1078,I1079)</f>
        <v>1364326</v>
      </c>
      <c r="H1085">
        <f>'Operations'!I19</f>
        <v>1024</v>
      </c>
      <c r="I1085">
        <f>G1085+H1085</f>
        <v>1365350</v>
      </c>
      <c r="J1085">
        <f>IF(AND(D1085&lt;&gt;"dram",D1085&lt;&gt;"control"),H1085,0)</f>
        <v>1024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274</v>
      </c>
      <c r="C1086" t="s">
        <v>82</v>
      </c>
      <c r="D1086" t="s">
        <v>83</v>
      </c>
      <c r="E1086" t="s">
        <v>219</v>
      </c>
      <c r="F1086">
        <v>0</v>
      </c>
      <c r="G1086">
        <f>MAX(I1077,I1076)</f>
        <v>1362446</v>
      </c>
      <c r="H1086">
        <f>0</f>
        <v>1452</v>
      </c>
      <c r="I1086">
        <f>G1086+H1086</f>
        <v>1363898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275</v>
      </c>
      <c r="C1087" t="s">
        <v>87</v>
      </c>
      <c r="D1087" t="s">
        <v>79</v>
      </c>
      <c r="E1087" t="s">
        <v>219</v>
      </c>
      <c r="F1087">
        <v>2</v>
      </c>
      <c r="G1087">
        <f>MAX(I1086,I1084)</f>
        <v>1364326</v>
      </c>
      <c r="H1087">
        <f>CEILING((dram_access_latency+F1087/dram_bandwidth)*frequency,1)</f>
        <v>101</v>
      </c>
      <c r="I1087">
        <f>G1087+H1087</f>
        <v>1364427</v>
      </c>
      <c r="J1087">
        <f>IF(AND(D1087&lt;&gt;"dram",D1087&lt;&gt;"control"),H1087,0)</f>
        <v>0</v>
      </c>
      <c r="K1087">
        <f>IF(D1087="dram",H1087,0)</f>
        <v>101</v>
      </c>
      <c r="L1087">
        <v>0</v>
      </c>
      <c r="M1087">
        <v>2</v>
      </c>
    </row>
    <row r="1088" spans="1:13">
      <c r="A1088">
        <v>1086</v>
      </c>
      <c r="B1088" t="s">
        <v>276</v>
      </c>
      <c r="C1088" t="s">
        <v>87</v>
      </c>
      <c r="D1088" t="s">
        <v>79</v>
      </c>
      <c r="E1088" t="s">
        <v>219</v>
      </c>
      <c r="F1088">
        <v>64</v>
      </c>
      <c r="G1088">
        <f>MAX(I1086,I1087)</f>
        <v>1364427</v>
      </c>
      <c r="H1088">
        <f>CEILING((dram_access_latency+F1088/dram_bandwidth)*frequency,1)</f>
        <v>101</v>
      </c>
      <c r="I1088">
        <f>G1088+H1088</f>
        <v>1364528</v>
      </c>
      <c r="J1088">
        <f>IF(AND(D1088&lt;&gt;"dram",D1088&lt;&gt;"control"),H1088,0)</f>
        <v>0</v>
      </c>
      <c r="K1088">
        <f>IF(D1088="dram",H1088,0)</f>
        <v>101</v>
      </c>
      <c r="L1088">
        <v>0</v>
      </c>
      <c r="M1088">
        <v>64</v>
      </c>
    </row>
    <row r="1089" spans="1:13">
      <c r="A1089">
        <v>1087</v>
      </c>
      <c r="B1089" t="s">
        <v>269</v>
      </c>
      <c r="C1089" t="s">
        <v>78</v>
      </c>
      <c r="D1089" t="s">
        <v>79</v>
      </c>
      <c r="E1089" t="s">
        <v>220</v>
      </c>
      <c r="F1089">
        <v>49152</v>
      </c>
      <c r="G1089">
        <f>MAX(I1086,I1088)</f>
        <v>1364528</v>
      </c>
      <c r="H1089">
        <f>CEILING((dram_access_latency+F1089/dram_bandwidth)*frequency,1)</f>
        <v>823</v>
      </c>
      <c r="I1089">
        <f>G1089+H1089</f>
        <v>1365351</v>
      </c>
      <c r="J1089">
        <f>IF(AND(D1089&lt;&gt;"dram",D1089&lt;&gt;"control"),H1089,0)</f>
        <v>0</v>
      </c>
      <c r="K1089">
        <f>IF(D1089="dram",H1089,0)</f>
        <v>823</v>
      </c>
      <c r="L1089">
        <v>49152</v>
      </c>
      <c r="M1089">
        <v>0</v>
      </c>
    </row>
    <row r="1090" spans="1:13">
      <c r="A1090">
        <v>1088</v>
      </c>
      <c r="B1090" t="s">
        <v>270</v>
      </c>
      <c r="C1090" t="s">
        <v>78</v>
      </c>
      <c r="D1090" t="s">
        <v>79</v>
      </c>
      <c r="E1090" t="s">
        <v>220</v>
      </c>
      <c r="F1090">
        <v>1024</v>
      </c>
      <c r="G1090">
        <f>MAX(I1086,I1089)</f>
        <v>1365351</v>
      </c>
      <c r="H1090">
        <f>CEILING((dram_access_latency+F1090/dram_bandwidth)*frequency,1)</f>
        <v>116</v>
      </c>
      <c r="I1090">
        <f>G1090+H1090</f>
        <v>1365467</v>
      </c>
      <c r="J1090">
        <f>IF(AND(D1090&lt;&gt;"dram",D1090&lt;&gt;"control"),H1090,0)</f>
        <v>0</v>
      </c>
      <c r="K1090">
        <f>IF(D1090="dram",H1090,0)</f>
        <v>116</v>
      </c>
      <c r="L1090">
        <v>1024</v>
      </c>
      <c r="M1090">
        <v>0</v>
      </c>
    </row>
    <row r="1091" spans="1:13">
      <c r="A1091">
        <v>1089</v>
      </c>
      <c r="B1091" t="s">
        <v>271</v>
      </c>
      <c r="C1091" t="s">
        <v>78</v>
      </c>
      <c r="D1091" t="s">
        <v>79</v>
      </c>
      <c r="E1091" t="s">
        <v>220</v>
      </c>
      <c r="F1091">
        <v>384</v>
      </c>
      <c r="G1091">
        <f>MAX(I1086,I1090)</f>
        <v>1365467</v>
      </c>
      <c r="H1091">
        <f>CEILING((dram_access_latency+F1091/dram_bandwidth)*frequency,1)</f>
        <v>106</v>
      </c>
      <c r="I1091">
        <f>G1091+H1091</f>
        <v>1365573</v>
      </c>
      <c r="J1091">
        <f>IF(AND(D1091&lt;&gt;"dram",D1091&lt;&gt;"control"),H1091,0)</f>
        <v>0</v>
      </c>
      <c r="K1091">
        <f>IF(D1091="dram",H1091,0)</f>
        <v>106</v>
      </c>
      <c r="L1091">
        <v>384</v>
      </c>
      <c r="M1091">
        <v>0</v>
      </c>
    </row>
    <row r="1092" spans="1:13">
      <c r="A1092">
        <v>1090</v>
      </c>
      <c r="B1092" t="s">
        <v>272</v>
      </c>
      <c r="C1092" t="s">
        <v>78</v>
      </c>
      <c r="D1092" t="s">
        <v>79</v>
      </c>
      <c r="E1092" t="s">
        <v>220</v>
      </c>
      <c r="F1092">
        <v>8</v>
      </c>
      <c r="G1092">
        <f>MAX(I1086,I1091)</f>
        <v>1365573</v>
      </c>
      <c r="H1092">
        <f>CEILING((dram_access_latency+F1092/dram_bandwidth)*frequency,1)</f>
        <v>101</v>
      </c>
      <c r="I1092">
        <f>G1092+H1092</f>
        <v>1365674</v>
      </c>
      <c r="J1092">
        <f>IF(AND(D1092&lt;&gt;"dram",D1092&lt;&gt;"control"),H1092,0)</f>
        <v>0</v>
      </c>
      <c r="K1092">
        <f>IF(D1092="dram",H1092,0)</f>
        <v>101</v>
      </c>
      <c r="L1092">
        <v>8</v>
      </c>
      <c r="M1092">
        <v>0</v>
      </c>
    </row>
    <row r="1093" spans="1:13">
      <c r="A1093">
        <v>1091</v>
      </c>
      <c r="B1093" t="s">
        <v>273</v>
      </c>
      <c r="C1093" t="s">
        <v>78</v>
      </c>
      <c r="D1093" t="s">
        <v>79</v>
      </c>
      <c r="E1093" t="s">
        <v>220</v>
      </c>
      <c r="F1093">
        <v>256</v>
      </c>
      <c r="G1093">
        <f>MAX(I1086,I1092)</f>
        <v>1365674</v>
      </c>
      <c r="H1093">
        <f>CEILING((dram_access_latency+F1093/dram_bandwidth)*frequency,1)</f>
        <v>104</v>
      </c>
      <c r="I1093">
        <f>G1093+H1093</f>
        <v>1365778</v>
      </c>
      <c r="J1093">
        <f>IF(AND(D1093&lt;&gt;"dram",D1093&lt;&gt;"control"),H1093,0)</f>
        <v>0</v>
      </c>
      <c r="K1093">
        <f>IF(D1093="dram",H1093,0)</f>
        <v>104</v>
      </c>
      <c r="L1093">
        <v>256</v>
      </c>
      <c r="M1093">
        <v>0</v>
      </c>
    </row>
    <row r="1094" spans="1:13">
      <c r="A1094">
        <v>1092</v>
      </c>
      <c r="B1094" t="s">
        <v>48</v>
      </c>
      <c r="C1094" t="s">
        <v>85</v>
      </c>
      <c r="D1094" t="s">
        <v>17</v>
      </c>
      <c r="E1094" t="s">
        <v>220</v>
      </c>
      <c r="F1094">
        <v>0</v>
      </c>
      <c r="G1094">
        <f>MAX(I1085,I1089,I1090,I1091,I1092,I1093,I1087,I1088)</f>
        <v>1365778</v>
      </c>
      <c r="H1094">
        <f>'Operations'!I19</f>
        <v>1024</v>
      </c>
      <c r="I1094">
        <f>G1094+H1094</f>
        <v>1366802</v>
      </c>
      <c r="J1094">
        <f>IF(AND(D1094&lt;&gt;"dram",D1094&lt;&gt;"control"),H1094,0)</f>
        <v>1024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274</v>
      </c>
      <c r="C1095" t="s">
        <v>82</v>
      </c>
      <c r="D1095" t="s">
        <v>83</v>
      </c>
      <c r="E1095" t="s">
        <v>220</v>
      </c>
      <c r="F1095">
        <v>0</v>
      </c>
      <c r="G1095">
        <f>MAX(I1086,I1085)</f>
        <v>1363898</v>
      </c>
      <c r="H1095">
        <f>0</f>
        <v>1452</v>
      </c>
      <c r="I1095">
        <f>G1095+H1095</f>
        <v>1365350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275</v>
      </c>
      <c r="C1096" t="s">
        <v>87</v>
      </c>
      <c r="D1096" t="s">
        <v>79</v>
      </c>
      <c r="E1096" t="s">
        <v>220</v>
      </c>
      <c r="F1096">
        <v>2</v>
      </c>
      <c r="G1096">
        <f>MAX(I1095,I1093)</f>
        <v>1365778</v>
      </c>
      <c r="H1096">
        <f>CEILING((dram_access_latency+F1096/dram_bandwidth)*frequency,1)</f>
        <v>101</v>
      </c>
      <c r="I1096">
        <f>G1096+H1096</f>
        <v>1365879</v>
      </c>
      <c r="J1096">
        <f>IF(AND(D1096&lt;&gt;"dram",D1096&lt;&gt;"control"),H1096,0)</f>
        <v>0</v>
      </c>
      <c r="K1096">
        <f>IF(D1096="dram",H1096,0)</f>
        <v>101</v>
      </c>
      <c r="L1096">
        <v>0</v>
      </c>
      <c r="M1096">
        <v>2</v>
      </c>
    </row>
    <row r="1097" spans="1:13">
      <c r="A1097">
        <v>1095</v>
      </c>
      <c r="B1097" t="s">
        <v>276</v>
      </c>
      <c r="C1097" t="s">
        <v>87</v>
      </c>
      <c r="D1097" t="s">
        <v>79</v>
      </c>
      <c r="E1097" t="s">
        <v>220</v>
      </c>
      <c r="F1097">
        <v>64</v>
      </c>
      <c r="G1097">
        <f>MAX(I1095,I1096)</f>
        <v>1365879</v>
      </c>
      <c r="H1097">
        <f>CEILING((dram_access_latency+F1097/dram_bandwidth)*frequency,1)</f>
        <v>101</v>
      </c>
      <c r="I1097">
        <f>G1097+H1097</f>
        <v>1365980</v>
      </c>
      <c r="J1097">
        <f>IF(AND(D1097&lt;&gt;"dram",D1097&lt;&gt;"control"),H1097,0)</f>
        <v>0</v>
      </c>
      <c r="K1097">
        <f>IF(D1097="dram",H1097,0)</f>
        <v>101</v>
      </c>
      <c r="L1097">
        <v>0</v>
      </c>
      <c r="M1097">
        <v>64</v>
      </c>
    </row>
    <row r="1098" spans="1:13">
      <c r="A1098">
        <v>1096</v>
      </c>
      <c r="B1098" t="s">
        <v>269</v>
      </c>
      <c r="C1098" t="s">
        <v>78</v>
      </c>
      <c r="D1098" t="s">
        <v>79</v>
      </c>
      <c r="E1098" t="s">
        <v>221</v>
      </c>
      <c r="F1098">
        <v>49152</v>
      </c>
      <c r="G1098">
        <f>MAX(I1095,I1097)</f>
        <v>1365980</v>
      </c>
      <c r="H1098">
        <f>CEILING((dram_access_latency+F1098/dram_bandwidth)*frequency,1)</f>
        <v>823</v>
      </c>
      <c r="I1098">
        <f>G1098+H1098</f>
        <v>1366803</v>
      </c>
      <c r="J1098">
        <f>IF(AND(D1098&lt;&gt;"dram",D1098&lt;&gt;"control"),H1098,0)</f>
        <v>0</v>
      </c>
      <c r="K1098">
        <f>IF(D1098="dram",H1098,0)</f>
        <v>823</v>
      </c>
      <c r="L1098">
        <v>49152</v>
      </c>
      <c r="M1098">
        <v>0</v>
      </c>
    </row>
    <row r="1099" spans="1:13">
      <c r="A1099">
        <v>1097</v>
      </c>
      <c r="B1099" t="s">
        <v>270</v>
      </c>
      <c r="C1099" t="s">
        <v>78</v>
      </c>
      <c r="D1099" t="s">
        <v>79</v>
      </c>
      <c r="E1099" t="s">
        <v>221</v>
      </c>
      <c r="F1099">
        <v>1024</v>
      </c>
      <c r="G1099">
        <f>MAX(I1095,I1098)</f>
        <v>1366803</v>
      </c>
      <c r="H1099">
        <f>CEILING((dram_access_latency+F1099/dram_bandwidth)*frequency,1)</f>
        <v>116</v>
      </c>
      <c r="I1099">
        <f>G1099+H1099</f>
        <v>1366919</v>
      </c>
      <c r="J1099">
        <f>IF(AND(D1099&lt;&gt;"dram",D1099&lt;&gt;"control"),H1099,0)</f>
        <v>0</v>
      </c>
      <c r="K1099">
        <f>IF(D1099="dram",H1099,0)</f>
        <v>116</v>
      </c>
      <c r="L1099">
        <v>1024</v>
      </c>
      <c r="M1099">
        <v>0</v>
      </c>
    </row>
    <row r="1100" spans="1:13">
      <c r="A1100">
        <v>1098</v>
      </c>
      <c r="B1100" t="s">
        <v>271</v>
      </c>
      <c r="C1100" t="s">
        <v>78</v>
      </c>
      <c r="D1100" t="s">
        <v>79</v>
      </c>
      <c r="E1100" t="s">
        <v>221</v>
      </c>
      <c r="F1100">
        <v>384</v>
      </c>
      <c r="G1100">
        <f>MAX(I1095,I1099)</f>
        <v>1366919</v>
      </c>
      <c r="H1100">
        <f>CEILING((dram_access_latency+F1100/dram_bandwidth)*frequency,1)</f>
        <v>106</v>
      </c>
      <c r="I1100">
        <f>G1100+H1100</f>
        <v>1367025</v>
      </c>
      <c r="J1100">
        <f>IF(AND(D1100&lt;&gt;"dram",D1100&lt;&gt;"control"),H1100,0)</f>
        <v>0</v>
      </c>
      <c r="K1100">
        <f>IF(D1100="dram",H1100,0)</f>
        <v>106</v>
      </c>
      <c r="L1100">
        <v>384</v>
      </c>
      <c r="M1100">
        <v>0</v>
      </c>
    </row>
    <row r="1101" spans="1:13">
      <c r="A1101">
        <v>1099</v>
      </c>
      <c r="B1101" t="s">
        <v>272</v>
      </c>
      <c r="C1101" t="s">
        <v>78</v>
      </c>
      <c r="D1101" t="s">
        <v>79</v>
      </c>
      <c r="E1101" t="s">
        <v>221</v>
      </c>
      <c r="F1101">
        <v>8</v>
      </c>
      <c r="G1101">
        <f>MAX(I1095,I1100)</f>
        <v>1367025</v>
      </c>
      <c r="H1101">
        <f>CEILING((dram_access_latency+F1101/dram_bandwidth)*frequency,1)</f>
        <v>101</v>
      </c>
      <c r="I1101">
        <f>G1101+H1101</f>
        <v>1367126</v>
      </c>
      <c r="J1101">
        <f>IF(AND(D1101&lt;&gt;"dram",D1101&lt;&gt;"control"),H1101,0)</f>
        <v>0</v>
      </c>
      <c r="K1101">
        <f>IF(D1101="dram",H1101,0)</f>
        <v>101</v>
      </c>
      <c r="L1101">
        <v>8</v>
      </c>
      <c r="M1101">
        <v>0</v>
      </c>
    </row>
    <row r="1102" spans="1:13">
      <c r="A1102">
        <v>1100</v>
      </c>
      <c r="B1102" t="s">
        <v>273</v>
      </c>
      <c r="C1102" t="s">
        <v>78</v>
      </c>
      <c r="D1102" t="s">
        <v>79</v>
      </c>
      <c r="E1102" t="s">
        <v>221</v>
      </c>
      <c r="F1102">
        <v>256</v>
      </c>
      <c r="G1102">
        <f>MAX(I1095,I1101)</f>
        <v>1367126</v>
      </c>
      <c r="H1102">
        <f>CEILING((dram_access_latency+F1102/dram_bandwidth)*frequency,1)</f>
        <v>104</v>
      </c>
      <c r="I1102">
        <f>G1102+H1102</f>
        <v>1367230</v>
      </c>
      <c r="J1102">
        <f>IF(AND(D1102&lt;&gt;"dram",D1102&lt;&gt;"control"),H1102,0)</f>
        <v>0</v>
      </c>
      <c r="K1102">
        <f>IF(D1102="dram",H1102,0)</f>
        <v>104</v>
      </c>
      <c r="L1102">
        <v>256</v>
      </c>
      <c r="M1102">
        <v>0</v>
      </c>
    </row>
    <row r="1103" spans="1:13">
      <c r="A1103">
        <v>1101</v>
      </c>
      <c r="B1103" t="s">
        <v>48</v>
      </c>
      <c r="C1103" t="s">
        <v>85</v>
      </c>
      <c r="D1103" t="s">
        <v>17</v>
      </c>
      <c r="E1103" t="s">
        <v>221</v>
      </c>
      <c r="F1103">
        <v>0</v>
      </c>
      <c r="G1103">
        <f>MAX(I1094,I1098,I1099,I1100,I1101,I1102,I1096,I1097)</f>
        <v>1367230</v>
      </c>
      <c r="H1103">
        <f>'Operations'!I19</f>
        <v>1024</v>
      </c>
      <c r="I1103">
        <f>G1103+H1103</f>
        <v>1368254</v>
      </c>
      <c r="J1103">
        <f>IF(AND(D1103&lt;&gt;"dram",D1103&lt;&gt;"control"),H1103,0)</f>
        <v>1024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274</v>
      </c>
      <c r="C1104" t="s">
        <v>82</v>
      </c>
      <c r="D1104" t="s">
        <v>83</v>
      </c>
      <c r="E1104" t="s">
        <v>221</v>
      </c>
      <c r="F1104">
        <v>0</v>
      </c>
      <c r="G1104">
        <f>MAX(I1095,I1094)</f>
        <v>1365350</v>
      </c>
      <c r="H1104">
        <f>0</f>
        <v>1452</v>
      </c>
      <c r="I1104">
        <f>G1104+H1104</f>
        <v>1366802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275</v>
      </c>
      <c r="C1105" t="s">
        <v>87</v>
      </c>
      <c r="D1105" t="s">
        <v>79</v>
      </c>
      <c r="E1105" t="s">
        <v>221</v>
      </c>
      <c r="F1105">
        <v>2</v>
      </c>
      <c r="G1105">
        <f>MAX(I1104,I1102)</f>
        <v>1367230</v>
      </c>
      <c r="H1105">
        <f>CEILING((dram_access_latency+F1105/dram_bandwidth)*frequency,1)</f>
        <v>101</v>
      </c>
      <c r="I1105">
        <f>G1105+H1105</f>
        <v>1367331</v>
      </c>
      <c r="J1105">
        <f>IF(AND(D1105&lt;&gt;"dram",D1105&lt;&gt;"control"),H1105,0)</f>
        <v>0</v>
      </c>
      <c r="K1105">
        <f>IF(D1105="dram",H1105,0)</f>
        <v>101</v>
      </c>
      <c r="L1105">
        <v>0</v>
      </c>
      <c r="M1105">
        <v>2</v>
      </c>
    </row>
    <row r="1106" spans="1:13">
      <c r="A1106">
        <v>1104</v>
      </c>
      <c r="B1106" t="s">
        <v>276</v>
      </c>
      <c r="C1106" t="s">
        <v>87</v>
      </c>
      <c r="D1106" t="s">
        <v>79</v>
      </c>
      <c r="E1106" t="s">
        <v>221</v>
      </c>
      <c r="F1106">
        <v>64</v>
      </c>
      <c r="G1106">
        <f>MAX(I1104,I1105)</f>
        <v>1367331</v>
      </c>
      <c r="H1106">
        <f>CEILING((dram_access_latency+F1106/dram_bandwidth)*frequency,1)</f>
        <v>101</v>
      </c>
      <c r="I1106">
        <f>G1106+H1106</f>
        <v>1367432</v>
      </c>
      <c r="J1106">
        <f>IF(AND(D1106&lt;&gt;"dram",D1106&lt;&gt;"control"),H1106,0)</f>
        <v>0</v>
      </c>
      <c r="K1106">
        <f>IF(D1106="dram",H1106,0)</f>
        <v>101</v>
      </c>
      <c r="L1106">
        <v>0</v>
      </c>
      <c r="M1106">
        <v>64</v>
      </c>
    </row>
    <row r="1107" spans="1:13">
      <c r="A1107">
        <v>1105</v>
      </c>
      <c r="B1107" t="s">
        <v>277</v>
      </c>
      <c r="C1107" t="s">
        <v>82</v>
      </c>
      <c r="D1107" t="s">
        <v>83</v>
      </c>
      <c r="E1107" t="s">
        <v>80</v>
      </c>
      <c r="F1107">
        <v>0</v>
      </c>
      <c r="G1107">
        <f>MAX(I1104,I1103)</f>
        <v>1366802</v>
      </c>
      <c r="H1107">
        <f>0</f>
        <v>1452</v>
      </c>
      <c r="I1107">
        <f>G1107+H1107</f>
        <v>1368254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278</v>
      </c>
      <c r="C1108" t="s">
        <v>87</v>
      </c>
      <c r="D1108" t="s">
        <v>79</v>
      </c>
      <c r="E1108" t="s">
        <v>80</v>
      </c>
      <c r="F1108">
        <v>2</v>
      </c>
      <c r="G1108">
        <f>MAX(I1107,I1106)</f>
        <v>1368254</v>
      </c>
      <c r="H1108">
        <f>CEILING((dram_access_latency+F1108/dram_bandwidth)*frequency,1)</f>
        <v>101</v>
      </c>
      <c r="I1108">
        <f>G1108+H1108</f>
        <v>1368355</v>
      </c>
      <c r="J1108">
        <f>IF(AND(D1108&lt;&gt;"dram",D1108&lt;&gt;"control"),H1108,0)</f>
        <v>0</v>
      </c>
      <c r="K1108">
        <f>IF(D1108="dram",H1108,0)</f>
        <v>101</v>
      </c>
      <c r="L1108">
        <v>0</v>
      </c>
      <c r="M1108">
        <v>2</v>
      </c>
    </row>
    <row r="1109" spans="1:13">
      <c r="A1109">
        <v>1107</v>
      </c>
      <c r="B1109" t="s">
        <v>279</v>
      </c>
      <c r="C1109" t="s">
        <v>87</v>
      </c>
      <c r="D1109" t="s">
        <v>79</v>
      </c>
      <c r="E1109" t="s">
        <v>80</v>
      </c>
      <c r="F1109">
        <v>64</v>
      </c>
      <c r="G1109">
        <f>MAX(I1107,I1108)</f>
        <v>1368355</v>
      </c>
      <c r="H1109">
        <f>CEILING((dram_access_latency+F1109/dram_bandwidth)*frequency,1)</f>
        <v>101</v>
      </c>
      <c r="I1109">
        <f>G1109+H1109</f>
        <v>1368456</v>
      </c>
      <c r="J1109">
        <f>IF(AND(D1109&lt;&gt;"dram",D1109&lt;&gt;"control"),H1109,0)</f>
        <v>0</v>
      </c>
      <c r="K1109">
        <f>IF(D1109="dram",H1109,0)</f>
        <v>101</v>
      </c>
      <c r="L1109">
        <v>0</v>
      </c>
      <c r="M1109">
        <v>64</v>
      </c>
    </row>
    <row r="1110" spans="1:13">
      <c r="A1110">
        <v>1108</v>
      </c>
      <c r="B1110" t="s">
        <v>280</v>
      </c>
      <c r="C1110" t="s">
        <v>82</v>
      </c>
      <c r="D1110" t="s">
        <v>83</v>
      </c>
      <c r="E1110" t="s">
        <v>80</v>
      </c>
      <c r="F1110">
        <v>0</v>
      </c>
      <c r="G1110">
        <f>MAX(I1107,I1105)</f>
        <v>1368254</v>
      </c>
      <c r="H1110">
        <f>0</f>
        <v>0</v>
      </c>
      <c r="I1110">
        <f>G1110+H1110</f>
        <v>1368254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281</v>
      </c>
      <c r="C1111" t="s">
        <v>82</v>
      </c>
      <c r="D1111" t="s">
        <v>83</v>
      </c>
      <c r="E1111" t="s">
        <v>80</v>
      </c>
      <c r="F1111">
        <v>0</v>
      </c>
      <c r="G1111">
        <f>MAX(I1110,I1108)</f>
        <v>1368254</v>
      </c>
      <c r="H1111">
        <f>0</f>
        <v>101</v>
      </c>
      <c r="I1111">
        <f>G1111+H1111</f>
        <v>1368355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282</v>
      </c>
      <c r="C1112" t="s">
        <v>82</v>
      </c>
      <c r="D1112" t="s">
        <v>83</v>
      </c>
      <c r="E1112" t="s">
        <v>80</v>
      </c>
      <c r="F1112">
        <v>0</v>
      </c>
      <c r="G1112">
        <f>MAX(I1111,I1106)</f>
        <v>1368355</v>
      </c>
      <c r="H1112">
        <f>0</f>
        <v>0</v>
      </c>
      <c r="I1112">
        <f>G1112+H1112</f>
        <v>1368355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283</v>
      </c>
      <c r="C1113" t="s">
        <v>82</v>
      </c>
      <c r="D1113" t="s">
        <v>83</v>
      </c>
      <c r="E1113" t="s">
        <v>80</v>
      </c>
      <c r="F1113">
        <v>0</v>
      </c>
      <c r="G1113">
        <f>MAX(I1112,I1109)</f>
        <v>1368355</v>
      </c>
      <c r="H1113">
        <f>0</f>
        <v>101</v>
      </c>
      <c r="I1113">
        <f>G1113+H1113</f>
        <v>1368456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284</v>
      </c>
      <c r="C1114" t="s">
        <v>78</v>
      </c>
      <c r="D1114" t="s">
        <v>79</v>
      </c>
      <c r="E1114" t="s">
        <v>84</v>
      </c>
      <c r="F1114">
        <v>2048</v>
      </c>
      <c r="G1114">
        <f>MAX(I1113,I1109)</f>
        <v>1368456</v>
      </c>
      <c r="H1114">
        <f>CEILING((dram_access_latency+F1114/dram_bandwidth)*frequency,1)</f>
        <v>131</v>
      </c>
      <c r="I1114">
        <f>G1114+H1114</f>
        <v>1368587</v>
      </c>
      <c r="J1114">
        <f>IF(AND(D1114&lt;&gt;"dram",D1114&lt;&gt;"control"),H1114,0)</f>
        <v>0</v>
      </c>
      <c r="K1114">
        <f>IF(D1114="dram",H1114,0)</f>
        <v>131</v>
      </c>
      <c r="L1114">
        <v>2048</v>
      </c>
      <c r="M1114">
        <v>0</v>
      </c>
    </row>
    <row r="1115" spans="1:13">
      <c r="A1115">
        <v>1113</v>
      </c>
      <c r="B1115" t="s">
        <v>285</v>
      </c>
      <c r="C1115" t="s">
        <v>78</v>
      </c>
      <c r="D1115" t="s">
        <v>79</v>
      </c>
      <c r="E1115" t="s">
        <v>84</v>
      </c>
      <c r="F1115">
        <v>2097152</v>
      </c>
      <c r="G1115">
        <f>MAX(I1113,I1114)</f>
        <v>1368587</v>
      </c>
      <c r="H1115">
        <f>CEILING((dram_access_latency+F1115/dram_bandwidth)*frequency,1)</f>
        <v>30941</v>
      </c>
      <c r="I1115">
        <f>G1115+H1115</f>
        <v>1399528</v>
      </c>
      <c r="J1115">
        <f>IF(AND(D1115&lt;&gt;"dram",D1115&lt;&gt;"control"),H1115,0)</f>
        <v>0</v>
      </c>
      <c r="K1115">
        <f>IF(D1115="dram",H1115,0)</f>
        <v>30941</v>
      </c>
      <c r="L1115">
        <v>2097152</v>
      </c>
      <c r="M1115">
        <v>0</v>
      </c>
    </row>
    <row r="1116" spans="1:13">
      <c r="A1116">
        <v>1114</v>
      </c>
      <c r="B1116" t="s">
        <v>286</v>
      </c>
      <c r="C1116" t="s">
        <v>78</v>
      </c>
      <c r="D1116" t="s">
        <v>79</v>
      </c>
      <c r="E1116" t="s">
        <v>84</v>
      </c>
      <c r="F1116">
        <v>64</v>
      </c>
      <c r="G1116">
        <f>MAX(I1113,I1115)</f>
        <v>1399528</v>
      </c>
      <c r="H1116">
        <f>CEILING((dram_access_latency+F1116/dram_bandwidth)*frequency,1)</f>
        <v>101</v>
      </c>
      <c r="I1116">
        <f>G1116+H1116</f>
        <v>1399629</v>
      </c>
      <c r="J1116">
        <f>IF(AND(D1116&lt;&gt;"dram",D1116&lt;&gt;"control"),H1116,0)</f>
        <v>0</v>
      </c>
      <c r="K1116">
        <f>IF(D1116="dram",H1116,0)</f>
        <v>101</v>
      </c>
      <c r="L1116">
        <v>64</v>
      </c>
      <c r="M1116">
        <v>0</v>
      </c>
    </row>
    <row r="1117" spans="1:13">
      <c r="A1117">
        <v>1115</v>
      </c>
      <c r="B1117" t="s">
        <v>287</v>
      </c>
      <c r="C1117" t="s">
        <v>78</v>
      </c>
      <c r="D1117" t="s">
        <v>79</v>
      </c>
      <c r="E1117" t="s">
        <v>84</v>
      </c>
      <c r="F1117">
        <v>65536</v>
      </c>
      <c r="G1117">
        <f>MAX(I1113,I1116)</f>
        <v>1399629</v>
      </c>
      <c r="H1117">
        <f>CEILING((dram_access_latency+F1117/dram_bandwidth)*frequency,1)</f>
        <v>1064</v>
      </c>
      <c r="I1117">
        <f>G1117+H1117</f>
        <v>1400693</v>
      </c>
      <c r="J1117">
        <f>IF(AND(D1117&lt;&gt;"dram",D1117&lt;&gt;"control"),H1117,0)</f>
        <v>0</v>
      </c>
      <c r="K1117">
        <f>IF(D1117="dram",H1117,0)</f>
        <v>1064</v>
      </c>
      <c r="L1117">
        <v>65536</v>
      </c>
      <c r="M1117">
        <v>0</v>
      </c>
    </row>
    <row r="1118" spans="1:13">
      <c r="A1118">
        <v>1116</v>
      </c>
      <c r="B1118" t="s">
        <v>288</v>
      </c>
      <c r="C1118" t="s">
        <v>78</v>
      </c>
      <c r="D1118" t="s">
        <v>79</v>
      </c>
      <c r="E1118" t="s">
        <v>84</v>
      </c>
      <c r="F1118">
        <v>2048</v>
      </c>
      <c r="G1118">
        <f>MAX(I1113,I1117)</f>
        <v>1400693</v>
      </c>
      <c r="H1118">
        <f>CEILING((dram_access_latency+F1118/dram_bandwidth)*frequency,1)</f>
        <v>131</v>
      </c>
      <c r="I1118">
        <f>G1118+H1118</f>
        <v>1400824</v>
      </c>
      <c r="J1118">
        <f>IF(AND(D1118&lt;&gt;"dram",D1118&lt;&gt;"control"),H1118,0)</f>
        <v>0</v>
      </c>
      <c r="K1118">
        <f>IF(D1118="dram",H1118,0)</f>
        <v>131</v>
      </c>
      <c r="L1118">
        <v>2048</v>
      </c>
      <c r="M1118">
        <v>0</v>
      </c>
    </row>
    <row r="1119" spans="1:13">
      <c r="A1119">
        <v>1117</v>
      </c>
      <c r="B1119" t="s">
        <v>51</v>
      </c>
      <c r="C1119" t="s">
        <v>85</v>
      </c>
      <c r="D1119" t="s">
        <v>17</v>
      </c>
      <c r="E1119" t="s">
        <v>84</v>
      </c>
      <c r="F1119">
        <v>0</v>
      </c>
      <c r="G1119">
        <f>MAX(I1103,I1114,I1115,I1116,I1117,I1118)</f>
        <v>1400824</v>
      </c>
      <c r="H1119">
        <f>'Operations'!I20</f>
        <v>65536</v>
      </c>
      <c r="I1119">
        <f>G1119+H1119</f>
        <v>1466360</v>
      </c>
      <c r="J1119">
        <f>IF(AND(D1119&lt;&gt;"dram",D1119&lt;&gt;"control"),H1119,0)</f>
        <v>65536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285</v>
      </c>
      <c r="C1120" t="s">
        <v>78</v>
      </c>
      <c r="D1120" t="s">
        <v>79</v>
      </c>
      <c r="E1120" t="s">
        <v>101</v>
      </c>
      <c r="F1120">
        <v>2097152</v>
      </c>
      <c r="G1120">
        <f>MAX(I1113,I1118)</f>
        <v>1400824</v>
      </c>
      <c r="H1120">
        <f>CEILING((dram_access_latency+F1120/dram_bandwidth)*frequency,1)</f>
        <v>30941</v>
      </c>
      <c r="I1120">
        <f>G1120+H1120</f>
        <v>1431765</v>
      </c>
      <c r="J1120">
        <f>IF(AND(D1120&lt;&gt;"dram",D1120&lt;&gt;"control"),H1120,0)</f>
        <v>0</v>
      </c>
      <c r="K1120">
        <f>IF(D1120="dram",H1120,0)</f>
        <v>30941</v>
      </c>
      <c r="L1120">
        <v>2097152</v>
      </c>
      <c r="M1120">
        <v>0</v>
      </c>
    </row>
    <row r="1121" spans="1:13">
      <c r="A1121">
        <v>1119</v>
      </c>
      <c r="B1121" t="s">
        <v>287</v>
      </c>
      <c r="C1121" t="s">
        <v>78</v>
      </c>
      <c r="D1121" t="s">
        <v>79</v>
      </c>
      <c r="E1121" t="s">
        <v>101</v>
      </c>
      <c r="F1121">
        <v>65536</v>
      </c>
      <c r="G1121">
        <f>MAX(I1113,I1120)</f>
        <v>1431765</v>
      </c>
      <c r="H1121">
        <f>CEILING((dram_access_latency+F1121/dram_bandwidth)*frequency,1)</f>
        <v>1064</v>
      </c>
      <c r="I1121">
        <f>G1121+H1121</f>
        <v>1432829</v>
      </c>
      <c r="J1121">
        <f>IF(AND(D1121&lt;&gt;"dram",D1121&lt;&gt;"control"),H1121,0)</f>
        <v>0</v>
      </c>
      <c r="K1121">
        <f>IF(D1121="dram",H1121,0)</f>
        <v>1064</v>
      </c>
      <c r="L1121">
        <v>65536</v>
      </c>
      <c r="M1121">
        <v>0</v>
      </c>
    </row>
    <row r="1122" spans="1:13">
      <c r="A1122">
        <v>1120</v>
      </c>
      <c r="B1122" t="s">
        <v>288</v>
      </c>
      <c r="C1122" t="s">
        <v>78</v>
      </c>
      <c r="D1122" t="s">
        <v>79</v>
      </c>
      <c r="E1122" t="s">
        <v>101</v>
      </c>
      <c r="F1122">
        <v>2048</v>
      </c>
      <c r="G1122">
        <f>MAX(I1113,I1121)</f>
        <v>1432829</v>
      </c>
      <c r="H1122">
        <f>CEILING((dram_access_latency+F1122/dram_bandwidth)*frequency,1)</f>
        <v>131</v>
      </c>
      <c r="I1122">
        <f>G1122+H1122</f>
        <v>1432960</v>
      </c>
      <c r="J1122">
        <f>IF(AND(D1122&lt;&gt;"dram",D1122&lt;&gt;"control"),H1122,0)</f>
        <v>0</v>
      </c>
      <c r="K1122">
        <f>IF(D1122="dram",H1122,0)</f>
        <v>131</v>
      </c>
      <c r="L1122">
        <v>2048</v>
      </c>
      <c r="M1122">
        <v>0</v>
      </c>
    </row>
    <row r="1123" spans="1:13">
      <c r="A1123">
        <v>1121</v>
      </c>
      <c r="B1123" t="s">
        <v>51</v>
      </c>
      <c r="C1123" t="s">
        <v>85</v>
      </c>
      <c r="D1123" t="s">
        <v>17</v>
      </c>
      <c r="E1123" t="s">
        <v>101</v>
      </c>
      <c r="F1123">
        <v>0</v>
      </c>
      <c r="G1123">
        <f>MAX(I1119,I1114,I1120,I1116,I1121,I1122)</f>
        <v>1466360</v>
      </c>
      <c r="H1123">
        <f>'Operations'!I20</f>
        <v>65536</v>
      </c>
      <c r="I1123">
        <f>G1123+H1123</f>
        <v>1531896</v>
      </c>
      <c r="J1123">
        <f>IF(AND(D1123&lt;&gt;"dram",D1123&lt;&gt;"control"),H1123,0)</f>
        <v>65536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289</v>
      </c>
      <c r="C1124" t="s">
        <v>82</v>
      </c>
      <c r="D1124" t="s">
        <v>83</v>
      </c>
      <c r="E1124" t="s">
        <v>101</v>
      </c>
      <c r="F1124">
        <v>0</v>
      </c>
      <c r="G1124">
        <f>MAX(I1113,I1119)</f>
        <v>1368456</v>
      </c>
      <c r="H1124">
        <f>0</f>
        <v>97904</v>
      </c>
      <c r="I1124">
        <f>G1124+H1124</f>
        <v>1466360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290</v>
      </c>
      <c r="C1125" t="s">
        <v>87</v>
      </c>
      <c r="D1125" t="s">
        <v>79</v>
      </c>
      <c r="E1125" t="s">
        <v>101</v>
      </c>
      <c r="F1125">
        <v>2048</v>
      </c>
      <c r="G1125">
        <f>MAX(I1124,I1122)</f>
        <v>1466360</v>
      </c>
      <c r="H1125">
        <f>CEILING((dram_access_latency+F1125/dram_bandwidth)*frequency,1)</f>
        <v>131</v>
      </c>
      <c r="I1125">
        <f>G1125+H1125</f>
        <v>1466491</v>
      </c>
      <c r="J1125">
        <f>IF(AND(D1125&lt;&gt;"dram",D1125&lt;&gt;"control"),H1125,0)</f>
        <v>0</v>
      </c>
      <c r="K1125">
        <f>IF(D1125="dram",H1125,0)</f>
        <v>131</v>
      </c>
      <c r="L1125">
        <v>0</v>
      </c>
      <c r="M1125">
        <v>2048</v>
      </c>
    </row>
    <row r="1126" spans="1:13">
      <c r="A1126">
        <v>1124</v>
      </c>
      <c r="B1126" t="s">
        <v>285</v>
      </c>
      <c r="C1126" t="s">
        <v>78</v>
      </c>
      <c r="D1126" t="s">
        <v>79</v>
      </c>
      <c r="E1126" t="s">
        <v>104</v>
      </c>
      <c r="F1126">
        <v>2097152</v>
      </c>
      <c r="G1126">
        <f>MAX(I1124,I1125)</f>
        <v>1466491</v>
      </c>
      <c r="H1126">
        <f>CEILING((dram_access_latency+F1126/dram_bandwidth)*frequency,1)</f>
        <v>30941</v>
      </c>
      <c r="I1126">
        <f>G1126+H1126</f>
        <v>1497432</v>
      </c>
      <c r="J1126">
        <f>IF(AND(D1126&lt;&gt;"dram",D1126&lt;&gt;"control"),H1126,0)</f>
        <v>0</v>
      </c>
      <c r="K1126">
        <f>IF(D1126="dram",H1126,0)</f>
        <v>30941</v>
      </c>
      <c r="L1126">
        <v>2097152</v>
      </c>
      <c r="M1126">
        <v>0</v>
      </c>
    </row>
    <row r="1127" spans="1:13">
      <c r="A1127">
        <v>1125</v>
      </c>
      <c r="B1127" t="s">
        <v>287</v>
      </c>
      <c r="C1127" t="s">
        <v>78</v>
      </c>
      <c r="D1127" t="s">
        <v>79</v>
      </c>
      <c r="E1127" t="s">
        <v>104</v>
      </c>
      <c r="F1127">
        <v>65536</v>
      </c>
      <c r="G1127">
        <f>MAX(I1124,I1126)</f>
        <v>1497432</v>
      </c>
      <c r="H1127">
        <f>CEILING((dram_access_latency+F1127/dram_bandwidth)*frequency,1)</f>
        <v>1064</v>
      </c>
      <c r="I1127">
        <f>G1127+H1127</f>
        <v>1498496</v>
      </c>
      <c r="J1127">
        <f>IF(AND(D1127&lt;&gt;"dram",D1127&lt;&gt;"control"),H1127,0)</f>
        <v>0</v>
      </c>
      <c r="K1127">
        <f>IF(D1127="dram",H1127,0)</f>
        <v>1064</v>
      </c>
      <c r="L1127">
        <v>65536</v>
      </c>
      <c r="M1127">
        <v>0</v>
      </c>
    </row>
    <row r="1128" spans="1:13">
      <c r="A1128">
        <v>1126</v>
      </c>
      <c r="B1128" t="s">
        <v>288</v>
      </c>
      <c r="C1128" t="s">
        <v>78</v>
      </c>
      <c r="D1128" t="s">
        <v>79</v>
      </c>
      <c r="E1128" t="s">
        <v>104</v>
      </c>
      <c r="F1128">
        <v>2048</v>
      </c>
      <c r="G1128">
        <f>MAX(I1124,I1127)</f>
        <v>1498496</v>
      </c>
      <c r="H1128">
        <f>CEILING((dram_access_latency+F1128/dram_bandwidth)*frequency,1)</f>
        <v>131</v>
      </c>
      <c r="I1128">
        <f>G1128+H1128</f>
        <v>1498627</v>
      </c>
      <c r="J1128">
        <f>IF(AND(D1128&lt;&gt;"dram",D1128&lt;&gt;"control"),H1128,0)</f>
        <v>0</v>
      </c>
      <c r="K1128">
        <f>IF(D1128="dram",H1128,0)</f>
        <v>131</v>
      </c>
      <c r="L1128">
        <v>2048</v>
      </c>
      <c r="M1128">
        <v>0</v>
      </c>
    </row>
    <row r="1129" spans="1:13">
      <c r="A1129">
        <v>1127</v>
      </c>
      <c r="B1129" t="s">
        <v>51</v>
      </c>
      <c r="C1129" t="s">
        <v>85</v>
      </c>
      <c r="D1129" t="s">
        <v>17</v>
      </c>
      <c r="E1129" t="s">
        <v>104</v>
      </c>
      <c r="F1129">
        <v>0</v>
      </c>
      <c r="G1129">
        <f>MAX(I1123,I1114,I1126,I1116,I1127,I1128,I1125)</f>
        <v>1531896</v>
      </c>
      <c r="H1129">
        <f>'Operations'!I20</f>
        <v>65536</v>
      </c>
      <c r="I1129">
        <f>G1129+H1129</f>
        <v>1597432</v>
      </c>
      <c r="J1129">
        <f>IF(AND(D1129&lt;&gt;"dram",D1129&lt;&gt;"control"),H1129,0)</f>
        <v>65536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104</v>
      </c>
      <c r="F1130">
        <v>0</v>
      </c>
      <c r="G1130">
        <f>MAX(I1124,I1123)</f>
        <v>1466360</v>
      </c>
      <c r="H1130">
        <f>0</f>
        <v>65536</v>
      </c>
      <c r="I1130">
        <f>G1130+H1130</f>
        <v>1531896</v>
      </c>
      <c r="J1130">
        <f>IF(AND(D1130&lt;&gt;"dram",D1130&lt;&gt;"control"),H1130,0)</f>
        <v>0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290</v>
      </c>
      <c r="C1131" t="s">
        <v>87</v>
      </c>
      <c r="D1131" t="s">
        <v>79</v>
      </c>
      <c r="E1131" t="s">
        <v>104</v>
      </c>
      <c r="F1131">
        <v>2048</v>
      </c>
      <c r="G1131">
        <f>MAX(I1130,I1128)</f>
        <v>1531896</v>
      </c>
      <c r="H1131">
        <f>CEILING((dram_access_latency+F1131/dram_bandwidth)*frequency,1)</f>
        <v>131</v>
      </c>
      <c r="I1131">
        <f>G1131+H1131</f>
        <v>1532027</v>
      </c>
      <c r="J1131">
        <f>IF(AND(D1131&lt;&gt;"dram",D1131&lt;&gt;"control"),H1131,0)</f>
        <v>0</v>
      </c>
      <c r="K1131">
        <f>IF(D1131="dram",H1131,0)</f>
        <v>131</v>
      </c>
      <c r="L1131">
        <v>0</v>
      </c>
      <c r="M1131">
        <v>2048</v>
      </c>
    </row>
    <row r="1132" spans="1:13">
      <c r="A1132">
        <v>1130</v>
      </c>
      <c r="B1132" t="s">
        <v>285</v>
      </c>
      <c r="C1132" t="s">
        <v>78</v>
      </c>
      <c r="D1132" t="s">
        <v>79</v>
      </c>
      <c r="E1132" t="s">
        <v>105</v>
      </c>
      <c r="F1132">
        <v>2097152</v>
      </c>
      <c r="G1132">
        <f>MAX(I1130,I1131)</f>
        <v>1532027</v>
      </c>
      <c r="H1132">
        <f>CEILING((dram_access_latency+F1132/dram_bandwidth)*frequency,1)</f>
        <v>30941</v>
      </c>
      <c r="I1132">
        <f>G1132+H1132</f>
        <v>1562968</v>
      </c>
      <c r="J1132">
        <f>IF(AND(D1132&lt;&gt;"dram",D1132&lt;&gt;"control"),H1132,0)</f>
        <v>0</v>
      </c>
      <c r="K1132">
        <f>IF(D1132="dram",H1132,0)</f>
        <v>30941</v>
      </c>
      <c r="L1132">
        <v>2097152</v>
      </c>
      <c r="M1132">
        <v>0</v>
      </c>
    </row>
    <row r="1133" spans="1:13">
      <c r="A1133">
        <v>1131</v>
      </c>
      <c r="B1133" t="s">
        <v>287</v>
      </c>
      <c r="C1133" t="s">
        <v>78</v>
      </c>
      <c r="D1133" t="s">
        <v>79</v>
      </c>
      <c r="E1133" t="s">
        <v>105</v>
      </c>
      <c r="F1133">
        <v>65536</v>
      </c>
      <c r="G1133">
        <f>MAX(I1130,I1132)</f>
        <v>1562968</v>
      </c>
      <c r="H1133">
        <f>CEILING((dram_access_latency+F1133/dram_bandwidth)*frequency,1)</f>
        <v>1064</v>
      </c>
      <c r="I1133">
        <f>G1133+H1133</f>
        <v>1564032</v>
      </c>
      <c r="J1133">
        <f>IF(AND(D1133&lt;&gt;"dram",D1133&lt;&gt;"control"),H1133,0)</f>
        <v>0</v>
      </c>
      <c r="K1133">
        <f>IF(D1133="dram",H1133,0)</f>
        <v>1064</v>
      </c>
      <c r="L1133">
        <v>65536</v>
      </c>
      <c r="M1133">
        <v>0</v>
      </c>
    </row>
    <row r="1134" spans="1:13">
      <c r="A1134">
        <v>1132</v>
      </c>
      <c r="B1134" t="s">
        <v>288</v>
      </c>
      <c r="C1134" t="s">
        <v>78</v>
      </c>
      <c r="D1134" t="s">
        <v>79</v>
      </c>
      <c r="E1134" t="s">
        <v>105</v>
      </c>
      <c r="F1134">
        <v>2048</v>
      </c>
      <c r="G1134">
        <f>MAX(I1130,I1133)</f>
        <v>1564032</v>
      </c>
      <c r="H1134">
        <f>CEILING((dram_access_latency+F1134/dram_bandwidth)*frequency,1)</f>
        <v>131</v>
      </c>
      <c r="I1134">
        <f>G1134+H1134</f>
        <v>1564163</v>
      </c>
      <c r="J1134">
        <f>IF(AND(D1134&lt;&gt;"dram",D1134&lt;&gt;"control"),H1134,0)</f>
        <v>0</v>
      </c>
      <c r="K1134">
        <f>IF(D1134="dram",H1134,0)</f>
        <v>131</v>
      </c>
      <c r="L1134">
        <v>2048</v>
      </c>
      <c r="M1134">
        <v>0</v>
      </c>
    </row>
    <row r="1135" spans="1:13">
      <c r="A1135">
        <v>1133</v>
      </c>
      <c r="B1135" t="s">
        <v>51</v>
      </c>
      <c r="C1135" t="s">
        <v>85</v>
      </c>
      <c r="D1135" t="s">
        <v>17</v>
      </c>
      <c r="E1135" t="s">
        <v>105</v>
      </c>
      <c r="F1135">
        <v>0</v>
      </c>
      <c r="G1135">
        <f>MAX(I1129,I1114,I1132,I1116,I1133,I1134,I1131)</f>
        <v>1597432</v>
      </c>
      <c r="H1135">
        <f>'Operations'!I20</f>
        <v>65536</v>
      </c>
      <c r="I1135">
        <f>G1135+H1135</f>
        <v>1662968</v>
      </c>
      <c r="J1135">
        <f>IF(AND(D1135&lt;&gt;"dram",D1135&lt;&gt;"control"),H1135,0)</f>
        <v>65536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289</v>
      </c>
      <c r="C1136" t="s">
        <v>82</v>
      </c>
      <c r="D1136" t="s">
        <v>83</v>
      </c>
      <c r="E1136" t="s">
        <v>105</v>
      </c>
      <c r="F1136">
        <v>0</v>
      </c>
      <c r="G1136">
        <f>MAX(I1130,I1129)</f>
        <v>1531896</v>
      </c>
      <c r="H1136">
        <f>0</f>
        <v>65536</v>
      </c>
      <c r="I1136">
        <f>G1136+H1136</f>
        <v>1597432</v>
      </c>
      <c r="J1136">
        <f>IF(AND(D1136&lt;&gt;"dram",D1136&lt;&gt;"control"),H1136,0)</f>
        <v>0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290</v>
      </c>
      <c r="C1137" t="s">
        <v>87</v>
      </c>
      <c r="D1137" t="s">
        <v>79</v>
      </c>
      <c r="E1137" t="s">
        <v>105</v>
      </c>
      <c r="F1137">
        <v>2048</v>
      </c>
      <c r="G1137">
        <f>MAX(I1136,I1134)</f>
        <v>1597432</v>
      </c>
      <c r="H1137">
        <f>CEILING((dram_access_latency+F1137/dram_bandwidth)*frequency,1)</f>
        <v>131</v>
      </c>
      <c r="I1137">
        <f>G1137+H1137</f>
        <v>1597563</v>
      </c>
      <c r="J1137">
        <f>IF(AND(D1137&lt;&gt;"dram",D1137&lt;&gt;"control"),H1137,0)</f>
        <v>0</v>
      </c>
      <c r="K1137">
        <f>IF(D1137="dram",H1137,0)</f>
        <v>131</v>
      </c>
      <c r="L1137">
        <v>0</v>
      </c>
      <c r="M1137">
        <v>2048</v>
      </c>
    </row>
    <row r="1138" spans="1:13">
      <c r="A1138">
        <v>1136</v>
      </c>
      <c r="B1138" t="s">
        <v>291</v>
      </c>
      <c r="C1138" t="s">
        <v>82</v>
      </c>
      <c r="D1138" t="s">
        <v>83</v>
      </c>
      <c r="E1138" t="s">
        <v>80</v>
      </c>
      <c r="F1138">
        <v>0</v>
      </c>
      <c r="G1138">
        <f>MAX(I1136,I1135)</f>
        <v>1597432</v>
      </c>
      <c r="H1138">
        <f>0</f>
        <v>65536</v>
      </c>
      <c r="I1138">
        <f>G1138+H1138</f>
        <v>1662968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292</v>
      </c>
      <c r="C1139" t="s">
        <v>87</v>
      </c>
      <c r="D1139" t="s">
        <v>79</v>
      </c>
      <c r="E1139" t="s">
        <v>80</v>
      </c>
      <c r="F1139">
        <v>2048</v>
      </c>
      <c r="G1139">
        <f>MAX(I1138,I1137)</f>
        <v>1662968</v>
      </c>
      <c r="H1139">
        <f>CEILING((dram_access_latency+F1139/dram_bandwidth)*frequency,1)</f>
        <v>131</v>
      </c>
      <c r="I1139">
        <f>G1139+H1139</f>
        <v>1663099</v>
      </c>
      <c r="J1139">
        <f>IF(AND(D1139&lt;&gt;"dram",D1139&lt;&gt;"control"),H1139,0)</f>
        <v>0</v>
      </c>
      <c r="K1139">
        <f>IF(D1139="dram",H1139,0)</f>
        <v>131</v>
      </c>
      <c r="L1139">
        <v>0</v>
      </c>
      <c r="M1139">
        <v>2048</v>
      </c>
    </row>
    <row r="1140" spans="1:13">
      <c r="A1140">
        <v>1138</v>
      </c>
      <c r="B1140" t="s">
        <v>293</v>
      </c>
      <c r="C1140" t="s">
        <v>82</v>
      </c>
      <c r="D1140" t="s">
        <v>83</v>
      </c>
      <c r="E1140" t="s">
        <v>80</v>
      </c>
      <c r="F1140">
        <v>0</v>
      </c>
      <c r="G1140">
        <f>MAX(I1138,I1137)</f>
        <v>1662968</v>
      </c>
      <c r="H1140">
        <f>0</f>
        <v>0</v>
      </c>
      <c r="I1140">
        <f>G1140+H1140</f>
        <v>1662968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294</v>
      </c>
      <c r="C1141" t="s">
        <v>82</v>
      </c>
      <c r="D1141" t="s">
        <v>83</v>
      </c>
      <c r="E1141" t="s">
        <v>80</v>
      </c>
      <c r="F1141">
        <v>0</v>
      </c>
      <c r="G1141">
        <f>MAX(I1140,I1139)</f>
        <v>1662968</v>
      </c>
      <c r="H1141">
        <f>0</f>
        <v>131</v>
      </c>
      <c r="I1141">
        <f>G1141+H1141</f>
        <v>1663099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295</v>
      </c>
      <c r="C1142" t="s">
        <v>78</v>
      </c>
      <c r="D1142" t="s">
        <v>79</v>
      </c>
      <c r="E1142" t="s">
        <v>80</v>
      </c>
      <c r="F1142">
        <v>8192</v>
      </c>
      <c r="G1142">
        <f>MAX(I1141,I1139)</f>
        <v>1663099</v>
      </c>
      <c r="H1142">
        <f>CEILING((dram_access_latency+F1142/dram_bandwidth)*frequency,1)</f>
        <v>221</v>
      </c>
      <c r="I1142">
        <f>G1142+H1142</f>
        <v>1663320</v>
      </c>
      <c r="J1142">
        <f>IF(AND(D1142&lt;&gt;"dram",D1142&lt;&gt;"control"),H1142,0)</f>
        <v>0</v>
      </c>
      <c r="K1142">
        <f>IF(D1142="dram",H1142,0)</f>
        <v>221</v>
      </c>
      <c r="L1142">
        <v>8192</v>
      </c>
      <c r="M1142">
        <v>0</v>
      </c>
    </row>
    <row r="1143" spans="1:13">
      <c r="A1143">
        <v>1141</v>
      </c>
      <c r="B1143" t="s">
        <v>296</v>
      </c>
      <c r="C1143" t="s">
        <v>82</v>
      </c>
      <c r="D1143" t="s">
        <v>83</v>
      </c>
      <c r="E1143" t="s">
        <v>84</v>
      </c>
      <c r="F1143">
        <v>0</v>
      </c>
      <c r="G1143">
        <f>MAX(I1141,I1142)</f>
        <v>1663099</v>
      </c>
      <c r="H1143">
        <f>0</f>
        <v>221</v>
      </c>
      <c r="I1143">
        <f>G1143+H1143</f>
        <v>1663320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52</v>
      </c>
      <c r="C1144" t="s">
        <v>85</v>
      </c>
      <c r="D1144" t="s">
        <v>17</v>
      </c>
      <c r="E1144" t="s">
        <v>84</v>
      </c>
      <c r="F1144">
        <v>0</v>
      </c>
      <c r="G1144">
        <f>MAX(I1143,I1135)</f>
        <v>1663320</v>
      </c>
      <c r="H1144">
        <f>'Operations'!I21</f>
        <v>128</v>
      </c>
      <c r="I1144">
        <f>G1144+H1144</f>
        <v>1663448</v>
      </c>
      <c r="J1144">
        <f>IF(AND(D1144&lt;&gt;"dram",D1144&lt;&gt;"control"),H1144,0)</f>
        <v>128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297</v>
      </c>
      <c r="C1145" t="s">
        <v>87</v>
      </c>
      <c r="D1145" t="s">
        <v>79</v>
      </c>
      <c r="E1145" t="s">
        <v>84</v>
      </c>
      <c r="F1145">
        <v>4096</v>
      </c>
      <c r="G1145">
        <f>MAX(I1144,I1142)</f>
        <v>1663448</v>
      </c>
      <c r="H1145">
        <f>CEILING((dram_access_latency+F1145/dram_bandwidth)*frequency,1)</f>
        <v>161</v>
      </c>
      <c r="I1145">
        <f>G1145+H1145</f>
        <v>1663609</v>
      </c>
      <c r="J1145">
        <f>IF(AND(D1145&lt;&gt;"dram",D1145&lt;&gt;"control"),H1145,0)</f>
        <v>0</v>
      </c>
      <c r="K1145">
        <f>IF(D1145="dram",H1145,0)</f>
        <v>161</v>
      </c>
      <c r="L1145">
        <v>0</v>
      </c>
      <c r="M1145">
        <v>4096</v>
      </c>
    </row>
    <row r="1146" spans="1:13">
      <c r="A1146">
        <v>1144</v>
      </c>
      <c r="B1146" t="s">
        <v>298</v>
      </c>
      <c r="C1146" t="s">
        <v>82</v>
      </c>
      <c r="D1146" t="s">
        <v>83</v>
      </c>
      <c r="E1146" t="s">
        <v>80</v>
      </c>
      <c r="F1146">
        <v>0</v>
      </c>
      <c r="G1146">
        <f>MAX(I1144,I1145)</f>
        <v>1663448</v>
      </c>
      <c r="H1146">
        <f>0</f>
        <v>161</v>
      </c>
      <c r="I1146">
        <f>G1146+H1146</f>
        <v>1663609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299</v>
      </c>
      <c r="C1147" t="s">
        <v>78</v>
      </c>
      <c r="D1147" t="s">
        <v>79</v>
      </c>
      <c r="E1147" t="s">
        <v>80</v>
      </c>
      <c r="F1147">
        <v>4096</v>
      </c>
      <c r="G1147">
        <f>MAX(I1146,I1145)</f>
        <v>1663609</v>
      </c>
      <c r="H1147">
        <f>CEILING((dram_access_latency+F1147/dram_bandwidth)*frequency,1)</f>
        <v>161</v>
      </c>
      <c r="I1147">
        <f>G1147+H1147</f>
        <v>1663770</v>
      </c>
      <c r="J1147">
        <f>IF(AND(D1147&lt;&gt;"dram",D1147&lt;&gt;"control"),H1147,0)</f>
        <v>0</v>
      </c>
      <c r="K1147">
        <f>IF(D1147="dram",H1147,0)</f>
        <v>161</v>
      </c>
      <c r="L1147">
        <v>4096</v>
      </c>
      <c r="M1147">
        <v>0</v>
      </c>
    </row>
    <row r="1148" spans="1:13">
      <c r="A1148">
        <v>1146</v>
      </c>
      <c r="B1148" t="s">
        <v>300</v>
      </c>
      <c r="C1148" t="s">
        <v>78</v>
      </c>
      <c r="D1148" t="s">
        <v>79</v>
      </c>
      <c r="E1148" t="s">
        <v>80</v>
      </c>
      <c r="F1148">
        <v>8192</v>
      </c>
      <c r="G1148">
        <f>MAX(I1146,I1147)</f>
        <v>1663770</v>
      </c>
      <c r="H1148">
        <f>CEILING((dram_access_latency+F1148/dram_bandwidth)*frequency,1)</f>
        <v>221</v>
      </c>
      <c r="I1148">
        <f>G1148+H1148</f>
        <v>1663991</v>
      </c>
      <c r="J1148">
        <f>IF(AND(D1148&lt;&gt;"dram",D1148&lt;&gt;"control"),H1148,0)</f>
        <v>0</v>
      </c>
      <c r="K1148">
        <f>IF(D1148="dram",H1148,0)</f>
        <v>221</v>
      </c>
      <c r="L1148">
        <v>8192</v>
      </c>
      <c r="M1148">
        <v>0</v>
      </c>
    </row>
    <row r="1149" spans="1:13">
      <c r="A1149">
        <v>1147</v>
      </c>
      <c r="B1149" t="s">
        <v>301</v>
      </c>
      <c r="C1149" t="s">
        <v>82</v>
      </c>
      <c r="D1149" t="s">
        <v>83</v>
      </c>
      <c r="E1149" t="s">
        <v>84</v>
      </c>
      <c r="F1149">
        <v>0</v>
      </c>
      <c r="G1149">
        <f>MAX(I1146,I1147)</f>
        <v>1663609</v>
      </c>
      <c r="H1149">
        <f>0</f>
        <v>161</v>
      </c>
      <c r="I1149">
        <f>G1149+H1149</f>
        <v>1663770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302</v>
      </c>
      <c r="C1150" t="s">
        <v>82</v>
      </c>
      <c r="D1150" t="s">
        <v>83</v>
      </c>
      <c r="E1150" t="s">
        <v>84</v>
      </c>
      <c r="F1150">
        <v>0</v>
      </c>
      <c r="G1150">
        <f>MAX(I1149,I1148)</f>
        <v>1663770</v>
      </c>
      <c r="H1150">
        <f>0</f>
        <v>221</v>
      </c>
      <c r="I1150">
        <f>G1150+H1150</f>
        <v>1663991</v>
      </c>
      <c r="J1150">
        <f>IF(AND(D1150&lt;&gt;"dram",D1150&lt;&gt;"control"),H1150,0)</f>
        <v>0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53</v>
      </c>
      <c r="C1151" t="s">
        <v>85</v>
      </c>
      <c r="D1151" t="s">
        <v>17</v>
      </c>
      <c r="E1151" t="s">
        <v>84</v>
      </c>
      <c r="F1151">
        <v>0</v>
      </c>
      <c r="G1151">
        <f>MAX(I1150,I1144)</f>
        <v>1663991</v>
      </c>
      <c r="H1151">
        <f>'Operations'!I22</f>
        <v>2048</v>
      </c>
      <c r="I1151">
        <f>G1151+H1151</f>
        <v>1666039</v>
      </c>
      <c r="J1151">
        <f>IF(AND(D1151&lt;&gt;"dram",D1151&lt;&gt;"control"),H1151,0)</f>
        <v>2048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303</v>
      </c>
      <c r="C1152" t="s">
        <v>87</v>
      </c>
      <c r="D1152" t="s">
        <v>79</v>
      </c>
      <c r="E1152" t="s">
        <v>84</v>
      </c>
      <c r="F1152">
        <v>64</v>
      </c>
      <c r="G1152">
        <f>MAX(I1151,I1148)</f>
        <v>1666039</v>
      </c>
      <c r="H1152">
        <f>CEILING((dram_access_latency+F1152/dram_bandwidth)*frequency,1)</f>
        <v>101</v>
      </c>
      <c r="I1152">
        <f>G1152+H1152</f>
        <v>1666140</v>
      </c>
      <c r="J1152">
        <f>IF(AND(D1152&lt;&gt;"dram",D1152&lt;&gt;"control"),H1152,0)</f>
        <v>0</v>
      </c>
      <c r="K1152">
        <f>IF(D1152="dram",H1152,0)</f>
        <v>101</v>
      </c>
      <c r="L1152">
        <v>0</v>
      </c>
      <c r="M1152">
        <v>64</v>
      </c>
    </row>
    <row r="1153" spans="1:13">
      <c r="A1153">
        <v>1151</v>
      </c>
      <c r="B1153" t="s">
        <v>304</v>
      </c>
      <c r="C1153" t="s">
        <v>87</v>
      </c>
      <c r="D1153" t="s">
        <v>79</v>
      </c>
      <c r="E1153" t="s">
        <v>84</v>
      </c>
      <c r="F1153">
        <v>2048</v>
      </c>
      <c r="G1153">
        <f>MAX(I1151,I1152)</f>
        <v>1666140</v>
      </c>
      <c r="H1153">
        <f>CEILING((dram_access_latency+F1153/dram_bandwidth)*frequency,1)</f>
        <v>131</v>
      </c>
      <c r="I1153">
        <f>G1153+H1153</f>
        <v>1666271</v>
      </c>
      <c r="J1153">
        <f>IF(AND(D1153&lt;&gt;"dram",D1153&lt;&gt;"control"),H1153,0)</f>
        <v>0</v>
      </c>
      <c r="K1153">
        <f>IF(D1153="dram",H1153,0)</f>
        <v>131</v>
      </c>
      <c r="L1153">
        <v>0</v>
      </c>
      <c r="M1153">
        <v>2048</v>
      </c>
    </row>
    <row r="1154" spans="1:13">
      <c r="A1154">
        <v>1152</v>
      </c>
      <c r="B1154" t="s">
        <v>305</v>
      </c>
      <c r="C1154" t="s">
        <v>82</v>
      </c>
      <c r="D1154" t="s">
        <v>83</v>
      </c>
      <c r="E1154" t="s">
        <v>80</v>
      </c>
      <c r="F1154">
        <v>0</v>
      </c>
      <c r="G1154">
        <f>MAX(I1151,I1152)</f>
        <v>1666039</v>
      </c>
      <c r="H1154">
        <f>0</f>
        <v>101</v>
      </c>
      <c r="I1154">
        <f>G1154+H1154</f>
        <v>1666140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306</v>
      </c>
      <c r="C1155" t="s">
        <v>82</v>
      </c>
      <c r="D1155" t="s">
        <v>83</v>
      </c>
      <c r="E1155" t="s">
        <v>80</v>
      </c>
      <c r="F1155">
        <v>0</v>
      </c>
      <c r="G1155">
        <f>MAX(I1154,I1153)</f>
        <v>1666140</v>
      </c>
      <c r="H1155">
        <f>0</f>
        <v>131</v>
      </c>
      <c r="I1155">
        <f>G1155+H1155</f>
        <v>1666271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307</v>
      </c>
      <c r="C1156" t="s">
        <v>78</v>
      </c>
      <c r="D1156" t="s">
        <v>79</v>
      </c>
      <c r="E1156" t="s">
        <v>84</v>
      </c>
      <c r="F1156">
        <v>2048</v>
      </c>
      <c r="G1156">
        <f>MAX(I1155,I1153)</f>
        <v>1666271</v>
      </c>
      <c r="H1156">
        <f>CEILING((dram_access_latency+F1156/dram_bandwidth)*frequency,1)</f>
        <v>131</v>
      </c>
      <c r="I1156">
        <f>G1156+H1156</f>
        <v>1666402</v>
      </c>
      <c r="J1156">
        <f>IF(AND(D1156&lt;&gt;"dram",D1156&lt;&gt;"control"),H1156,0)</f>
        <v>0</v>
      </c>
      <c r="K1156">
        <f>IF(D1156="dram",H1156,0)</f>
        <v>131</v>
      </c>
      <c r="L1156">
        <v>2048</v>
      </c>
      <c r="M1156">
        <v>0</v>
      </c>
    </row>
    <row r="1157" spans="1:13">
      <c r="A1157">
        <v>1155</v>
      </c>
      <c r="B1157" t="s">
        <v>308</v>
      </c>
      <c r="C1157" t="s">
        <v>78</v>
      </c>
      <c r="D1157" t="s">
        <v>79</v>
      </c>
      <c r="E1157" t="s">
        <v>84</v>
      </c>
      <c r="F1157">
        <v>524288</v>
      </c>
      <c r="G1157">
        <f>MAX(I1155,I1156)</f>
        <v>1666402</v>
      </c>
      <c r="H1157">
        <f>CEILING((dram_access_latency+F1157/dram_bandwidth)*frequency,1)</f>
        <v>7811</v>
      </c>
      <c r="I1157">
        <f>G1157+H1157</f>
        <v>1674213</v>
      </c>
      <c r="J1157">
        <f>IF(AND(D1157&lt;&gt;"dram",D1157&lt;&gt;"control"),H1157,0)</f>
        <v>0</v>
      </c>
      <c r="K1157">
        <f>IF(D1157="dram",H1157,0)</f>
        <v>7811</v>
      </c>
      <c r="L1157">
        <v>524288</v>
      </c>
      <c r="M1157">
        <v>0</v>
      </c>
    </row>
    <row r="1158" spans="1:13">
      <c r="A1158">
        <v>1156</v>
      </c>
      <c r="B1158" t="s">
        <v>309</v>
      </c>
      <c r="C1158" t="s">
        <v>78</v>
      </c>
      <c r="D1158" t="s">
        <v>79</v>
      </c>
      <c r="E1158" t="s">
        <v>84</v>
      </c>
      <c r="F1158">
        <v>64</v>
      </c>
      <c r="G1158">
        <f>MAX(I1155,I1157)</f>
        <v>1674213</v>
      </c>
      <c r="H1158">
        <f>CEILING((dram_access_latency+F1158/dram_bandwidth)*frequency,1)</f>
        <v>101</v>
      </c>
      <c r="I1158">
        <f>G1158+H1158</f>
        <v>1674314</v>
      </c>
      <c r="J1158">
        <f>IF(AND(D1158&lt;&gt;"dram",D1158&lt;&gt;"control"),H1158,0)</f>
        <v>0</v>
      </c>
      <c r="K1158">
        <f>IF(D1158="dram",H1158,0)</f>
        <v>101</v>
      </c>
      <c r="L1158">
        <v>64</v>
      </c>
      <c r="M1158">
        <v>0</v>
      </c>
    </row>
    <row r="1159" spans="1:13">
      <c r="A1159">
        <v>1157</v>
      </c>
      <c r="B1159" t="s">
        <v>310</v>
      </c>
      <c r="C1159" t="s">
        <v>78</v>
      </c>
      <c r="D1159" t="s">
        <v>79</v>
      </c>
      <c r="E1159" t="s">
        <v>84</v>
      </c>
      <c r="F1159">
        <v>16384</v>
      </c>
      <c r="G1159">
        <f>MAX(I1155,I1158)</f>
        <v>1674314</v>
      </c>
      <c r="H1159">
        <f>CEILING((dram_access_latency+F1159/dram_bandwidth)*frequency,1)</f>
        <v>341</v>
      </c>
      <c r="I1159">
        <f>G1159+H1159</f>
        <v>1674655</v>
      </c>
      <c r="J1159">
        <f>IF(AND(D1159&lt;&gt;"dram",D1159&lt;&gt;"control"),H1159,0)</f>
        <v>0</v>
      </c>
      <c r="K1159">
        <f>IF(D1159="dram",H1159,0)</f>
        <v>341</v>
      </c>
      <c r="L1159">
        <v>16384</v>
      </c>
      <c r="M1159">
        <v>0</v>
      </c>
    </row>
    <row r="1160" spans="1:13">
      <c r="A1160">
        <v>1158</v>
      </c>
      <c r="B1160" t="s">
        <v>54</v>
      </c>
      <c r="C1160" t="s">
        <v>85</v>
      </c>
      <c r="D1160" t="s">
        <v>17</v>
      </c>
      <c r="E1160" t="s">
        <v>84</v>
      </c>
      <c r="F1160">
        <v>0</v>
      </c>
      <c r="G1160">
        <f>MAX(I1151,I1156,I1157,I1158,I1159)</f>
        <v>1674655</v>
      </c>
      <c r="H1160">
        <f>'Operations'!I23</f>
        <v>16384</v>
      </c>
      <c r="I1160">
        <f>G1160+H1160</f>
        <v>1691039</v>
      </c>
      <c r="J1160">
        <f>IF(AND(D1160&lt;&gt;"dram",D1160&lt;&gt;"control"),H1160,0)</f>
        <v>16384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308</v>
      </c>
      <c r="C1161" t="s">
        <v>78</v>
      </c>
      <c r="D1161" t="s">
        <v>79</v>
      </c>
      <c r="E1161" t="s">
        <v>101</v>
      </c>
      <c r="F1161">
        <v>524288</v>
      </c>
      <c r="G1161">
        <f>MAX(I1155,I1159)</f>
        <v>1674655</v>
      </c>
      <c r="H1161">
        <f>CEILING((dram_access_latency+F1161/dram_bandwidth)*frequency,1)</f>
        <v>7811</v>
      </c>
      <c r="I1161">
        <f>G1161+H1161</f>
        <v>1682466</v>
      </c>
      <c r="J1161">
        <f>IF(AND(D1161&lt;&gt;"dram",D1161&lt;&gt;"control"),H1161,0)</f>
        <v>0</v>
      </c>
      <c r="K1161">
        <f>IF(D1161="dram",H1161,0)</f>
        <v>7811</v>
      </c>
      <c r="L1161">
        <v>524288</v>
      </c>
      <c r="M1161">
        <v>0</v>
      </c>
    </row>
    <row r="1162" spans="1:13">
      <c r="A1162">
        <v>1160</v>
      </c>
      <c r="B1162" t="s">
        <v>310</v>
      </c>
      <c r="C1162" t="s">
        <v>78</v>
      </c>
      <c r="D1162" t="s">
        <v>79</v>
      </c>
      <c r="E1162" t="s">
        <v>101</v>
      </c>
      <c r="F1162">
        <v>16384</v>
      </c>
      <c r="G1162">
        <f>MAX(I1155,I1161)</f>
        <v>1682466</v>
      </c>
      <c r="H1162">
        <f>CEILING((dram_access_latency+F1162/dram_bandwidth)*frequency,1)</f>
        <v>341</v>
      </c>
      <c r="I1162">
        <f>G1162+H1162</f>
        <v>1682807</v>
      </c>
      <c r="J1162">
        <f>IF(AND(D1162&lt;&gt;"dram",D1162&lt;&gt;"control"),H1162,0)</f>
        <v>0</v>
      </c>
      <c r="K1162">
        <f>IF(D1162="dram",H1162,0)</f>
        <v>341</v>
      </c>
      <c r="L1162">
        <v>16384</v>
      </c>
      <c r="M1162">
        <v>0</v>
      </c>
    </row>
    <row r="1163" spans="1:13">
      <c r="A1163">
        <v>1161</v>
      </c>
      <c r="B1163" t="s">
        <v>54</v>
      </c>
      <c r="C1163" t="s">
        <v>85</v>
      </c>
      <c r="D1163" t="s">
        <v>17</v>
      </c>
      <c r="E1163" t="s">
        <v>101</v>
      </c>
      <c r="F1163">
        <v>0</v>
      </c>
      <c r="G1163">
        <f>MAX(I1160,I1156,I1161,I1158,I1162)</f>
        <v>1691039</v>
      </c>
      <c r="H1163">
        <f>'Operations'!I23</f>
        <v>16384</v>
      </c>
      <c r="I1163">
        <f>G1163+H1163</f>
        <v>1707423</v>
      </c>
      <c r="J1163">
        <f>IF(AND(D1163&lt;&gt;"dram",D1163&lt;&gt;"control"),H1163,0)</f>
        <v>16384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311</v>
      </c>
      <c r="C1164" t="s">
        <v>82</v>
      </c>
      <c r="D1164" t="s">
        <v>83</v>
      </c>
      <c r="E1164" t="s">
        <v>101</v>
      </c>
      <c r="F1164">
        <v>0</v>
      </c>
      <c r="G1164">
        <f>MAX(I1155,I1160)</f>
        <v>1666271</v>
      </c>
      <c r="H1164">
        <f>0</f>
        <v>24768</v>
      </c>
      <c r="I1164">
        <f>G1164+H1164</f>
        <v>1691039</v>
      </c>
      <c r="J1164">
        <f>IF(AND(D1164&lt;&gt;"dram",D1164&lt;&gt;"control"),H1164,0)</f>
        <v>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312</v>
      </c>
      <c r="C1165" t="s">
        <v>87</v>
      </c>
      <c r="D1165" t="s">
        <v>79</v>
      </c>
      <c r="E1165" t="s">
        <v>101</v>
      </c>
      <c r="F1165">
        <v>512</v>
      </c>
      <c r="G1165">
        <f>MAX(I1164,I1162)</f>
        <v>1691039</v>
      </c>
      <c r="H1165">
        <f>CEILING((dram_access_latency+F1165/dram_bandwidth)*frequency,1)</f>
        <v>108</v>
      </c>
      <c r="I1165">
        <f>G1165+H1165</f>
        <v>1691147</v>
      </c>
      <c r="J1165">
        <f>IF(AND(D1165&lt;&gt;"dram",D1165&lt;&gt;"control"),H1165,0)</f>
        <v>0</v>
      </c>
      <c r="K1165">
        <f>IF(D1165="dram",H1165,0)</f>
        <v>108</v>
      </c>
      <c r="L1165">
        <v>0</v>
      </c>
      <c r="M1165">
        <v>512</v>
      </c>
    </row>
    <row r="1166" spans="1:13">
      <c r="A1166">
        <v>1164</v>
      </c>
      <c r="B1166" t="s">
        <v>308</v>
      </c>
      <c r="C1166" t="s">
        <v>78</v>
      </c>
      <c r="D1166" t="s">
        <v>79</v>
      </c>
      <c r="E1166" t="s">
        <v>104</v>
      </c>
      <c r="F1166">
        <v>524288</v>
      </c>
      <c r="G1166">
        <f>MAX(I1164,I1165)</f>
        <v>1691147</v>
      </c>
      <c r="H1166">
        <f>CEILING((dram_access_latency+F1166/dram_bandwidth)*frequency,1)</f>
        <v>7811</v>
      </c>
      <c r="I1166">
        <f>G1166+H1166</f>
        <v>1698958</v>
      </c>
      <c r="J1166">
        <f>IF(AND(D1166&lt;&gt;"dram",D1166&lt;&gt;"control"),H1166,0)</f>
        <v>0</v>
      </c>
      <c r="K1166">
        <f>IF(D1166="dram",H1166,0)</f>
        <v>7811</v>
      </c>
      <c r="L1166">
        <v>524288</v>
      </c>
      <c r="M1166">
        <v>0</v>
      </c>
    </row>
    <row r="1167" spans="1:13">
      <c r="A1167">
        <v>1165</v>
      </c>
      <c r="B1167" t="s">
        <v>310</v>
      </c>
      <c r="C1167" t="s">
        <v>78</v>
      </c>
      <c r="D1167" t="s">
        <v>79</v>
      </c>
      <c r="E1167" t="s">
        <v>104</v>
      </c>
      <c r="F1167">
        <v>16384</v>
      </c>
      <c r="G1167">
        <f>MAX(I1164,I1166)</f>
        <v>1698958</v>
      </c>
      <c r="H1167">
        <f>CEILING((dram_access_latency+F1167/dram_bandwidth)*frequency,1)</f>
        <v>341</v>
      </c>
      <c r="I1167">
        <f>G1167+H1167</f>
        <v>1699299</v>
      </c>
      <c r="J1167">
        <f>IF(AND(D1167&lt;&gt;"dram",D1167&lt;&gt;"control"),H1167,0)</f>
        <v>0</v>
      </c>
      <c r="K1167">
        <f>IF(D1167="dram",H1167,0)</f>
        <v>341</v>
      </c>
      <c r="L1167">
        <v>16384</v>
      </c>
      <c r="M1167">
        <v>0</v>
      </c>
    </row>
    <row r="1168" spans="1:13">
      <c r="A1168">
        <v>1166</v>
      </c>
      <c r="B1168" t="s">
        <v>54</v>
      </c>
      <c r="C1168" t="s">
        <v>85</v>
      </c>
      <c r="D1168" t="s">
        <v>17</v>
      </c>
      <c r="E1168" t="s">
        <v>104</v>
      </c>
      <c r="F1168">
        <v>0</v>
      </c>
      <c r="G1168">
        <f>MAX(I1163,I1156,I1166,I1158,I1167,I1165)</f>
        <v>1707423</v>
      </c>
      <c r="H1168">
        <f>'Operations'!I23</f>
        <v>16384</v>
      </c>
      <c r="I1168">
        <f>G1168+H1168</f>
        <v>1723807</v>
      </c>
      <c r="J1168">
        <f>IF(AND(D1168&lt;&gt;"dram",D1168&lt;&gt;"control"),H1168,0)</f>
        <v>16384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311</v>
      </c>
      <c r="C1169" t="s">
        <v>82</v>
      </c>
      <c r="D1169" t="s">
        <v>83</v>
      </c>
      <c r="E1169" t="s">
        <v>104</v>
      </c>
      <c r="F1169">
        <v>0</v>
      </c>
      <c r="G1169">
        <f>MAX(I1164,I1163)</f>
        <v>1691039</v>
      </c>
      <c r="H1169">
        <f>0</f>
        <v>16384</v>
      </c>
      <c r="I1169">
        <f>G1169+H1169</f>
        <v>1707423</v>
      </c>
      <c r="J1169">
        <f>IF(AND(D1169&lt;&gt;"dram",D1169&lt;&gt;"control"),H1169,0)</f>
        <v>0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312</v>
      </c>
      <c r="C1170" t="s">
        <v>87</v>
      </c>
      <c r="D1170" t="s">
        <v>79</v>
      </c>
      <c r="E1170" t="s">
        <v>104</v>
      </c>
      <c r="F1170">
        <v>512</v>
      </c>
      <c r="G1170">
        <f>MAX(I1169,I1167)</f>
        <v>1707423</v>
      </c>
      <c r="H1170">
        <f>CEILING((dram_access_latency+F1170/dram_bandwidth)*frequency,1)</f>
        <v>108</v>
      </c>
      <c r="I1170">
        <f>G1170+H1170</f>
        <v>1707531</v>
      </c>
      <c r="J1170">
        <f>IF(AND(D1170&lt;&gt;"dram",D1170&lt;&gt;"control"),H1170,0)</f>
        <v>0</v>
      </c>
      <c r="K1170">
        <f>IF(D1170="dram",H1170,0)</f>
        <v>108</v>
      </c>
      <c r="L1170">
        <v>0</v>
      </c>
      <c r="M1170">
        <v>512</v>
      </c>
    </row>
    <row r="1171" spans="1:13">
      <c r="A1171">
        <v>1169</v>
      </c>
      <c r="B1171" t="s">
        <v>308</v>
      </c>
      <c r="C1171" t="s">
        <v>78</v>
      </c>
      <c r="D1171" t="s">
        <v>79</v>
      </c>
      <c r="E1171" t="s">
        <v>105</v>
      </c>
      <c r="F1171">
        <v>524288</v>
      </c>
      <c r="G1171">
        <f>MAX(I1169,I1170)</f>
        <v>1707531</v>
      </c>
      <c r="H1171">
        <f>CEILING((dram_access_latency+F1171/dram_bandwidth)*frequency,1)</f>
        <v>7811</v>
      </c>
      <c r="I1171">
        <f>G1171+H1171</f>
        <v>1715342</v>
      </c>
      <c r="J1171">
        <f>IF(AND(D1171&lt;&gt;"dram",D1171&lt;&gt;"control"),H1171,0)</f>
        <v>0</v>
      </c>
      <c r="K1171">
        <f>IF(D1171="dram",H1171,0)</f>
        <v>7811</v>
      </c>
      <c r="L1171">
        <v>524288</v>
      </c>
      <c r="M1171">
        <v>0</v>
      </c>
    </row>
    <row r="1172" spans="1:13">
      <c r="A1172">
        <v>1170</v>
      </c>
      <c r="B1172" t="s">
        <v>310</v>
      </c>
      <c r="C1172" t="s">
        <v>78</v>
      </c>
      <c r="D1172" t="s">
        <v>79</v>
      </c>
      <c r="E1172" t="s">
        <v>105</v>
      </c>
      <c r="F1172">
        <v>16384</v>
      </c>
      <c r="G1172">
        <f>MAX(I1169,I1171)</f>
        <v>1715342</v>
      </c>
      <c r="H1172">
        <f>CEILING((dram_access_latency+F1172/dram_bandwidth)*frequency,1)</f>
        <v>341</v>
      </c>
      <c r="I1172">
        <f>G1172+H1172</f>
        <v>1715683</v>
      </c>
      <c r="J1172">
        <f>IF(AND(D1172&lt;&gt;"dram",D1172&lt;&gt;"control"),H1172,0)</f>
        <v>0</v>
      </c>
      <c r="K1172">
        <f>IF(D1172="dram",H1172,0)</f>
        <v>341</v>
      </c>
      <c r="L1172">
        <v>16384</v>
      </c>
      <c r="M1172">
        <v>0</v>
      </c>
    </row>
    <row r="1173" spans="1:13">
      <c r="A1173">
        <v>1171</v>
      </c>
      <c r="B1173" t="s">
        <v>54</v>
      </c>
      <c r="C1173" t="s">
        <v>85</v>
      </c>
      <c r="D1173" t="s">
        <v>17</v>
      </c>
      <c r="E1173" t="s">
        <v>105</v>
      </c>
      <c r="F1173">
        <v>0</v>
      </c>
      <c r="G1173">
        <f>MAX(I1168,I1156,I1171,I1158,I1172,I1170)</f>
        <v>1723807</v>
      </c>
      <c r="H1173">
        <f>'Operations'!I23</f>
        <v>16384</v>
      </c>
      <c r="I1173">
        <f>G1173+H1173</f>
        <v>1740191</v>
      </c>
      <c r="J1173">
        <f>IF(AND(D1173&lt;&gt;"dram",D1173&lt;&gt;"control"),H1173,0)</f>
        <v>16384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311</v>
      </c>
      <c r="C1174" t="s">
        <v>82</v>
      </c>
      <c r="D1174" t="s">
        <v>83</v>
      </c>
      <c r="E1174" t="s">
        <v>105</v>
      </c>
      <c r="F1174">
        <v>0</v>
      </c>
      <c r="G1174">
        <f>MAX(I1169,I1168)</f>
        <v>1707423</v>
      </c>
      <c r="H1174">
        <f>0</f>
        <v>16384</v>
      </c>
      <c r="I1174">
        <f>G1174+H1174</f>
        <v>1723807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312</v>
      </c>
      <c r="C1175" t="s">
        <v>87</v>
      </c>
      <c r="D1175" t="s">
        <v>79</v>
      </c>
      <c r="E1175" t="s">
        <v>105</v>
      </c>
      <c r="F1175">
        <v>512</v>
      </c>
      <c r="G1175">
        <f>MAX(I1174,I1172)</f>
        <v>1723807</v>
      </c>
      <c r="H1175">
        <f>CEILING((dram_access_latency+F1175/dram_bandwidth)*frequency,1)</f>
        <v>108</v>
      </c>
      <c r="I1175">
        <f>G1175+H1175</f>
        <v>1723915</v>
      </c>
      <c r="J1175">
        <f>IF(AND(D1175&lt;&gt;"dram",D1175&lt;&gt;"control"),H1175,0)</f>
        <v>0</v>
      </c>
      <c r="K1175">
        <f>IF(D1175="dram",H1175,0)</f>
        <v>108</v>
      </c>
      <c r="L1175">
        <v>0</v>
      </c>
      <c r="M1175">
        <v>512</v>
      </c>
    </row>
    <row r="1176" spans="1:13">
      <c r="A1176">
        <v>1174</v>
      </c>
      <c r="B1176" t="s">
        <v>308</v>
      </c>
      <c r="C1176" t="s">
        <v>78</v>
      </c>
      <c r="D1176" t="s">
        <v>79</v>
      </c>
      <c r="E1176" t="s">
        <v>183</v>
      </c>
      <c r="F1176">
        <v>524288</v>
      </c>
      <c r="G1176">
        <f>MAX(I1174,I1175)</f>
        <v>1723915</v>
      </c>
      <c r="H1176">
        <f>CEILING((dram_access_latency+F1176/dram_bandwidth)*frequency,1)</f>
        <v>7811</v>
      </c>
      <c r="I1176">
        <f>G1176+H1176</f>
        <v>1731726</v>
      </c>
      <c r="J1176">
        <f>IF(AND(D1176&lt;&gt;"dram",D1176&lt;&gt;"control"),H1176,0)</f>
        <v>0</v>
      </c>
      <c r="K1176">
        <f>IF(D1176="dram",H1176,0)</f>
        <v>7811</v>
      </c>
      <c r="L1176">
        <v>524288</v>
      </c>
      <c r="M1176">
        <v>0</v>
      </c>
    </row>
    <row r="1177" spans="1:13">
      <c r="A1177">
        <v>1175</v>
      </c>
      <c r="B1177" t="s">
        <v>310</v>
      </c>
      <c r="C1177" t="s">
        <v>78</v>
      </c>
      <c r="D1177" t="s">
        <v>79</v>
      </c>
      <c r="E1177" t="s">
        <v>183</v>
      </c>
      <c r="F1177">
        <v>16384</v>
      </c>
      <c r="G1177">
        <f>MAX(I1174,I1176)</f>
        <v>1731726</v>
      </c>
      <c r="H1177">
        <f>CEILING((dram_access_latency+F1177/dram_bandwidth)*frequency,1)</f>
        <v>341</v>
      </c>
      <c r="I1177">
        <f>G1177+H1177</f>
        <v>1732067</v>
      </c>
      <c r="J1177">
        <f>IF(AND(D1177&lt;&gt;"dram",D1177&lt;&gt;"control"),H1177,0)</f>
        <v>0</v>
      </c>
      <c r="K1177">
        <f>IF(D1177="dram",H1177,0)</f>
        <v>341</v>
      </c>
      <c r="L1177">
        <v>16384</v>
      </c>
      <c r="M1177">
        <v>0</v>
      </c>
    </row>
    <row r="1178" spans="1:13">
      <c r="A1178">
        <v>1176</v>
      </c>
      <c r="B1178" t="s">
        <v>54</v>
      </c>
      <c r="C1178" t="s">
        <v>85</v>
      </c>
      <c r="D1178" t="s">
        <v>17</v>
      </c>
      <c r="E1178" t="s">
        <v>183</v>
      </c>
      <c r="F1178">
        <v>0</v>
      </c>
      <c r="G1178">
        <f>MAX(I1173,I1156,I1176,I1158,I1177,I1175)</f>
        <v>1740191</v>
      </c>
      <c r="H1178">
        <f>'Operations'!I23</f>
        <v>16384</v>
      </c>
      <c r="I1178">
        <f>G1178+H1178</f>
        <v>1756575</v>
      </c>
      <c r="J1178">
        <f>IF(AND(D1178&lt;&gt;"dram",D1178&lt;&gt;"control"),H1178,0)</f>
        <v>16384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311</v>
      </c>
      <c r="C1179" t="s">
        <v>82</v>
      </c>
      <c r="D1179" t="s">
        <v>83</v>
      </c>
      <c r="E1179" t="s">
        <v>183</v>
      </c>
      <c r="F1179">
        <v>0</v>
      </c>
      <c r="G1179">
        <f>MAX(I1174,I1173)</f>
        <v>1723807</v>
      </c>
      <c r="H1179">
        <f>0</f>
        <v>16384</v>
      </c>
      <c r="I1179">
        <f>G1179+H1179</f>
        <v>1740191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312</v>
      </c>
      <c r="C1180" t="s">
        <v>87</v>
      </c>
      <c r="D1180" t="s">
        <v>79</v>
      </c>
      <c r="E1180" t="s">
        <v>183</v>
      </c>
      <c r="F1180">
        <v>512</v>
      </c>
      <c r="G1180">
        <f>MAX(I1179,I1177)</f>
        <v>1740191</v>
      </c>
      <c r="H1180">
        <f>CEILING((dram_access_latency+F1180/dram_bandwidth)*frequency,1)</f>
        <v>108</v>
      </c>
      <c r="I1180">
        <f>G1180+H1180</f>
        <v>1740299</v>
      </c>
      <c r="J1180">
        <f>IF(AND(D1180&lt;&gt;"dram",D1180&lt;&gt;"control"),H1180,0)</f>
        <v>0</v>
      </c>
      <c r="K1180">
        <f>IF(D1180="dram",H1180,0)</f>
        <v>108</v>
      </c>
      <c r="L1180">
        <v>0</v>
      </c>
      <c r="M1180">
        <v>512</v>
      </c>
    </row>
    <row r="1181" spans="1:13">
      <c r="A1181">
        <v>1179</v>
      </c>
      <c r="B1181" t="s">
        <v>308</v>
      </c>
      <c r="C1181" t="s">
        <v>78</v>
      </c>
      <c r="D1181" t="s">
        <v>79</v>
      </c>
      <c r="E1181" t="s">
        <v>184</v>
      </c>
      <c r="F1181">
        <v>524288</v>
      </c>
      <c r="G1181">
        <f>MAX(I1179,I1180)</f>
        <v>1740299</v>
      </c>
      <c r="H1181">
        <f>CEILING((dram_access_latency+F1181/dram_bandwidth)*frequency,1)</f>
        <v>7811</v>
      </c>
      <c r="I1181">
        <f>G1181+H1181</f>
        <v>1748110</v>
      </c>
      <c r="J1181">
        <f>IF(AND(D1181&lt;&gt;"dram",D1181&lt;&gt;"control"),H1181,0)</f>
        <v>0</v>
      </c>
      <c r="K1181">
        <f>IF(D1181="dram",H1181,0)</f>
        <v>7811</v>
      </c>
      <c r="L1181">
        <v>524288</v>
      </c>
      <c r="M1181">
        <v>0</v>
      </c>
    </row>
    <row r="1182" spans="1:13">
      <c r="A1182">
        <v>1180</v>
      </c>
      <c r="B1182" t="s">
        <v>310</v>
      </c>
      <c r="C1182" t="s">
        <v>78</v>
      </c>
      <c r="D1182" t="s">
        <v>79</v>
      </c>
      <c r="E1182" t="s">
        <v>184</v>
      </c>
      <c r="F1182">
        <v>16384</v>
      </c>
      <c r="G1182">
        <f>MAX(I1179,I1181)</f>
        <v>1748110</v>
      </c>
      <c r="H1182">
        <f>CEILING((dram_access_latency+F1182/dram_bandwidth)*frequency,1)</f>
        <v>341</v>
      </c>
      <c r="I1182">
        <f>G1182+H1182</f>
        <v>1748451</v>
      </c>
      <c r="J1182">
        <f>IF(AND(D1182&lt;&gt;"dram",D1182&lt;&gt;"control"),H1182,0)</f>
        <v>0</v>
      </c>
      <c r="K1182">
        <f>IF(D1182="dram",H1182,0)</f>
        <v>341</v>
      </c>
      <c r="L1182">
        <v>16384</v>
      </c>
      <c r="M1182">
        <v>0</v>
      </c>
    </row>
    <row r="1183" spans="1:13">
      <c r="A1183">
        <v>1181</v>
      </c>
      <c r="B1183" t="s">
        <v>54</v>
      </c>
      <c r="C1183" t="s">
        <v>85</v>
      </c>
      <c r="D1183" t="s">
        <v>17</v>
      </c>
      <c r="E1183" t="s">
        <v>184</v>
      </c>
      <c r="F1183">
        <v>0</v>
      </c>
      <c r="G1183">
        <f>MAX(I1178,I1156,I1181,I1158,I1182,I1180)</f>
        <v>1756575</v>
      </c>
      <c r="H1183">
        <f>'Operations'!I23</f>
        <v>16384</v>
      </c>
      <c r="I1183">
        <f>G1183+H1183</f>
        <v>1772959</v>
      </c>
      <c r="J1183">
        <f>IF(AND(D1183&lt;&gt;"dram",D1183&lt;&gt;"control"),H1183,0)</f>
        <v>16384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311</v>
      </c>
      <c r="C1184" t="s">
        <v>82</v>
      </c>
      <c r="D1184" t="s">
        <v>83</v>
      </c>
      <c r="E1184" t="s">
        <v>184</v>
      </c>
      <c r="F1184">
        <v>0</v>
      </c>
      <c r="G1184">
        <f>MAX(I1179,I1178)</f>
        <v>1740191</v>
      </c>
      <c r="H1184">
        <f>0</f>
        <v>16384</v>
      </c>
      <c r="I1184">
        <f>G1184+H1184</f>
        <v>1756575</v>
      </c>
      <c r="J1184">
        <f>IF(AND(D1184&lt;&gt;"dram",D1184&lt;&gt;"control"),H1184,0)</f>
        <v>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312</v>
      </c>
      <c r="C1185" t="s">
        <v>87</v>
      </c>
      <c r="D1185" t="s">
        <v>79</v>
      </c>
      <c r="E1185" t="s">
        <v>184</v>
      </c>
      <c r="F1185">
        <v>512</v>
      </c>
      <c r="G1185">
        <f>MAX(I1184,I1182)</f>
        <v>1756575</v>
      </c>
      <c r="H1185">
        <f>CEILING((dram_access_latency+F1185/dram_bandwidth)*frequency,1)</f>
        <v>108</v>
      </c>
      <c r="I1185">
        <f>G1185+H1185</f>
        <v>1756683</v>
      </c>
      <c r="J1185">
        <f>IF(AND(D1185&lt;&gt;"dram",D1185&lt;&gt;"control"),H1185,0)</f>
        <v>0</v>
      </c>
      <c r="K1185">
        <f>IF(D1185="dram",H1185,0)</f>
        <v>108</v>
      </c>
      <c r="L1185">
        <v>0</v>
      </c>
      <c r="M1185">
        <v>512</v>
      </c>
    </row>
    <row r="1186" spans="1:13">
      <c r="A1186">
        <v>1184</v>
      </c>
      <c r="B1186" t="s">
        <v>308</v>
      </c>
      <c r="C1186" t="s">
        <v>78</v>
      </c>
      <c r="D1186" t="s">
        <v>79</v>
      </c>
      <c r="E1186" t="s">
        <v>185</v>
      </c>
      <c r="F1186">
        <v>524288</v>
      </c>
      <c r="G1186">
        <f>MAX(I1184,I1185)</f>
        <v>1756683</v>
      </c>
      <c r="H1186">
        <f>CEILING((dram_access_latency+F1186/dram_bandwidth)*frequency,1)</f>
        <v>7811</v>
      </c>
      <c r="I1186">
        <f>G1186+H1186</f>
        <v>1764494</v>
      </c>
      <c r="J1186">
        <f>IF(AND(D1186&lt;&gt;"dram",D1186&lt;&gt;"control"),H1186,0)</f>
        <v>0</v>
      </c>
      <c r="K1186">
        <f>IF(D1186="dram",H1186,0)</f>
        <v>7811</v>
      </c>
      <c r="L1186">
        <v>524288</v>
      </c>
      <c r="M1186">
        <v>0</v>
      </c>
    </row>
    <row r="1187" spans="1:13">
      <c r="A1187">
        <v>1185</v>
      </c>
      <c r="B1187" t="s">
        <v>310</v>
      </c>
      <c r="C1187" t="s">
        <v>78</v>
      </c>
      <c r="D1187" t="s">
        <v>79</v>
      </c>
      <c r="E1187" t="s">
        <v>185</v>
      </c>
      <c r="F1187">
        <v>16384</v>
      </c>
      <c r="G1187">
        <f>MAX(I1184,I1186)</f>
        <v>1764494</v>
      </c>
      <c r="H1187">
        <f>CEILING((dram_access_latency+F1187/dram_bandwidth)*frequency,1)</f>
        <v>341</v>
      </c>
      <c r="I1187">
        <f>G1187+H1187</f>
        <v>1764835</v>
      </c>
      <c r="J1187">
        <f>IF(AND(D1187&lt;&gt;"dram",D1187&lt;&gt;"control"),H1187,0)</f>
        <v>0</v>
      </c>
      <c r="K1187">
        <f>IF(D1187="dram",H1187,0)</f>
        <v>341</v>
      </c>
      <c r="L1187">
        <v>16384</v>
      </c>
      <c r="M1187">
        <v>0</v>
      </c>
    </row>
    <row r="1188" spans="1:13">
      <c r="A1188">
        <v>1186</v>
      </c>
      <c r="B1188" t="s">
        <v>54</v>
      </c>
      <c r="C1188" t="s">
        <v>85</v>
      </c>
      <c r="D1188" t="s">
        <v>17</v>
      </c>
      <c r="E1188" t="s">
        <v>185</v>
      </c>
      <c r="F1188">
        <v>0</v>
      </c>
      <c r="G1188">
        <f>MAX(I1183,I1156,I1186,I1158,I1187,I1185)</f>
        <v>1772959</v>
      </c>
      <c r="H1188">
        <f>'Operations'!I23</f>
        <v>16384</v>
      </c>
      <c r="I1188">
        <f>G1188+H1188</f>
        <v>1789343</v>
      </c>
      <c r="J1188">
        <f>IF(AND(D1188&lt;&gt;"dram",D1188&lt;&gt;"control"),H1188,0)</f>
        <v>16384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311</v>
      </c>
      <c r="C1189" t="s">
        <v>82</v>
      </c>
      <c r="D1189" t="s">
        <v>83</v>
      </c>
      <c r="E1189" t="s">
        <v>185</v>
      </c>
      <c r="F1189">
        <v>0</v>
      </c>
      <c r="G1189">
        <f>MAX(I1184,I1183)</f>
        <v>1756575</v>
      </c>
      <c r="H1189">
        <f>0</f>
        <v>16384</v>
      </c>
      <c r="I1189">
        <f>G1189+H1189</f>
        <v>1772959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312</v>
      </c>
      <c r="C1190" t="s">
        <v>87</v>
      </c>
      <c r="D1190" t="s">
        <v>79</v>
      </c>
      <c r="E1190" t="s">
        <v>185</v>
      </c>
      <c r="F1190">
        <v>512</v>
      </c>
      <c r="G1190">
        <f>MAX(I1189,I1187)</f>
        <v>1772959</v>
      </c>
      <c r="H1190">
        <f>CEILING((dram_access_latency+F1190/dram_bandwidth)*frequency,1)</f>
        <v>108</v>
      </c>
      <c r="I1190">
        <f>G1190+H1190</f>
        <v>1773067</v>
      </c>
      <c r="J1190">
        <f>IF(AND(D1190&lt;&gt;"dram",D1190&lt;&gt;"control"),H1190,0)</f>
        <v>0</v>
      </c>
      <c r="K1190">
        <f>IF(D1190="dram",H1190,0)</f>
        <v>108</v>
      </c>
      <c r="L1190">
        <v>0</v>
      </c>
      <c r="M1190">
        <v>512</v>
      </c>
    </row>
    <row r="1191" spans="1:13">
      <c r="A1191">
        <v>1189</v>
      </c>
      <c r="B1191" t="s">
        <v>308</v>
      </c>
      <c r="C1191" t="s">
        <v>78</v>
      </c>
      <c r="D1191" t="s">
        <v>79</v>
      </c>
      <c r="E1191" t="s">
        <v>186</v>
      </c>
      <c r="F1191">
        <v>524288</v>
      </c>
      <c r="G1191">
        <f>MAX(I1189,I1190)</f>
        <v>1773067</v>
      </c>
      <c r="H1191">
        <f>CEILING((dram_access_latency+F1191/dram_bandwidth)*frequency,1)</f>
        <v>7811</v>
      </c>
      <c r="I1191">
        <f>G1191+H1191</f>
        <v>1780878</v>
      </c>
      <c r="J1191">
        <f>IF(AND(D1191&lt;&gt;"dram",D1191&lt;&gt;"control"),H1191,0)</f>
        <v>0</v>
      </c>
      <c r="K1191">
        <f>IF(D1191="dram",H1191,0)</f>
        <v>7811</v>
      </c>
      <c r="L1191">
        <v>524288</v>
      </c>
      <c r="M1191">
        <v>0</v>
      </c>
    </row>
    <row r="1192" spans="1:13">
      <c r="A1192">
        <v>1190</v>
      </c>
      <c r="B1192" t="s">
        <v>310</v>
      </c>
      <c r="C1192" t="s">
        <v>78</v>
      </c>
      <c r="D1192" t="s">
        <v>79</v>
      </c>
      <c r="E1192" t="s">
        <v>186</v>
      </c>
      <c r="F1192">
        <v>16384</v>
      </c>
      <c r="G1192">
        <f>MAX(I1189,I1191)</f>
        <v>1780878</v>
      </c>
      <c r="H1192">
        <f>CEILING((dram_access_latency+F1192/dram_bandwidth)*frequency,1)</f>
        <v>341</v>
      </c>
      <c r="I1192">
        <f>G1192+H1192</f>
        <v>1781219</v>
      </c>
      <c r="J1192">
        <f>IF(AND(D1192&lt;&gt;"dram",D1192&lt;&gt;"control"),H1192,0)</f>
        <v>0</v>
      </c>
      <c r="K1192">
        <f>IF(D1192="dram",H1192,0)</f>
        <v>341</v>
      </c>
      <c r="L1192">
        <v>16384</v>
      </c>
      <c r="M1192">
        <v>0</v>
      </c>
    </row>
    <row r="1193" spans="1:13">
      <c r="A1193">
        <v>1191</v>
      </c>
      <c r="B1193" t="s">
        <v>54</v>
      </c>
      <c r="C1193" t="s">
        <v>85</v>
      </c>
      <c r="D1193" t="s">
        <v>17</v>
      </c>
      <c r="E1193" t="s">
        <v>186</v>
      </c>
      <c r="F1193">
        <v>0</v>
      </c>
      <c r="G1193">
        <f>MAX(I1188,I1156,I1191,I1158,I1192,I1190)</f>
        <v>1789343</v>
      </c>
      <c r="H1193">
        <f>'Operations'!I23</f>
        <v>16384</v>
      </c>
      <c r="I1193">
        <f>G1193+H1193</f>
        <v>1805727</v>
      </c>
      <c r="J1193">
        <f>IF(AND(D1193&lt;&gt;"dram",D1193&lt;&gt;"control"),H1193,0)</f>
        <v>16384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311</v>
      </c>
      <c r="C1194" t="s">
        <v>82</v>
      </c>
      <c r="D1194" t="s">
        <v>83</v>
      </c>
      <c r="E1194" t="s">
        <v>186</v>
      </c>
      <c r="F1194">
        <v>0</v>
      </c>
      <c r="G1194">
        <f>MAX(I1189,I1188)</f>
        <v>1772959</v>
      </c>
      <c r="H1194">
        <f>0</f>
        <v>16384</v>
      </c>
      <c r="I1194">
        <f>G1194+H1194</f>
        <v>1789343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312</v>
      </c>
      <c r="C1195" t="s">
        <v>87</v>
      </c>
      <c r="D1195" t="s">
        <v>79</v>
      </c>
      <c r="E1195" t="s">
        <v>186</v>
      </c>
      <c r="F1195">
        <v>512</v>
      </c>
      <c r="G1195">
        <f>MAX(I1194,I1192)</f>
        <v>1789343</v>
      </c>
      <c r="H1195">
        <f>CEILING((dram_access_latency+F1195/dram_bandwidth)*frequency,1)</f>
        <v>108</v>
      </c>
      <c r="I1195">
        <f>G1195+H1195</f>
        <v>1789451</v>
      </c>
      <c r="J1195">
        <f>IF(AND(D1195&lt;&gt;"dram",D1195&lt;&gt;"control"),H1195,0)</f>
        <v>0</v>
      </c>
      <c r="K1195">
        <f>IF(D1195="dram",H1195,0)</f>
        <v>108</v>
      </c>
      <c r="L1195">
        <v>0</v>
      </c>
      <c r="M1195">
        <v>512</v>
      </c>
    </row>
    <row r="1196" spans="1:13">
      <c r="A1196">
        <v>1194</v>
      </c>
      <c r="B1196" t="s">
        <v>308</v>
      </c>
      <c r="C1196" t="s">
        <v>78</v>
      </c>
      <c r="D1196" t="s">
        <v>79</v>
      </c>
      <c r="E1196" t="s">
        <v>187</v>
      </c>
      <c r="F1196">
        <v>524288</v>
      </c>
      <c r="G1196">
        <f>MAX(I1194,I1195)</f>
        <v>1789451</v>
      </c>
      <c r="H1196">
        <f>CEILING((dram_access_latency+F1196/dram_bandwidth)*frequency,1)</f>
        <v>7811</v>
      </c>
      <c r="I1196">
        <f>G1196+H1196</f>
        <v>1797262</v>
      </c>
      <c r="J1196">
        <f>IF(AND(D1196&lt;&gt;"dram",D1196&lt;&gt;"control"),H1196,0)</f>
        <v>0</v>
      </c>
      <c r="K1196">
        <f>IF(D1196="dram",H1196,0)</f>
        <v>7811</v>
      </c>
      <c r="L1196">
        <v>524288</v>
      </c>
      <c r="M1196">
        <v>0</v>
      </c>
    </row>
    <row r="1197" spans="1:13">
      <c r="A1197">
        <v>1195</v>
      </c>
      <c r="B1197" t="s">
        <v>310</v>
      </c>
      <c r="C1197" t="s">
        <v>78</v>
      </c>
      <c r="D1197" t="s">
        <v>79</v>
      </c>
      <c r="E1197" t="s">
        <v>187</v>
      </c>
      <c r="F1197">
        <v>16384</v>
      </c>
      <c r="G1197">
        <f>MAX(I1194,I1196)</f>
        <v>1797262</v>
      </c>
      <c r="H1197">
        <f>CEILING((dram_access_latency+F1197/dram_bandwidth)*frequency,1)</f>
        <v>341</v>
      </c>
      <c r="I1197">
        <f>G1197+H1197</f>
        <v>1797603</v>
      </c>
      <c r="J1197">
        <f>IF(AND(D1197&lt;&gt;"dram",D1197&lt;&gt;"control"),H1197,0)</f>
        <v>0</v>
      </c>
      <c r="K1197">
        <f>IF(D1197="dram",H1197,0)</f>
        <v>341</v>
      </c>
      <c r="L1197">
        <v>16384</v>
      </c>
      <c r="M1197">
        <v>0</v>
      </c>
    </row>
    <row r="1198" spans="1:13">
      <c r="A1198">
        <v>1196</v>
      </c>
      <c r="B1198" t="s">
        <v>54</v>
      </c>
      <c r="C1198" t="s">
        <v>85</v>
      </c>
      <c r="D1198" t="s">
        <v>17</v>
      </c>
      <c r="E1198" t="s">
        <v>187</v>
      </c>
      <c r="F1198">
        <v>0</v>
      </c>
      <c r="G1198">
        <f>MAX(I1193,I1156,I1196,I1158,I1197,I1195)</f>
        <v>1805727</v>
      </c>
      <c r="H1198">
        <f>'Operations'!I23</f>
        <v>16384</v>
      </c>
      <c r="I1198">
        <f>G1198+H1198</f>
        <v>1822111</v>
      </c>
      <c r="J1198">
        <f>IF(AND(D1198&lt;&gt;"dram",D1198&lt;&gt;"control"),H1198,0)</f>
        <v>16384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311</v>
      </c>
      <c r="C1199" t="s">
        <v>82</v>
      </c>
      <c r="D1199" t="s">
        <v>83</v>
      </c>
      <c r="E1199" t="s">
        <v>187</v>
      </c>
      <c r="F1199">
        <v>0</v>
      </c>
      <c r="G1199">
        <f>MAX(I1194,I1193)</f>
        <v>1789343</v>
      </c>
      <c r="H1199">
        <f>0</f>
        <v>16384</v>
      </c>
      <c r="I1199">
        <f>G1199+H1199</f>
        <v>1805727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312</v>
      </c>
      <c r="C1200" t="s">
        <v>87</v>
      </c>
      <c r="D1200" t="s">
        <v>79</v>
      </c>
      <c r="E1200" t="s">
        <v>187</v>
      </c>
      <c r="F1200">
        <v>512</v>
      </c>
      <c r="G1200">
        <f>MAX(I1199,I1197)</f>
        <v>1805727</v>
      </c>
      <c r="H1200">
        <f>CEILING((dram_access_latency+F1200/dram_bandwidth)*frequency,1)</f>
        <v>108</v>
      </c>
      <c r="I1200">
        <f>G1200+H1200</f>
        <v>1805835</v>
      </c>
      <c r="J1200">
        <f>IF(AND(D1200&lt;&gt;"dram",D1200&lt;&gt;"control"),H1200,0)</f>
        <v>0</v>
      </c>
      <c r="K1200">
        <f>IF(D1200="dram",H1200,0)</f>
        <v>108</v>
      </c>
      <c r="L1200">
        <v>0</v>
      </c>
      <c r="M1200">
        <v>512</v>
      </c>
    </row>
    <row r="1201" spans="1:13">
      <c r="A1201">
        <v>1199</v>
      </c>
      <c r="B1201" t="s">
        <v>308</v>
      </c>
      <c r="C1201" t="s">
        <v>78</v>
      </c>
      <c r="D1201" t="s">
        <v>79</v>
      </c>
      <c r="E1201" t="s">
        <v>188</v>
      </c>
      <c r="F1201">
        <v>524288</v>
      </c>
      <c r="G1201">
        <f>MAX(I1199,I1200)</f>
        <v>1805835</v>
      </c>
      <c r="H1201">
        <f>CEILING((dram_access_latency+F1201/dram_bandwidth)*frequency,1)</f>
        <v>7811</v>
      </c>
      <c r="I1201">
        <f>G1201+H1201</f>
        <v>1813646</v>
      </c>
      <c r="J1201">
        <f>IF(AND(D1201&lt;&gt;"dram",D1201&lt;&gt;"control"),H1201,0)</f>
        <v>0</v>
      </c>
      <c r="K1201">
        <f>IF(D1201="dram",H1201,0)</f>
        <v>7811</v>
      </c>
      <c r="L1201">
        <v>524288</v>
      </c>
      <c r="M1201">
        <v>0</v>
      </c>
    </row>
    <row r="1202" spans="1:13">
      <c r="A1202">
        <v>1200</v>
      </c>
      <c r="B1202" t="s">
        <v>310</v>
      </c>
      <c r="C1202" t="s">
        <v>78</v>
      </c>
      <c r="D1202" t="s">
        <v>79</v>
      </c>
      <c r="E1202" t="s">
        <v>188</v>
      </c>
      <c r="F1202">
        <v>16384</v>
      </c>
      <c r="G1202">
        <f>MAX(I1199,I1201)</f>
        <v>1813646</v>
      </c>
      <c r="H1202">
        <f>CEILING((dram_access_latency+F1202/dram_bandwidth)*frequency,1)</f>
        <v>341</v>
      </c>
      <c r="I1202">
        <f>G1202+H1202</f>
        <v>1813987</v>
      </c>
      <c r="J1202">
        <f>IF(AND(D1202&lt;&gt;"dram",D1202&lt;&gt;"control"),H1202,0)</f>
        <v>0</v>
      </c>
      <c r="K1202">
        <f>IF(D1202="dram",H1202,0)</f>
        <v>341</v>
      </c>
      <c r="L1202">
        <v>16384</v>
      </c>
      <c r="M1202">
        <v>0</v>
      </c>
    </row>
    <row r="1203" spans="1:13">
      <c r="A1203">
        <v>1201</v>
      </c>
      <c r="B1203" t="s">
        <v>54</v>
      </c>
      <c r="C1203" t="s">
        <v>85</v>
      </c>
      <c r="D1203" t="s">
        <v>17</v>
      </c>
      <c r="E1203" t="s">
        <v>188</v>
      </c>
      <c r="F1203">
        <v>0</v>
      </c>
      <c r="G1203">
        <f>MAX(I1198,I1156,I1201,I1158,I1202,I1200)</f>
        <v>1822111</v>
      </c>
      <c r="H1203">
        <f>'Operations'!I23</f>
        <v>16384</v>
      </c>
      <c r="I1203">
        <f>G1203+H1203</f>
        <v>1838495</v>
      </c>
      <c r="J1203">
        <f>IF(AND(D1203&lt;&gt;"dram",D1203&lt;&gt;"control"),H1203,0)</f>
        <v>16384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311</v>
      </c>
      <c r="C1204" t="s">
        <v>82</v>
      </c>
      <c r="D1204" t="s">
        <v>83</v>
      </c>
      <c r="E1204" t="s">
        <v>188</v>
      </c>
      <c r="F1204">
        <v>0</v>
      </c>
      <c r="G1204">
        <f>MAX(I1199,I1198)</f>
        <v>1805727</v>
      </c>
      <c r="H1204">
        <f>0</f>
        <v>16384</v>
      </c>
      <c r="I1204">
        <f>G1204+H1204</f>
        <v>1822111</v>
      </c>
      <c r="J1204">
        <f>IF(AND(D1204&lt;&gt;"dram",D1204&lt;&gt;"control"),H1204,0)</f>
        <v>0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312</v>
      </c>
      <c r="C1205" t="s">
        <v>87</v>
      </c>
      <c r="D1205" t="s">
        <v>79</v>
      </c>
      <c r="E1205" t="s">
        <v>188</v>
      </c>
      <c r="F1205">
        <v>512</v>
      </c>
      <c r="G1205">
        <f>MAX(I1204,I1202)</f>
        <v>1822111</v>
      </c>
      <c r="H1205">
        <f>CEILING((dram_access_latency+F1205/dram_bandwidth)*frequency,1)</f>
        <v>108</v>
      </c>
      <c r="I1205">
        <f>G1205+H1205</f>
        <v>1822219</v>
      </c>
      <c r="J1205">
        <f>IF(AND(D1205&lt;&gt;"dram",D1205&lt;&gt;"control"),H1205,0)</f>
        <v>0</v>
      </c>
      <c r="K1205">
        <f>IF(D1205="dram",H1205,0)</f>
        <v>108</v>
      </c>
      <c r="L1205">
        <v>0</v>
      </c>
      <c r="M1205">
        <v>512</v>
      </c>
    </row>
    <row r="1206" spans="1:13">
      <c r="A1206">
        <v>1204</v>
      </c>
      <c r="B1206" t="s">
        <v>308</v>
      </c>
      <c r="C1206" t="s">
        <v>78</v>
      </c>
      <c r="D1206" t="s">
        <v>79</v>
      </c>
      <c r="E1206" t="s">
        <v>189</v>
      </c>
      <c r="F1206">
        <v>524288</v>
      </c>
      <c r="G1206">
        <f>MAX(I1204,I1205)</f>
        <v>1822219</v>
      </c>
      <c r="H1206">
        <f>CEILING((dram_access_latency+F1206/dram_bandwidth)*frequency,1)</f>
        <v>7811</v>
      </c>
      <c r="I1206">
        <f>G1206+H1206</f>
        <v>1830030</v>
      </c>
      <c r="J1206">
        <f>IF(AND(D1206&lt;&gt;"dram",D1206&lt;&gt;"control"),H1206,0)</f>
        <v>0</v>
      </c>
      <c r="K1206">
        <f>IF(D1206="dram",H1206,0)</f>
        <v>7811</v>
      </c>
      <c r="L1206">
        <v>524288</v>
      </c>
      <c r="M1206">
        <v>0</v>
      </c>
    </row>
    <row r="1207" spans="1:13">
      <c r="A1207">
        <v>1205</v>
      </c>
      <c r="B1207" t="s">
        <v>310</v>
      </c>
      <c r="C1207" t="s">
        <v>78</v>
      </c>
      <c r="D1207" t="s">
        <v>79</v>
      </c>
      <c r="E1207" t="s">
        <v>189</v>
      </c>
      <c r="F1207">
        <v>16384</v>
      </c>
      <c r="G1207">
        <f>MAX(I1204,I1206)</f>
        <v>1830030</v>
      </c>
      <c r="H1207">
        <f>CEILING((dram_access_latency+F1207/dram_bandwidth)*frequency,1)</f>
        <v>341</v>
      </c>
      <c r="I1207">
        <f>G1207+H1207</f>
        <v>1830371</v>
      </c>
      <c r="J1207">
        <f>IF(AND(D1207&lt;&gt;"dram",D1207&lt;&gt;"control"),H1207,0)</f>
        <v>0</v>
      </c>
      <c r="K1207">
        <f>IF(D1207="dram",H1207,0)</f>
        <v>341</v>
      </c>
      <c r="L1207">
        <v>16384</v>
      </c>
      <c r="M1207">
        <v>0</v>
      </c>
    </row>
    <row r="1208" spans="1:13">
      <c r="A1208">
        <v>1206</v>
      </c>
      <c r="B1208" t="s">
        <v>54</v>
      </c>
      <c r="C1208" t="s">
        <v>85</v>
      </c>
      <c r="D1208" t="s">
        <v>17</v>
      </c>
      <c r="E1208" t="s">
        <v>189</v>
      </c>
      <c r="F1208">
        <v>0</v>
      </c>
      <c r="G1208">
        <f>MAX(I1203,I1156,I1206,I1158,I1207,I1205)</f>
        <v>1838495</v>
      </c>
      <c r="H1208">
        <f>'Operations'!I23</f>
        <v>16384</v>
      </c>
      <c r="I1208">
        <f>G1208+H1208</f>
        <v>1854879</v>
      </c>
      <c r="J1208">
        <f>IF(AND(D1208&lt;&gt;"dram",D1208&lt;&gt;"control"),H1208,0)</f>
        <v>16384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311</v>
      </c>
      <c r="C1209" t="s">
        <v>82</v>
      </c>
      <c r="D1209" t="s">
        <v>83</v>
      </c>
      <c r="E1209" t="s">
        <v>189</v>
      </c>
      <c r="F1209">
        <v>0</v>
      </c>
      <c r="G1209">
        <f>MAX(I1204,I1203)</f>
        <v>1822111</v>
      </c>
      <c r="H1209">
        <f>0</f>
        <v>16384</v>
      </c>
      <c r="I1209">
        <f>G1209+H1209</f>
        <v>1838495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312</v>
      </c>
      <c r="C1210" t="s">
        <v>87</v>
      </c>
      <c r="D1210" t="s">
        <v>79</v>
      </c>
      <c r="E1210" t="s">
        <v>189</v>
      </c>
      <c r="F1210">
        <v>512</v>
      </c>
      <c r="G1210">
        <f>MAX(I1209,I1207)</f>
        <v>1838495</v>
      </c>
      <c r="H1210">
        <f>CEILING((dram_access_latency+F1210/dram_bandwidth)*frequency,1)</f>
        <v>108</v>
      </c>
      <c r="I1210">
        <f>G1210+H1210</f>
        <v>1838603</v>
      </c>
      <c r="J1210">
        <f>IF(AND(D1210&lt;&gt;"dram",D1210&lt;&gt;"control"),H1210,0)</f>
        <v>0</v>
      </c>
      <c r="K1210">
        <f>IF(D1210="dram",H1210,0)</f>
        <v>108</v>
      </c>
      <c r="L1210">
        <v>0</v>
      </c>
      <c r="M1210">
        <v>512</v>
      </c>
    </row>
    <row r="1211" spans="1:13">
      <c r="A1211">
        <v>1209</v>
      </c>
      <c r="B1211" t="s">
        <v>308</v>
      </c>
      <c r="C1211" t="s">
        <v>78</v>
      </c>
      <c r="D1211" t="s">
        <v>79</v>
      </c>
      <c r="E1211" t="s">
        <v>190</v>
      </c>
      <c r="F1211">
        <v>524288</v>
      </c>
      <c r="G1211">
        <f>MAX(I1209,I1210)</f>
        <v>1838603</v>
      </c>
      <c r="H1211">
        <f>CEILING((dram_access_latency+F1211/dram_bandwidth)*frequency,1)</f>
        <v>7811</v>
      </c>
      <c r="I1211">
        <f>G1211+H1211</f>
        <v>1846414</v>
      </c>
      <c r="J1211">
        <f>IF(AND(D1211&lt;&gt;"dram",D1211&lt;&gt;"control"),H1211,0)</f>
        <v>0</v>
      </c>
      <c r="K1211">
        <f>IF(D1211="dram",H1211,0)</f>
        <v>7811</v>
      </c>
      <c r="L1211">
        <v>524288</v>
      </c>
      <c r="M1211">
        <v>0</v>
      </c>
    </row>
    <row r="1212" spans="1:13">
      <c r="A1212">
        <v>1210</v>
      </c>
      <c r="B1212" t="s">
        <v>310</v>
      </c>
      <c r="C1212" t="s">
        <v>78</v>
      </c>
      <c r="D1212" t="s">
        <v>79</v>
      </c>
      <c r="E1212" t="s">
        <v>190</v>
      </c>
      <c r="F1212">
        <v>16384</v>
      </c>
      <c r="G1212">
        <f>MAX(I1209,I1211)</f>
        <v>1846414</v>
      </c>
      <c r="H1212">
        <f>CEILING((dram_access_latency+F1212/dram_bandwidth)*frequency,1)</f>
        <v>341</v>
      </c>
      <c r="I1212">
        <f>G1212+H1212</f>
        <v>1846755</v>
      </c>
      <c r="J1212">
        <f>IF(AND(D1212&lt;&gt;"dram",D1212&lt;&gt;"control"),H1212,0)</f>
        <v>0</v>
      </c>
      <c r="K1212">
        <f>IF(D1212="dram",H1212,0)</f>
        <v>341</v>
      </c>
      <c r="L1212">
        <v>16384</v>
      </c>
      <c r="M1212">
        <v>0</v>
      </c>
    </row>
    <row r="1213" spans="1:13">
      <c r="A1213">
        <v>1211</v>
      </c>
      <c r="B1213" t="s">
        <v>54</v>
      </c>
      <c r="C1213" t="s">
        <v>85</v>
      </c>
      <c r="D1213" t="s">
        <v>17</v>
      </c>
      <c r="E1213" t="s">
        <v>190</v>
      </c>
      <c r="F1213">
        <v>0</v>
      </c>
      <c r="G1213">
        <f>MAX(I1208,I1156,I1211,I1158,I1212,I1210)</f>
        <v>1854879</v>
      </c>
      <c r="H1213">
        <f>'Operations'!I23</f>
        <v>16384</v>
      </c>
      <c r="I1213">
        <f>G1213+H1213</f>
        <v>1871263</v>
      </c>
      <c r="J1213">
        <f>IF(AND(D1213&lt;&gt;"dram",D1213&lt;&gt;"control"),H1213,0)</f>
        <v>16384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311</v>
      </c>
      <c r="C1214" t="s">
        <v>82</v>
      </c>
      <c r="D1214" t="s">
        <v>83</v>
      </c>
      <c r="E1214" t="s">
        <v>190</v>
      </c>
      <c r="F1214">
        <v>0</v>
      </c>
      <c r="G1214">
        <f>MAX(I1209,I1208)</f>
        <v>1838495</v>
      </c>
      <c r="H1214">
        <f>0</f>
        <v>16384</v>
      </c>
      <c r="I1214">
        <f>G1214+H1214</f>
        <v>1854879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312</v>
      </c>
      <c r="C1215" t="s">
        <v>87</v>
      </c>
      <c r="D1215" t="s">
        <v>79</v>
      </c>
      <c r="E1215" t="s">
        <v>190</v>
      </c>
      <c r="F1215">
        <v>512</v>
      </c>
      <c r="G1215">
        <f>MAX(I1214,I1212)</f>
        <v>1854879</v>
      </c>
      <c r="H1215">
        <f>CEILING((dram_access_latency+F1215/dram_bandwidth)*frequency,1)</f>
        <v>108</v>
      </c>
      <c r="I1215">
        <f>G1215+H1215</f>
        <v>1854987</v>
      </c>
      <c r="J1215">
        <f>IF(AND(D1215&lt;&gt;"dram",D1215&lt;&gt;"control"),H1215,0)</f>
        <v>0</v>
      </c>
      <c r="K1215">
        <f>IF(D1215="dram",H1215,0)</f>
        <v>108</v>
      </c>
      <c r="L1215">
        <v>0</v>
      </c>
      <c r="M1215">
        <v>512</v>
      </c>
    </row>
    <row r="1216" spans="1:13">
      <c r="A1216">
        <v>1214</v>
      </c>
      <c r="B1216" t="s">
        <v>308</v>
      </c>
      <c r="C1216" t="s">
        <v>78</v>
      </c>
      <c r="D1216" t="s">
        <v>79</v>
      </c>
      <c r="E1216" t="s">
        <v>191</v>
      </c>
      <c r="F1216">
        <v>524288</v>
      </c>
      <c r="G1216">
        <f>MAX(I1214,I1215)</f>
        <v>1854987</v>
      </c>
      <c r="H1216">
        <f>CEILING((dram_access_latency+F1216/dram_bandwidth)*frequency,1)</f>
        <v>7811</v>
      </c>
      <c r="I1216">
        <f>G1216+H1216</f>
        <v>1862798</v>
      </c>
      <c r="J1216">
        <f>IF(AND(D1216&lt;&gt;"dram",D1216&lt;&gt;"control"),H1216,0)</f>
        <v>0</v>
      </c>
      <c r="K1216">
        <f>IF(D1216="dram",H1216,0)</f>
        <v>7811</v>
      </c>
      <c r="L1216">
        <v>524288</v>
      </c>
      <c r="M1216">
        <v>0</v>
      </c>
    </row>
    <row r="1217" spans="1:13">
      <c r="A1217">
        <v>1215</v>
      </c>
      <c r="B1217" t="s">
        <v>310</v>
      </c>
      <c r="C1217" t="s">
        <v>78</v>
      </c>
      <c r="D1217" t="s">
        <v>79</v>
      </c>
      <c r="E1217" t="s">
        <v>191</v>
      </c>
      <c r="F1217">
        <v>16384</v>
      </c>
      <c r="G1217">
        <f>MAX(I1214,I1216)</f>
        <v>1862798</v>
      </c>
      <c r="H1217">
        <f>CEILING((dram_access_latency+F1217/dram_bandwidth)*frequency,1)</f>
        <v>341</v>
      </c>
      <c r="I1217">
        <f>G1217+H1217</f>
        <v>1863139</v>
      </c>
      <c r="J1217">
        <f>IF(AND(D1217&lt;&gt;"dram",D1217&lt;&gt;"control"),H1217,0)</f>
        <v>0</v>
      </c>
      <c r="K1217">
        <f>IF(D1217="dram",H1217,0)</f>
        <v>341</v>
      </c>
      <c r="L1217">
        <v>16384</v>
      </c>
      <c r="M1217">
        <v>0</v>
      </c>
    </row>
    <row r="1218" spans="1:13">
      <c r="A1218">
        <v>1216</v>
      </c>
      <c r="B1218" t="s">
        <v>54</v>
      </c>
      <c r="C1218" t="s">
        <v>85</v>
      </c>
      <c r="D1218" t="s">
        <v>17</v>
      </c>
      <c r="E1218" t="s">
        <v>191</v>
      </c>
      <c r="F1218">
        <v>0</v>
      </c>
      <c r="G1218">
        <f>MAX(I1213,I1156,I1216,I1158,I1217,I1215)</f>
        <v>1871263</v>
      </c>
      <c r="H1218">
        <f>'Operations'!I23</f>
        <v>16384</v>
      </c>
      <c r="I1218">
        <f>G1218+H1218</f>
        <v>1887647</v>
      </c>
      <c r="J1218">
        <f>IF(AND(D1218&lt;&gt;"dram",D1218&lt;&gt;"control"),H1218,0)</f>
        <v>16384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311</v>
      </c>
      <c r="C1219" t="s">
        <v>82</v>
      </c>
      <c r="D1219" t="s">
        <v>83</v>
      </c>
      <c r="E1219" t="s">
        <v>191</v>
      </c>
      <c r="F1219">
        <v>0</v>
      </c>
      <c r="G1219">
        <f>MAX(I1214,I1213)</f>
        <v>1854879</v>
      </c>
      <c r="H1219">
        <f>0</f>
        <v>16384</v>
      </c>
      <c r="I1219">
        <f>G1219+H1219</f>
        <v>1871263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312</v>
      </c>
      <c r="C1220" t="s">
        <v>87</v>
      </c>
      <c r="D1220" t="s">
        <v>79</v>
      </c>
      <c r="E1220" t="s">
        <v>191</v>
      </c>
      <c r="F1220">
        <v>512</v>
      </c>
      <c r="G1220">
        <f>MAX(I1219,I1217)</f>
        <v>1871263</v>
      </c>
      <c r="H1220">
        <f>CEILING((dram_access_latency+F1220/dram_bandwidth)*frequency,1)</f>
        <v>108</v>
      </c>
      <c r="I1220">
        <f>G1220+H1220</f>
        <v>1871371</v>
      </c>
      <c r="J1220">
        <f>IF(AND(D1220&lt;&gt;"dram",D1220&lt;&gt;"control"),H1220,0)</f>
        <v>0</v>
      </c>
      <c r="K1220">
        <f>IF(D1220="dram",H1220,0)</f>
        <v>108</v>
      </c>
      <c r="L1220">
        <v>0</v>
      </c>
      <c r="M1220">
        <v>512</v>
      </c>
    </row>
    <row r="1221" spans="1:13">
      <c r="A1221">
        <v>1219</v>
      </c>
      <c r="B1221" t="s">
        <v>308</v>
      </c>
      <c r="C1221" t="s">
        <v>78</v>
      </c>
      <c r="D1221" t="s">
        <v>79</v>
      </c>
      <c r="E1221" t="s">
        <v>192</v>
      </c>
      <c r="F1221">
        <v>524288</v>
      </c>
      <c r="G1221">
        <f>MAX(I1219,I1220)</f>
        <v>1871371</v>
      </c>
      <c r="H1221">
        <f>CEILING((dram_access_latency+F1221/dram_bandwidth)*frequency,1)</f>
        <v>7811</v>
      </c>
      <c r="I1221">
        <f>G1221+H1221</f>
        <v>1879182</v>
      </c>
      <c r="J1221">
        <f>IF(AND(D1221&lt;&gt;"dram",D1221&lt;&gt;"control"),H1221,0)</f>
        <v>0</v>
      </c>
      <c r="K1221">
        <f>IF(D1221="dram",H1221,0)</f>
        <v>7811</v>
      </c>
      <c r="L1221">
        <v>524288</v>
      </c>
      <c r="M1221">
        <v>0</v>
      </c>
    </row>
    <row r="1222" spans="1:13">
      <c r="A1222">
        <v>1220</v>
      </c>
      <c r="B1222" t="s">
        <v>310</v>
      </c>
      <c r="C1222" t="s">
        <v>78</v>
      </c>
      <c r="D1222" t="s">
        <v>79</v>
      </c>
      <c r="E1222" t="s">
        <v>192</v>
      </c>
      <c r="F1222">
        <v>16384</v>
      </c>
      <c r="G1222">
        <f>MAX(I1219,I1221)</f>
        <v>1879182</v>
      </c>
      <c r="H1222">
        <f>CEILING((dram_access_latency+F1222/dram_bandwidth)*frequency,1)</f>
        <v>341</v>
      </c>
      <c r="I1222">
        <f>G1222+H1222</f>
        <v>1879523</v>
      </c>
      <c r="J1222">
        <f>IF(AND(D1222&lt;&gt;"dram",D1222&lt;&gt;"control"),H1222,0)</f>
        <v>0</v>
      </c>
      <c r="K1222">
        <f>IF(D1222="dram",H1222,0)</f>
        <v>341</v>
      </c>
      <c r="L1222">
        <v>16384</v>
      </c>
      <c r="M1222">
        <v>0</v>
      </c>
    </row>
    <row r="1223" spans="1:13">
      <c r="A1223">
        <v>1221</v>
      </c>
      <c r="B1223" t="s">
        <v>54</v>
      </c>
      <c r="C1223" t="s">
        <v>85</v>
      </c>
      <c r="D1223" t="s">
        <v>17</v>
      </c>
      <c r="E1223" t="s">
        <v>192</v>
      </c>
      <c r="F1223">
        <v>0</v>
      </c>
      <c r="G1223">
        <f>MAX(I1218,I1156,I1221,I1158,I1222,I1220)</f>
        <v>1887647</v>
      </c>
      <c r="H1223">
        <f>'Operations'!I23</f>
        <v>16384</v>
      </c>
      <c r="I1223">
        <f>G1223+H1223</f>
        <v>1904031</v>
      </c>
      <c r="J1223">
        <f>IF(AND(D1223&lt;&gt;"dram",D1223&lt;&gt;"control"),H1223,0)</f>
        <v>16384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311</v>
      </c>
      <c r="C1224" t="s">
        <v>82</v>
      </c>
      <c r="D1224" t="s">
        <v>83</v>
      </c>
      <c r="E1224" t="s">
        <v>192</v>
      </c>
      <c r="F1224">
        <v>0</v>
      </c>
      <c r="G1224">
        <f>MAX(I1219,I1218)</f>
        <v>1871263</v>
      </c>
      <c r="H1224">
        <f>0</f>
        <v>16384</v>
      </c>
      <c r="I1224">
        <f>G1224+H1224</f>
        <v>1887647</v>
      </c>
      <c r="J1224">
        <f>IF(AND(D1224&lt;&gt;"dram",D1224&lt;&gt;"control"),H1224,0)</f>
        <v>0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312</v>
      </c>
      <c r="C1225" t="s">
        <v>87</v>
      </c>
      <c r="D1225" t="s">
        <v>79</v>
      </c>
      <c r="E1225" t="s">
        <v>192</v>
      </c>
      <c r="F1225">
        <v>512</v>
      </c>
      <c r="G1225">
        <f>MAX(I1224,I1222)</f>
        <v>1887647</v>
      </c>
      <c r="H1225">
        <f>CEILING((dram_access_latency+F1225/dram_bandwidth)*frequency,1)</f>
        <v>108</v>
      </c>
      <c r="I1225">
        <f>G1225+H1225</f>
        <v>1887755</v>
      </c>
      <c r="J1225">
        <f>IF(AND(D1225&lt;&gt;"dram",D1225&lt;&gt;"control"),H1225,0)</f>
        <v>0</v>
      </c>
      <c r="K1225">
        <f>IF(D1225="dram",H1225,0)</f>
        <v>108</v>
      </c>
      <c r="L1225">
        <v>0</v>
      </c>
      <c r="M1225">
        <v>512</v>
      </c>
    </row>
    <row r="1226" spans="1:13">
      <c r="A1226">
        <v>1224</v>
      </c>
      <c r="B1226" t="s">
        <v>308</v>
      </c>
      <c r="C1226" t="s">
        <v>78</v>
      </c>
      <c r="D1226" t="s">
        <v>79</v>
      </c>
      <c r="E1226" t="s">
        <v>193</v>
      </c>
      <c r="F1226">
        <v>524288</v>
      </c>
      <c r="G1226">
        <f>MAX(I1224,I1225)</f>
        <v>1887755</v>
      </c>
      <c r="H1226">
        <f>CEILING((dram_access_latency+F1226/dram_bandwidth)*frequency,1)</f>
        <v>7811</v>
      </c>
      <c r="I1226">
        <f>G1226+H1226</f>
        <v>1895566</v>
      </c>
      <c r="J1226">
        <f>IF(AND(D1226&lt;&gt;"dram",D1226&lt;&gt;"control"),H1226,0)</f>
        <v>0</v>
      </c>
      <c r="K1226">
        <f>IF(D1226="dram",H1226,0)</f>
        <v>7811</v>
      </c>
      <c r="L1226">
        <v>524288</v>
      </c>
      <c r="M1226">
        <v>0</v>
      </c>
    </row>
    <row r="1227" spans="1:13">
      <c r="A1227">
        <v>1225</v>
      </c>
      <c r="B1227" t="s">
        <v>310</v>
      </c>
      <c r="C1227" t="s">
        <v>78</v>
      </c>
      <c r="D1227" t="s">
        <v>79</v>
      </c>
      <c r="E1227" t="s">
        <v>193</v>
      </c>
      <c r="F1227">
        <v>16384</v>
      </c>
      <c r="G1227">
        <f>MAX(I1224,I1226)</f>
        <v>1895566</v>
      </c>
      <c r="H1227">
        <f>CEILING((dram_access_latency+F1227/dram_bandwidth)*frequency,1)</f>
        <v>341</v>
      </c>
      <c r="I1227">
        <f>G1227+H1227</f>
        <v>1895907</v>
      </c>
      <c r="J1227">
        <f>IF(AND(D1227&lt;&gt;"dram",D1227&lt;&gt;"control"),H1227,0)</f>
        <v>0</v>
      </c>
      <c r="K1227">
        <f>IF(D1227="dram",H1227,0)</f>
        <v>341</v>
      </c>
      <c r="L1227">
        <v>16384</v>
      </c>
      <c r="M1227">
        <v>0</v>
      </c>
    </row>
    <row r="1228" spans="1:13">
      <c r="A1228">
        <v>1226</v>
      </c>
      <c r="B1228" t="s">
        <v>54</v>
      </c>
      <c r="C1228" t="s">
        <v>85</v>
      </c>
      <c r="D1228" t="s">
        <v>17</v>
      </c>
      <c r="E1228" t="s">
        <v>193</v>
      </c>
      <c r="F1228">
        <v>0</v>
      </c>
      <c r="G1228">
        <f>MAX(I1223,I1156,I1226,I1158,I1227,I1225)</f>
        <v>1904031</v>
      </c>
      <c r="H1228">
        <f>'Operations'!I23</f>
        <v>16384</v>
      </c>
      <c r="I1228">
        <f>G1228+H1228</f>
        <v>1920415</v>
      </c>
      <c r="J1228">
        <f>IF(AND(D1228&lt;&gt;"dram",D1228&lt;&gt;"control"),H1228,0)</f>
        <v>16384</v>
      </c>
      <c r="K1228">
        <f>IF(D1228="dram",H1228,0)</f>
        <v>0</v>
      </c>
      <c r="L1228">
        <v>0</v>
      </c>
      <c r="M1228">
        <v>0</v>
      </c>
    </row>
    <row r="1229" spans="1:13">
      <c r="A1229">
        <v>1227</v>
      </c>
      <c r="B1229" t="s">
        <v>311</v>
      </c>
      <c r="C1229" t="s">
        <v>82</v>
      </c>
      <c r="D1229" t="s">
        <v>83</v>
      </c>
      <c r="E1229" t="s">
        <v>193</v>
      </c>
      <c r="F1229">
        <v>0</v>
      </c>
      <c r="G1229">
        <f>MAX(I1224,I1223)</f>
        <v>1887647</v>
      </c>
      <c r="H1229">
        <f>0</f>
        <v>16384</v>
      </c>
      <c r="I1229">
        <f>G1229+H1229</f>
        <v>1904031</v>
      </c>
      <c r="J1229">
        <f>IF(AND(D1229&lt;&gt;"dram",D1229&lt;&gt;"control"),H1229,0)</f>
        <v>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312</v>
      </c>
      <c r="C1230" t="s">
        <v>87</v>
      </c>
      <c r="D1230" t="s">
        <v>79</v>
      </c>
      <c r="E1230" t="s">
        <v>193</v>
      </c>
      <c r="F1230">
        <v>512</v>
      </c>
      <c r="G1230">
        <f>MAX(I1229,I1227)</f>
        <v>1904031</v>
      </c>
      <c r="H1230">
        <f>CEILING((dram_access_latency+F1230/dram_bandwidth)*frequency,1)</f>
        <v>108</v>
      </c>
      <c r="I1230">
        <f>G1230+H1230</f>
        <v>1904139</v>
      </c>
      <c r="J1230">
        <f>IF(AND(D1230&lt;&gt;"dram",D1230&lt;&gt;"control"),H1230,0)</f>
        <v>0</v>
      </c>
      <c r="K1230">
        <f>IF(D1230="dram",H1230,0)</f>
        <v>108</v>
      </c>
      <c r="L1230">
        <v>0</v>
      </c>
      <c r="M1230">
        <v>512</v>
      </c>
    </row>
    <row r="1231" spans="1:13">
      <c r="A1231">
        <v>1229</v>
      </c>
      <c r="B1231" t="s">
        <v>308</v>
      </c>
      <c r="C1231" t="s">
        <v>78</v>
      </c>
      <c r="D1231" t="s">
        <v>79</v>
      </c>
      <c r="E1231" t="s">
        <v>194</v>
      </c>
      <c r="F1231">
        <v>524288</v>
      </c>
      <c r="G1231">
        <f>MAX(I1229,I1230)</f>
        <v>1904139</v>
      </c>
      <c r="H1231">
        <f>CEILING((dram_access_latency+F1231/dram_bandwidth)*frequency,1)</f>
        <v>7811</v>
      </c>
      <c r="I1231">
        <f>G1231+H1231</f>
        <v>1911950</v>
      </c>
      <c r="J1231">
        <f>IF(AND(D1231&lt;&gt;"dram",D1231&lt;&gt;"control"),H1231,0)</f>
        <v>0</v>
      </c>
      <c r="K1231">
        <f>IF(D1231="dram",H1231,0)</f>
        <v>7811</v>
      </c>
      <c r="L1231">
        <v>524288</v>
      </c>
      <c r="M1231">
        <v>0</v>
      </c>
    </row>
    <row r="1232" spans="1:13">
      <c r="A1232">
        <v>1230</v>
      </c>
      <c r="B1232" t="s">
        <v>310</v>
      </c>
      <c r="C1232" t="s">
        <v>78</v>
      </c>
      <c r="D1232" t="s">
        <v>79</v>
      </c>
      <c r="E1232" t="s">
        <v>194</v>
      </c>
      <c r="F1232">
        <v>16384</v>
      </c>
      <c r="G1232">
        <f>MAX(I1229,I1231)</f>
        <v>1911950</v>
      </c>
      <c r="H1232">
        <f>CEILING((dram_access_latency+F1232/dram_bandwidth)*frequency,1)</f>
        <v>341</v>
      </c>
      <c r="I1232">
        <f>G1232+H1232</f>
        <v>1912291</v>
      </c>
      <c r="J1232">
        <f>IF(AND(D1232&lt;&gt;"dram",D1232&lt;&gt;"control"),H1232,0)</f>
        <v>0</v>
      </c>
      <c r="K1232">
        <f>IF(D1232="dram",H1232,0)</f>
        <v>341</v>
      </c>
      <c r="L1232">
        <v>16384</v>
      </c>
      <c r="M1232">
        <v>0</v>
      </c>
    </row>
    <row r="1233" spans="1:13">
      <c r="A1233">
        <v>1231</v>
      </c>
      <c r="B1233" t="s">
        <v>54</v>
      </c>
      <c r="C1233" t="s">
        <v>85</v>
      </c>
      <c r="D1233" t="s">
        <v>17</v>
      </c>
      <c r="E1233" t="s">
        <v>194</v>
      </c>
      <c r="F1233">
        <v>0</v>
      </c>
      <c r="G1233">
        <f>MAX(I1228,I1156,I1231,I1158,I1232,I1230)</f>
        <v>1920415</v>
      </c>
      <c r="H1233">
        <f>'Operations'!I23</f>
        <v>16384</v>
      </c>
      <c r="I1233">
        <f>G1233+H1233</f>
        <v>1936799</v>
      </c>
      <c r="J1233">
        <f>IF(AND(D1233&lt;&gt;"dram",D1233&lt;&gt;"control"),H1233,0)</f>
        <v>16384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311</v>
      </c>
      <c r="C1234" t="s">
        <v>82</v>
      </c>
      <c r="D1234" t="s">
        <v>83</v>
      </c>
      <c r="E1234" t="s">
        <v>194</v>
      </c>
      <c r="F1234">
        <v>0</v>
      </c>
      <c r="G1234">
        <f>MAX(I1229,I1228)</f>
        <v>1904031</v>
      </c>
      <c r="H1234">
        <f>0</f>
        <v>16384</v>
      </c>
      <c r="I1234">
        <f>G1234+H1234</f>
        <v>1920415</v>
      </c>
      <c r="J1234">
        <f>IF(AND(D1234&lt;&gt;"dram",D1234&lt;&gt;"control"),H1234,0)</f>
        <v>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312</v>
      </c>
      <c r="C1235" t="s">
        <v>87</v>
      </c>
      <c r="D1235" t="s">
        <v>79</v>
      </c>
      <c r="E1235" t="s">
        <v>194</v>
      </c>
      <c r="F1235">
        <v>512</v>
      </c>
      <c r="G1235">
        <f>MAX(I1234,I1232)</f>
        <v>1920415</v>
      </c>
      <c r="H1235">
        <f>CEILING((dram_access_latency+F1235/dram_bandwidth)*frequency,1)</f>
        <v>108</v>
      </c>
      <c r="I1235">
        <f>G1235+H1235</f>
        <v>1920523</v>
      </c>
      <c r="J1235">
        <f>IF(AND(D1235&lt;&gt;"dram",D1235&lt;&gt;"control"),H1235,0)</f>
        <v>0</v>
      </c>
      <c r="K1235">
        <f>IF(D1235="dram",H1235,0)</f>
        <v>108</v>
      </c>
      <c r="L1235">
        <v>0</v>
      </c>
      <c r="M1235">
        <v>512</v>
      </c>
    </row>
    <row r="1236" spans="1:13">
      <c r="A1236">
        <v>1234</v>
      </c>
      <c r="B1236" t="s">
        <v>308</v>
      </c>
      <c r="C1236" t="s">
        <v>78</v>
      </c>
      <c r="D1236" t="s">
        <v>79</v>
      </c>
      <c r="E1236" t="s">
        <v>206</v>
      </c>
      <c r="F1236">
        <v>524288</v>
      </c>
      <c r="G1236">
        <f>MAX(I1234,I1235)</f>
        <v>1920523</v>
      </c>
      <c r="H1236">
        <f>CEILING((dram_access_latency+F1236/dram_bandwidth)*frequency,1)</f>
        <v>7811</v>
      </c>
      <c r="I1236">
        <f>G1236+H1236</f>
        <v>1928334</v>
      </c>
      <c r="J1236">
        <f>IF(AND(D1236&lt;&gt;"dram",D1236&lt;&gt;"control"),H1236,0)</f>
        <v>0</v>
      </c>
      <c r="K1236">
        <f>IF(D1236="dram",H1236,0)</f>
        <v>7811</v>
      </c>
      <c r="L1236">
        <v>524288</v>
      </c>
      <c r="M1236">
        <v>0</v>
      </c>
    </row>
    <row r="1237" spans="1:13">
      <c r="A1237">
        <v>1235</v>
      </c>
      <c r="B1237" t="s">
        <v>310</v>
      </c>
      <c r="C1237" t="s">
        <v>78</v>
      </c>
      <c r="D1237" t="s">
        <v>79</v>
      </c>
      <c r="E1237" t="s">
        <v>206</v>
      </c>
      <c r="F1237">
        <v>16384</v>
      </c>
      <c r="G1237">
        <f>MAX(I1234,I1236)</f>
        <v>1928334</v>
      </c>
      <c r="H1237">
        <f>CEILING((dram_access_latency+F1237/dram_bandwidth)*frequency,1)</f>
        <v>341</v>
      </c>
      <c r="I1237">
        <f>G1237+H1237</f>
        <v>1928675</v>
      </c>
      <c r="J1237">
        <f>IF(AND(D1237&lt;&gt;"dram",D1237&lt;&gt;"control"),H1237,0)</f>
        <v>0</v>
      </c>
      <c r="K1237">
        <f>IF(D1237="dram",H1237,0)</f>
        <v>341</v>
      </c>
      <c r="L1237">
        <v>16384</v>
      </c>
      <c r="M1237">
        <v>0</v>
      </c>
    </row>
    <row r="1238" spans="1:13">
      <c r="A1238">
        <v>1236</v>
      </c>
      <c r="B1238" t="s">
        <v>54</v>
      </c>
      <c r="C1238" t="s">
        <v>85</v>
      </c>
      <c r="D1238" t="s">
        <v>17</v>
      </c>
      <c r="E1238" t="s">
        <v>206</v>
      </c>
      <c r="F1238">
        <v>0</v>
      </c>
      <c r="G1238">
        <f>MAX(I1233,I1156,I1236,I1158,I1237,I1235)</f>
        <v>1936799</v>
      </c>
      <c r="H1238">
        <f>'Operations'!I23</f>
        <v>16384</v>
      </c>
      <c r="I1238">
        <f>G1238+H1238</f>
        <v>1953183</v>
      </c>
      <c r="J1238">
        <f>IF(AND(D1238&lt;&gt;"dram",D1238&lt;&gt;"control"),H1238,0)</f>
        <v>16384</v>
      </c>
      <c r="K1238">
        <f>IF(D1238="dram",H1238,0)</f>
        <v>0</v>
      </c>
      <c r="L1238">
        <v>0</v>
      </c>
      <c r="M1238">
        <v>0</v>
      </c>
    </row>
    <row r="1239" spans="1:13">
      <c r="A1239">
        <v>1237</v>
      </c>
      <c r="B1239" t="s">
        <v>311</v>
      </c>
      <c r="C1239" t="s">
        <v>82</v>
      </c>
      <c r="D1239" t="s">
        <v>83</v>
      </c>
      <c r="E1239" t="s">
        <v>206</v>
      </c>
      <c r="F1239">
        <v>0</v>
      </c>
      <c r="G1239">
        <f>MAX(I1234,I1233)</f>
        <v>1920415</v>
      </c>
      <c r="H1239">
        <f>0</f>
        <v>16384</v>
      </c>
      <c r="I1239">
        <f>G1239+H1239</f>
        <v>1936799</v>
      </c>
      <c r="J1239">
        <f>IF(AND(D1239&lt;&gt;"dram",D1239&lt;&gt;"control"),H1239,0)</f>
        <v>0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312</v>
      </c>
      <c r="C1240" t="s">
        <v>87</v>
      </c>
      <c r="D1240" t="s">
        <v>79</v>
      </c>
      <c r="E1240" t="s">
        <v>206</v>
      </c>
      <c r="F1240">
        <v>512</v>
      </c>
      <c r="G1240">
        <f>MAX(I1239,I1237)</f>
        <v>1936799</v>
      </c>
      <c r="H1240">
        <f>CEILING((dram_access_latency+F1240/dram_bandwidth)*frequency,1)</f>
        <v>108</v>
      </c>
      <c r="I1240">
        <f>G1240+H1240</f>
        <v>1936907</v>
      </c>
      <c r="J1240">
        <f>IF(AND(D1240&lt;&gt;"dram",D1240&lt;&gt;"control"),H1240,0)</f>
        <v>0</v>
      </c>
      <c r="K1240">
        <f>IF(D1240="dram",H1240,0)</f>
        <v>108</v>
      </c>
      <c r="L1240">
        <v>0</v>
      </c>
      <c r="M1240">
        <v>512</v>
      </c>
    </row>
    <row r="1241" spans="1:13">
      <c r="A1241">
        <v>1239</v>
      </c>
      <c r="B1241" t="s">
        <v>308</v>
      </c>
      <c r="C1241" t="s">
        <v>78</v>
      </c>
      <c r="D1241" t="s">
        <v>79</v>
      </c>
      <c r="E1241" t="s">
        <v>207</v>
      </c>
      <c r="F1241">
        <v>524288</v>
      </c>
      <c r="G1241">
        <f>MAX(I1239,I1240)</f>
        <v>1936907</v>
      </c>
      <c r="H1241">
        <f>CEILING((dram_access_latency+F1241/dram_bandwidth)*frequency,1)</f>
        <v>7811</v>
      </c>
      <c r="I1241">
        <f>G1241+H1241</f>
        <v>1944718</v>
      </c>
      <c r="J1241">
        <f>IF(AND(D1241&lt;&gt;"dram",D1241&lt;&gt;"control"),H1241,0)</f>
        <v>0</v>
      </c>
      <c r="K1241">
        <f>IF(D1241="dram",H1241,0)</f>
        <v>7811</v>
      </c>
      <c r="L1241">
        <v>524288</v>
      </c>
      <c r="M1241">
        <v>0</v>
      </c>
    </row>
    <row r="1242" spans="1:13">
      <c r="A1242">
        <v>1240</v>
      </c>
      <c r="B1242" t="s">
        <v>310</v>
      </c>
      <c r="C1242" t="s">
        <v>78</v>
      </c>
      <c r="D1242" t="s">
        <v>79</v>
      </c>
      <c r="E1242" t="s">
        <v>207</v>
      </c>
      <c r="F1242">
        <v>16384</v>
      </c>
      <c r="G1242">
        <f>MAX(I1239,I1241)</f>
        <v>1944718</v>
      </c>
      <c r="H1242">
        <f>CEILING((dram_access_latency+F1242/dram_bandwidth)*frequency,1)</f>
        <v>341</v>
      </c>
      <c r="I1242">
        <f>G1242+H1242</f>
        <v>1945059</v>
      </c>
      <c r="J1242">
        <f>IF(AND(D1242&lt;&gt;"dram",D1242&lt;&gt;"control"),H1242,0)</f>
        <v>0</v>
      </c>
      <c r="K1242">
        <f>IF(D1242="dram",H1242,0)</f>
        <v>341</v>
      </c>
      <c r="L1242">
        <v>16384</v>
      </c>
      <c r="M1242">
        <v>0</v>
      </c>
    </row>
    <row r="1243" spans="1:13">
      <c r="A1243">
        <v>1241</v>
      </c>
      <c r="B1243" t="s">
        <v>54</v>
      </c>
      <c r="C1243" t="s">
        <v>85</v>
      </c>
      <c r="D1243" t="s">
        <v>17</v>
      </c>
      <c r="E1243" t="s">
        <v>207</v>
      </c>
      <c r="F1243">
        <v>0</v>
      </c>
      <c r="G1243">
        <f>MAX(I1238,I1156,I1241,I1158,I1242,I1240)</f>
        <v>1953183</v>
      </c>
      <c r="H1243">
        <f>'Operations'!I23</f>
        <v>16384</v>
      </c>
      <c r="I1243">
        <f>G1243+H1243</f>
        <v>1969567</v>
      </c>
      <c r="J1243">
        <f>IF(AND(D1243&lt;&gt;"dram",D1243&lt;&gt;"control"),H1243,0)</f>
        <v>16384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311</v>
      </c>
      <c r="C1244" t="s">
        <v>82</v>
      </c>
      <c r="D1244" t="s">
        <v>83</v>
      </c>
      <c r="E1244" t="s">
        <v>207</v>
      </c>
      <c r="F1244">
        <v>0</v>
      </c>
      <c r="G1244">
        <f>MAX(I1239,I1238)</f>
        <v>1936799</v>
      </c>
      <c r="H1244">
        <f>0</f>
        <v>16384</v>
      </c>
      <c r="I1244">
        <f>G1244+H1244</f>
        <v>1953183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312</v>
      </c>
      <c r="C1245" t="s">
        <v>87</v>
      </c>
      <c r="D1245" t="s">
        <v>79</v>
      </c>
      <c r="E1245" t="s">
        <v>207</v>
      </c>
      <c r="F1245">
        <v>512</v>
      </c>
      <c r="G1245">
        <f>MAX(I1244,I1242)</f>
        <v>1953183</v>
      </c>
      <c r="H1245">
        <f>CEILING((dram_access_latency+F1245/dram_bandwidth)*frequency,1)</f>
        <v>108</v>
      </c>
      <c r="I1245">
        <f>G1245+H1245</f>
        <v>1953291</v>
      </c>
      <c r="J1245">
        <f>IF(AND(D1245&lt;&gt;"dram",D1245&lt;&gt;"control"),H1245,0)</f>
        <v>0</v>
      </c>
      <c r="K1245">
        <f>IF(D1245="dram",H1245,0)</f>
        <v>108</v>
      </c>
      <c r="L1245">
        <v>0</v>
      </c>
      <c r="M1245">
        <v>512</v>
      </c>
    </row>
    <row r="1246" spans="1:13">
      <c r="A1246">
        <v>1244</v>
      </c>
      <c r="B1246" t="s">
        <v>308</v>
      </c>
      <c r="C1246" t="s">
        <v>78</v>
      </c>
      <c r="D1246" t="s">
        <v>79</v>
      </c>
      <c r="E1246" t="s">
        <v>208</v>
      </c>
      <c r="F1246">
        <v>524288</v>
      </c>
      <c r="G1246">
        <f>MAX(I1244,I1245)</f>
        <v>1953291</v>
      </c>
      <c r="H1246">
        <f>CEILING((dram_access_latency+F1246/dram_bandwidth)*frequency,1)</f>
        <v>7811</v>
      </c>
      <c r="I1246">
        <f>G1246+H1246</f>
        <v>1961102</v>
      </c>
      <c r="J1246">
        <f>IF(AND(D1246&lt;&gt;"dram",D1246&lt;&gt;"control"),H1246,0)</f>
        <v>0</v>
      </c>
      <c r="K1246">
        <f>IF(D1246="dram",H1246,0)</f>
        <v>7811</v>
      </c>
      <c r="L1246">
        <v>524288</v>
      </c>
      <c r="M1246">
        <v>0</v>
      </c>
    </row>
    <row r="1247" spans="1:13">
      <c r="A1247">
        <v>1245</v>
      </c>
      <c r="B1247" t="s">
        <v>310</v>
      </c>
      <c r="C1247" t="s">
        <v>78</v>
      </c>
      <c r="D1247" t="s">
        <v>79</v>
      </c>
      <c r="E1247" t="s">
        <v>208</v>
      </c>
      <c r="F1247">
        <v>16384</v>
      </c>
      <c r="G1247">
        <f>MAX(I1244,I1246)</f>
        <v>1961102</v>
      </c>
      <c r="H1247">
        <f>CEILING((dram_access_latency+F1247/dram_bandwidth)*frequency,1)</f>
        <v>341</v>
      </c>
      <c r="I1247">
        <f>G1247+H1247</f>
        <v>1961443</v>
      </c>
      <c r="J1247">
        <f>IF(AND(D1247&lt;&gt;"dram",D1247&lt;&gt;"control"),H1247,0)</f>
        <v>0</v>
      </c>
      <c r="K1247">
        <f>IF(D1247="dram",H1247,0)</f>
        <v>341</v>
      </c>
      <c r="L1247">
        <v>16384</v>
      </c>
      <c r="M1247">
        <v>0</v>
      </c>
    </row>
    <row r="1248" spans="1:13">
      <c r="A1248">
        <v>1246</v>
      </c>
      <c r="B1248" t="s">
        <v>54</v>
      </c>
      <c r="C1248" t="s">
        <v>85</v>
      </c>
      <c r="D1248" t="s">
        <v>17</v>
      </c>
      <c r="E1248" t="s">
        <v>208</v>
      </c>
      <c r="F1248">
        <v>0</v>
      </c>
      <c r="G1248">
        <f>MAX(I1243,I1156,I1246,I1158,I1247,I1245)</f>
        <v>1969567</v>
      </c>
      <c r="H1248">
        <f>'Operations'!I23</f>
        <v>16384</v>
      </c>
      <c r="I1248">
        <f>G1248+H1248</f>
        <v>1985951</v>
      </c>
      <c r="J1248">
        <f>IF(AND(D1248&lt;&gt;"dram",D1248&lt;&gt;"control"),H1248,0)</f>
        <v>16384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311</v>
      </c>
      <c r="C1249" t="s">
        <v>82</v>
      </c>
      <c r="D1249" t="s">
        <v>83</v>
      </c>
      <c r="E1249" t="s">
        <v>208</v>
      </c>
      <c r="F1249">
        <v>0</v>
      </c>
      <c r="G1249">
        <f>MAX(I1244,I1243)</f>
        <v>1953183</v>
      </c>
      <c r="H1249">
        <f>0</f>
        <v>16384</v>
      </c>
      <c r="I1249">
        <f>G1249+H1249</f>
        <v>1969567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312</v>
      </c>
      <c r="C1250" t="s">
        <v>87</v>
      </c>
      <c r="D1250" t="s">
        <v>79</v>
      </c>
      <c r="E1250" t="s">
        <v>208</v>
      </c>
      <c r="F1250">
        <v>512</v>
      </c>
      <c r="G1250">
        <f>MAX(I1249,I1247)</f>
        <v>1969567</v>
      </c>
      <c r="H1250">
        <f>CEILING((dram_access_latency+F1250/dram_bandwidth)*frequency,1)</f>
        <v>108</v>
      </c>
      <c r="I1250">
        <f>G1250+H1250</f>
        <v>1969675</v>
      </c>
      <c r="J1250">
        <f>IF(AND(D1250&lt;&gt;"dram",D1250&lt;&gt;"control"),H1250,0)</f>
        <v>0</v>
      </c>
      <c r="K1250">
        <f>IF(D1250="dram",H1250,0)</f>
        <v>108</v>
      </c>
      <c r="L1250">
        <v>0</v>
      </c>
      <c r="M1250">
        <v>512</v>
      </c>
    </row>
    <row r="1251" spans="1:13">
      <c r="A1251">
        <v>1249</v>
      </c>
      <c r="B1251" t="s">
        <v>308</v>
      </c>
      <c r="C1251" t="s">
        <v>78</v>
      </c>
      <c r="D1251" t="s">
        <v>79</v>
      </c>
      <c r="E1251" t="s">
        <v>209</v>
      </c>
      <c r="F1251">
        <v>524288</v>
      </c>
      <c r="G1251">
        <f>MAX(I1249,I1250)</f>
        <v>1969675</v>
      </c>
      <c r="H1251">
        <f>CEILING((dram_access_latency+F1251/dram_bandwidth)*frequency,1)</f>
        <v>7811</v>
      </c>
      <c r="I1251">
        <f>G1251+H1251</f>
        <v>1977486</v>
      </c>
      <c r="J1251">
        <f>IF(AND(D1251&lt;&gt;"dram",D1251&lt;&gt;"control"),H1251,0)</f>
        <v>0</v>
      </c>
      <c r="K1251">
        <f>IF(D1251="dram",H1251,0)</f>
        <v>7811</v>
      </c>
      <c r="L1251">
        <v>524288</v>
      </c>
      <c r="M1251">
        <v>0</v>
      </c>
    </row>
    <row r="1252" spans="1:13">
      <c r="A1252">
        <v>1250</v>
      </c>
      <c r="B1252" t="s">
        <v>310</v>
      </c>
      <c r="C1252" t="s">
        <v>78</v>
      </c>
      <c r="D1252" t="s">
        <v>79</v>
      </c>
      <c r="E1252" t="s">
        <v>209</v>
      </c>
      <c r="F1252">
        <v>16384</v>
      </c>
      <c r="G1252">
        <f>MAX(I1249,I1251)</f>
        <v>1977486</v>
      </c>
      <c r="H1252">
        <f>CEILING((dram_access_latency+F1252/dram_bandwidth)*frequency,1)</f>
        <v>341</v>
      </c>
      <c r="I1252">
        <f>G1252+H1252</f>
        <v>1977827</v>
      </c>
      <c r="J1252">
        <f>IF(AND(D1252&lt;&gt;"dram",D1252&lt;&gt;"control"),H1252,0)</f>
        <v>0</v>
      </c>
      <c r="K1252">
        <f>IF(D1252="dram",H1252,0)</f>
        <v>341</v>
      </c>
      <c r="L1252">
        <v>16384</v>
      </c>
      <c r="M1252">
        <v>0</v>
      </c>
    </row>
    <row r="1253" spans="1:13">
      <c r="A1253">
        <v>1251</v>
      </c>
      <c r="B1253" t="s">
        <v>54</v>
      </c>
      <c r="C1253" t="s">
        <v>85</v>
      </c>
      <c r="D1253" t="s">
        <v>17</v>
      </c>
      <c r="E1253" t="s">
        <v>209</v>
      </c>
      <c r="F1253">
        <v>0</v>
      </c>
      <c r="G1253">
        <f>MAX(I1248,I1156,I1251,I1158,I1252,I1250)</f>
        <v>1985951</v>
      </c>
      <c r="H1253">
        <f>'Operations'!I23</f>
        <v>16384</v>
      </c>
      <c r="I1253">
        <f>G1253+H1253</f>
        <v>2002335</v>
      </c>
      <c r="J1253">
        <f>IF(AND(D1253&lt;&gt;"dram",D1253&lt;&gt;"control"),H1253,0)</f>
        <v>16384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311</v>
      </c>
      <c r="C1254" t="s">
        <v>82</v>
      </c>
      <c r="D1254" t="s">
        <v>83</v>
      </c>
      <c r="E1254" t="s">
        <v>209</v>
      </c>
      <c r="F1254">
        <v>0</v>
      </c>
      <c r="G1254">
        <f>MAX(I1249,I1248)</f>
        <v>1969567</v>
      </c>
      <c r="H1254">
        <f>0</f>
        <v>16384</v>
      </c>
      <c r="I1254">
        <f>G1254+H1254</f>
        <v>1985951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312</v>
      </c>
      <c r="C1255" t="s">
        <v>87</v>
      </c>
      <c r="D1255" t="s">
        <v>79</v>
      </c>
      <c r="E1255" t="s">
        <v>209</v>
      </c>
      <c r="F1255">
        <v>512</v>
      </c>
      <c r="G1255">
        <f>MAX(I1254,I1252)</f>
        <v>1985951</v>
      </c>
      <c r="H1255">
        <f>CEILING((dram_access_latency+F1255/dram_bandwidth)*frequency,1)</f>
        <v>108</v>
      </c>
      <c r="I1255">
        <f>G1255+H1255</f>
        <v>1986059</v>
      </c>
      <c r="J1255">
        <f>IF(AND(D1255&lt;&gt;"dram",D1255&lt;&gt;"control"),H1255,0)</f>
        <v>0</v>
      </c>
      <c r="K1255">
        <f>IF(D1255="dram",H1255,0)</f>
        <v>108</v>
      </c>
      <c r="L1255">
        <v>0</v>
      </c>
      <c r="M1255">
        <v>512</v>
      </c>
    </row>
    <row r="1256" spans="1:13">
      <c r="A1256">
        <v>1254</v>
      </c>
      <c r="B1256" t="s">
        <v>308</v>
      </c>
      <c r="C1256" t="s">
        <v>78</v>
      </c>
      <c r="D1256" t="s">
        <v>79</v>
      </c>
      <c r="E1256" t="s">
        <v>210</v>
      </c>
      <c r="F1256">
        <v>524288</v>
      </c>
      <c r="G1256">
        <f>MAX(I1254,I1255)</f>
        <v>1986059</v>
      </c>
      <c r="H1256">
        <f>CEILING((dram_access_latency+F1256/dram_bandwidth)*frequency,1)</f>
        <v>7811</v>
      </c>
      <c r="I1256">
        <f>G1256+H1256</f>
        <v>1993870</v>
      </c>
      <c r="J1256">
        <f>IF(AND(D1256&lt;&gt;"dram",D1256&lt;&gt;"control"),H1256,0)</f>
        <v>0</v>
      </c>
      <c r="K1256">
        <f>IF(D1256="dram",H1256,0)</f>
        <v>7811</v>
      </c>
      <c r="L1256">
        <v>524288</v>
      </c>
      <c r="M1256">
        <v>0</v>
      </c>
    </row>
    <row r="1257" spans="1:13">
      <c r="A1257">
        <v>1255</v>
      </c>
      <c r="B1257" t="s">
        <v>310</v>
      </c>
      <c r="C1257" t="s">
        <v>78</v>
      </c>
      <c r="D1257" t="s">
        <v>79</v>
      </c>
      <c r="E1257" t="s">
        <v>210</v>
      </c>
      <c r="F1257">
        <v>16384</v>
      </c>
      <c r="G1257">
        <f>MAX(I1254,I1256)</f>
        <v>1993870</v>
      </c>
      <c r="H1257">
        <f>CEILING((dram_access_latency+F1257/dram_bandwidth)*frequency,1)</f>
        <v>341</v>
      </c>
      <c r="I1257">
        <f>G1257+H1257</f>
        <v>1994211</v>
      </c>
      <c r="J1257">
        <f>IF(AND(D1257&lt;&gt;"dram",D1257&lt;&gt;"control"),H1257,0)</f>
        <v>0</v>
      </c>
      <c r="K1257">
        <f>IF(D1257="dram",H1257,0)</f>
        <v>341</v>
      </c>
      <c r="L1257">
        <v>16384</v>
      </c>
      <c r="M1257">
        <v>0</v>
      </c>
    </row>
    <row r="1258" spans="1:13">
      <c r="A1258">
        <v>1256</v>
      </c>
      <c r="B1258" t="s">
        <v>54</v>
      </c>
      <c r="C1258" t="s">
        <v>85</v>
      </c>
      <c r="D1258" t="s">
        <v>17</v>
      </c>
      <c r="E1258" t="s">
        <v>210</v>
      </c>
      <c r="F1258">
        <v>0</v>
      </c>
      <c r="G1258">
        <f>MAX(I1253,I1156,I1256,I1158,I1257,I1255)</f>
        <v>2002335</v>
      </c>
      <c r="H1258">
        <f>'Operations'!I23</f>
        <v>16384</v>
      </c>
      <c r="I1258">
        <f>G1258+H1258</f>
        <v>2018719</v>
      </c>
      <c r="J1258">
        <f>IF(AND(D1258&lt;&gt;"dram",D1258&lt;&gt;"control"),H1258,0)</f>
        <v>16384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311</v>
      </c>
      <c r="C1259" t="s">
        <v>82</v>
      </c>
      <c r="D1259" t="s">
        <v>83</v>
      </c>
      <c r="E1259" t="s">
        <v>210</v>
      </c>
      <c r="F1259">
        <v>0</v>
      </c>
      <c r="G1259">
        <f>MAX(I1254,I1253)</f>
        <v>1985951</v>
      </c>
      <c r="H1259">
        <f>0</f>
        <v>16384</v>
      </c>
      <c r="I1259">
        <f>G1259+H1259</f>
        <v>2002335</v>
      </c>
      <c r="J1259">
        <f>IF(AND(D1259&lt;&gt;"dram",D1259&lt;&gt;"control"),H1259,0)</f>
        <v>0</v>
      </c>
      <c r="K1259">
        <f>IF(D1259="dram",H1259,0)</f>
        <v>0</v>
      </c>
      <c r="L1259">
        <v>0</v>
      </c>
      <c r="M1259">
        <v>0</v>
      </c>
    </row>
    <row r="1260" spans="1:13">
      <c r="A1260">
        <v>1258</v>
      </c>
      <c r="B1260" t="s">
        <v>312</v>
      </c>
      <c r="C1260" t="s">
        <v>87</v>
      </c>
      <c r="D1260" t="s">
        <v>79</v>
      </c>
      <c r="E1260" t="s">
        <v>210</v>
      </c>
      <c r="F1260">
        <v>512</v>
      </c>
      <c r="G1260">
        <f>MAX(I1259,I1257)</f>
        <v>2002335</v>
      </c>
      <c r="H1260">
        <f>CEILING((dram_access_latency+F1260/dram_bandwidth)*frequency,1)</f>
        <v>108</v>
      </c>
      <c r="I1260">
        <f>G1260+H1260</f>
        <v>2002443</v>
      </c>
      <c r="J1260">
        <f>IF(AND(D1260&lt;&gt;"dram",D1260&lt;&gt;"control"),H1260,0)</f>
        <v>0</v>
      </c>
      <c r="K1260">
        <f>IF(D1260="dram",H1260,0)</f>
        <v>108</v>
      </c>
      <c r="L1260">
        <v>0</v>
      </c>
      <c r="M1260">
        <v>512</v>
      </c>
    </row>
    <row r="1261" spans="1:13">
      <c r="A1261">
        <v>1259</v>
      </c>
      <c r="B1261" t="s">
        <v>308</v>
      </c>
      <c r="C1261" t="s">
        <v>78</v>
      </c>
      <c r="D1261" t="s">
        <v>79</v>
      </c>
      <c r="E1261" t="s">
        <v>211</v>
      </c>
      <c r="F1261">
        <v>524288</v>
      </c>
      <c r="G1261">
        <f>MAX(I1259,I1260)</f>
        <v>2002443</v>
      </c>
      <c r="H1261">
        <f>CEILING((dram_access_latency+F1261/dram_bandwidth)*frequency,1)</f>
        <v>7811</v>
      </c>
      <c r="I1261">
        <f>G1261+H1261</f>
        <v>2010254</v>
      </c>
      <c r="J1261">
        <f>IF(AND(D1261&lt;&gt;"dram",D1261&lt;&gt;"control"),H1261,0)</f>
        <v>0</v>
      </c>
      <c r="K1261">
        <f>IF(D1261="dram",H1261,0)</f>
        <v>7811</v>
      </c>
      <c r="L1261">
        <v>524288</v>
      </c>
      <c r="M1261">
        <v>0</v>
      </c>
    </row>
    <row r="1262" spans="1:13">
      <c r="A1262">
        <v>1260</v>
      </c>
      <c r="B1262" t="s">
        <v>310</v>
      </c>
      <c r="C1262" t="s">
        <v>78</v>
      </c>
      <c r="D1262" t="s">
        <v>79</v>
      </c>
      <c r="E1262" t="s">
        <v>211</v>
      </c>
      <c r="F1262">
        <v>16384</v>
      </c>
      <c r="G1262">
        <f>MAX(I1259,I1261)</f>
        <v>2010254</v>
      </c>
      <c r="H1262">
        <f>CEILING((dram_access_latency+F1262/dram_bandwidth)*frequency,1)</f>
        <v>341</v>
      </c>
      <c r="I1262">
        <f>G1262+H1262</f>
        <v>2010595</v>
      </c>
      <c r="J1262">
        <f>IF(AND(D1262&lt;&gt;"dram",D1262&lt;&gt;"control"),H1262,0)</f>
        <v>0</v>
      </c>
      <c r="K1262">
        <f>IF(D1262="dram",H1262,0)</f>
        <v>341</v>
      </c>
      <c r="L1262">
        <v>16384</v>
      </c>
      <c r="M1262">
        <v>0</v>
      </c>
    </row>
    <row r="1263" spans="1:13">
      <c r="A1263">
        <v>1261</v>
      </c>
      <c r="B1263" t="s">
        <v>54</v>
      </c>
      <c r="C1263" t="s">
        <v>85</v>
      </c>
      <c r="D1263" t="s">
        <v>17</v>
      </c>
      <c r="E1263" t="s">
        <v>211</v>
      </c>
      <c r="F1263">
        <v>0</v>
      </c>
      <c r="G1263">
        <f>MAX(I1258,I1156,I1261,I1158,I1262,I1260)</f>
        <v>2018719</v>
      </c>
      <c r="H1263">
        <f>'Operations'!I23</f>
        <v>16384</v>
      </c>
      <c r="I1263">
        <f>G1263+H1263</f>
        <v>2035103</v>
      </c>
      <c r="J1263">
        <f>IF(AND(D1263&lt;&gt;"dram",D1263&lt;&gt;"control"),H1263,0)</f>
        <v>16384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311</v>
      </c>
      <c r="C1264" t="s">
        <v>82</v>
      </c>
      <c r="D1264" t="s">
        <v>83</v>
      </c>
      <c r="E1264" t="s">
        <v>211</v>
      </c>
      <c r="F1264">
        <v>0</v>
      </c>
      <c r="G1264">
        <f>MAX(I1259,I1258)</f>
        <v>2002335</v>
      </c>
      <c r="H1264">
        <f>0</f>
        <v>16384</v>
      </c>
      <c r="I1264">
        <f>G1264+H1264</f>
        <v>2018719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312</v>
      </c>
      <c r="C1265" t="s">
        <v>87</v>
      </c>
      <c r="D1265" t="s">
        <v>79</v>
      </c>
      <c r="E1265" t="s">
        <v>211</v>
      </c>
      <c r="F1265">
        <v>512</v>
      </c>
      <c r="G1265">
        <f>MAX(I1264,I1262)</f>
        <v>2018719</v>
      </c>
      <c r="H1265">
        <f>CEILING((dram_access_latency+F1265/dram_bandwidth)*frequency,1)</f>
        <v>108</v>
      </c>
      <c r="I1265">
        <f>G1265+H1265</f>
        <v>2018827</v>
      </c>
      <c r="J1265">
        <f>IF(AND(D1265&lt;&gt;"dram",D1265&lt;&gt;"control"),H1265,0)</f>
        <v>0</v>
      </c>
      <c r="K1265">
        <f>IF(D1265="dram",H1265,0)</f>
        <v>108</v>
      </c>
      <c r="L1265">
        <v>0</v>
      </c>
      <c r="M1265">
        <v>512</v>
      </c>
    </row>
    <row r="1266" spans="1:13">
      <c r="A1266">
        <v>1264</v>
      </c>
      <c r="B1266" t="s">
        <v>308</v>
      </c>
      <c r="C1266" t="s">
        <v>78</v>
      </c>
      <c r="D1266" t="s">
        <v>79</v>
      </c>
      <c r="E1266" t="s">
        <v>212</v>
      </c>
      <c r="F1266">
        <v>524288</v>
      </c>
      <c r="G1266">
        <f>MAX(I1264,I1265)</f>
        <v>2018827</v>
      </c>
      <c r="H1266">
        <f>CEILING((dram_access_latency+F1266/dram_bandwidth)*frequency,1)</f>
        <v>7811</v>
      </c>
      <c r="I1266">
        <f>G1266+H1266</f>
        <v>2026638</v>
      </c>
      <c r="J1266">
        <f>IF(AND(D1266&lt;&gt;"dram",D1266&lt;&gt;"control"),H1266,0)</f>
        <v>0</v>
      </c>
      <c r="K1266">
        <f>IF(D1266="dram",H1266,0)</f>
        <v>7811</v>
      </c>
      <c r="L1266">
        <v>524288</v>
      </c>
      <c r="M1266">
        <v>0</v>
      </c>
    </row>
    <row r="1267" spans="1:13">
      <c r="A1267">
        <v>1265</v>
      </c>
      <c r="B1267" t="s">
        <v>310</v>
      </c>
      <c r="C1267" t="s">
        <v>78</v>
      </c>
      <c r="D1267" t="s">
        <v>79</v>
      </c>
      <c r="E1267" t="s">
        <v>212</v>
      </c>
      <c r="F1267">
        <v>16384</v>
      </c>
      <c r="G1267">
        <f>MAX(I1264,I1266)</f>
        <v>2026638</v>
      </c>
      <c r="H1267">
        <f>CEILING((dram_access_latency+F1267/dram_bandwidth)*frequency,1)</f>
        <v>341</v>
      </c>
      <c r="I1267">
        <f>G1267+H1267</f>
        <v>2026979</v>
      </c>
      <c r="J1267">
        <f>IF(AND(D1267&lt;&gt;"dram",D1267&lt;&gt;"control"),H1267,0)</f>
        <v>0</v>
      </c>
      <c r="K1267">
        <f>IF(D1267="dram",H1267,0)</f>
        <v>341</v>
      </c>
      <c r="L1267">
        <v>16384</v>
      </c>
      <c r="M1267">
        <v>0</v>
      </c>
    </row>
    <row r="1268" spans="1:13">
      <c r="A1268">
        <v>1266</v>
      </c>
      <c r="B1268" t="s">
        <v>54</v>
      </c>
      <c r="C1268" t="s">
        <v>85</v>
      </c>
      <c r="D1268" t="s">
        <v>17</v>
      </c>
      <c r="E1268" t="s">
        <v>212</v>
      </c>
      <c r="F1268">
        <v>0</v>
      </c>
      <c r="G1268">
        <f>MAX(I1263,I1156,I1266,I1158,I1267,I1265)</f>
        <v>2035103</v>
      </c>
      <c r="H1268">
        <f>'Operations'!I23</f>
        <v>16384</v>
      </c>
      <c r="I1268">
        <f>G1268+H1268</f>
        <v>2051487</v>
      </c>
      <c r="J1268">
        <f>IF(AND(D1268&lt;&gt;"dram",D1268&lt;&gt;"control"),H1268,0)</f>
        <v>16384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311</v>
      </c>
      <c r="C1269" t="s">
        <v>82</v>
      </c>
      <c r="D1269" t="s">
        <v>83</v>
      </c>
      <c r="E1269" t="s">
        <v>212</v>
      </c>
      <c r="F1269">
        <v>0</v>
      </c>
      <c r="G1269">
        <f>MAX(I1264,I1263)</f>
        <v>2018719</v>
      </c>
      <c r="H1269">
        <f>0</f>
        <v>16384</v>
      </c>
      <c r="I1269">
        <f>G1269+H1269</f>
        <v>2035103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312</v>
      </c>
      <c r="C1270" t="s">
        <v>87</v>
      </c>
      <c r="D1270" t="s">
        <v>79</v>
      </c>
      <c r="E1270" t="s">
        <v>212</v>
      </c>
      <c r="F1270">
        <v>512</v>
      </c>
      <c r="G1270">
        <f>MAX(I1269,I1267)</f>
        <v>2035103</v>
      </c>
      <c r="H1270">
        <f>CEILING((dram_access_latency+F1270/dram_bandwidth)*frequency,1)</f>
        <v>108</v>
      </c>
      <c r="I1270">
        <f>G1270+H1270</f>
        <v>2035211</v>
      </c>
      <c r="J1270">
        <f>IF(AND(D1270&lt;&gt;"dram",D1270&lt;&gt;"control"),H1270,0)</f>
        <v>0</v>
      </c>
      <c r="K1270">
        <f>IF(D1270="dram",H1270,0)</f>
        <v>108</v>
      </c>
      <c r="L1270">
        <v>0</v>
      </c>
      <c r="M1270">
        <v>512</v>
      </c>
    </row>
    <row r="1271" spans="1:13">
      <c r="A1271">
        <v>1269</v>
      </c>
      <c r="B1271" t="s">
        <v>308</v>
      </c>
      <c r="C1271" t="s">
        <v>78</v>
      </c>
      <c r="D1271" t="s">
        <v>79</v>
      </c>
      <c r="E1271" t="s">
        <v>213</v>
      </c>
      <c r="F1271">
        <v>524288</v>
      </c>
      <c r="G1271">
        <f>MAX(I1269,I1270)</f>
        <v>2035211</v>
      </c>
      <c r="H1271">
        <f>CEILING((dram_access_latency+F1271/dram_bandwidth)*frequency,1)</f>
        <v>7811</v>
      </c>
      <c r="I1271">
        <f>G1271+H1271</f>
        <v>2043022</v>
      </c>
      <c r="J1271">
        <f>IF(AND(D1271&lt;&gt;"dram",D1271&lt;&gt;"control"),H1271,0)</f>
        <v>0</v>
      </c>
      <c r="K1271">
        <f>IF(D1271="dram",H1271,0)</f>
        <v>7811</v>
      </c>
      <c r="L1271">
        <v>524288</v>
      </c>
      <c r="M1271">
        <v>0</v>
      </c>
    </row>
    <row r="1272" spans="1:13">
      <c r="A1272">
        <v>1270</v>
      </c>
      <c r="B1272" t="s">
        <v>310</v>
      </c>
      <c r="C1272" t="s">
        <v>78</v>
      </c>
      <c r="D1272" t="s">
        <v>79</v>
      </c>
      <c r="E1272" t="s">
        <v>213</v>
      </c>
      <c r="F1272">
        <v>16384</v>
      </c>
      <c r="G1272">
        <f>MAX(I1269,I1271)</f>
        <v>2043022</v>
      </c>
      <c r="H1272">
        <f>CEILING((dram_access_latency+F1272/dram_bandwidth)*frequency,1)</f>
        <v>341</v>
      </c>
      <c r="I1272">
        <f>G1272+H1272</f>
        <v>2043363</v>
      </c>
      <c r="J1272">
        <f>IF(AND(D1272&lt;&gt;"dram",D1272&lt;&gt;"control"),H1272,0)</f>
        <v>0</v>
      </c>
      <c r="K1272">
        <f>IF(D1272="dram",H1272,0)</f>
        <v>341</v>
      </c>
      <c r="L1272">
        <v>16384</v>
      </c>
      <c r="M1272">
        <v>0</v>
      </c>
    </row>
    <row r="1273" spans="1:13">
      <c r="A1273">
        <v>1271</v>
      </c>
      <c r="B1273" t="s">
        <v>54</v>
      </c>
      <c r="C1273" t="s">
        <v>85</v>
      </c>
      <c r="D1273" t="s">
        <v>17</v>
      </c>
      <c r="E1273" t="s">
        <v>213</v>
      </c>
      <c r="F1273">
        <v>0</v>
      </c>
      <c r="G1273">
        <f>MAX(I1268,I1156,I1271,I1158,I1272,I1270)</f>
        <v>2051487</v>
      </c>
      <c r="H1273">
        <f>'Operations'!I23</f>
        <v>16384</v>
      </c>
      <c r="I1273">
        <f>G1273+H1273</f>
        <v>2067871</v>
      </c>
      <c r="J1273">
        <f>IF(AND(D1273&lt;&gt;"dram",D1273&lt;&gt;"control"),H1273,0)</f>
        <v>16384</v>
      </c>
      <c r="K1273">
        <f>IF(D1273="dram",H1273,0)</f>
        <v>0</v>
      </c>
      <c r="L1273">
        <v>0</v>
      </c>
      <c r="M1273">
        <v>0</v>
      </c>
    </row>
    <row r="1274" spans="1:13">
      <c r="A1274">
        <v>1272</v>
      </c>
      <c r="B1274" t="s">
        <v>311</v>
      </c>
      <c r="C1274" t="s">
        <v>82</v>
      </c>
      <c r="D1274" t="s">
        <v>83</v>
      </c>
      <c r="E1274" t="s">
        <v>213</v>
      </c>
      <c r="F1274">
        <v>0</v>
      </c>
      <c r="G1274">
        <f>MAX(I1269,I1268)</f>
        <v>2035103</v>
      </c>
      <c r="H1274">
        <f>0</f>
        <v>16384</v>
      </c>
      <c r="I1274">
        <f>G1274+H1274</f>
        <v>2051487</v>
      </c>
      <c r="J1274">
        <f>IF(AND(D1274&lt;&gt;"dram",D1274&lt;&gt;"control"),H1274,0)</f>
        <v>0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312</v>
      </c>
      <c r="C1275" t="s">
        <v>87</v>
      </c>
      <c r="D1275" t="s">
        <v>79</v>
      </c>
      <c r="E1275" t="s">
        <v>213</v>
      </c>
      <c r="F1275">
        <v>512</v>
      </c>
      <c r="G1275">
        <f>MAX(I1274,I1272)</f>
        <v>2051487</v>
      </c>
      <c r="H1275">
        <f>CEILING((dram_access_latency+F1275/dram_bandwidth)*frequency,1)</f>
        <v>108</v>
      </c>
      <c r="I1275">
        <f>G1275+H1275</f>
        <v>2051595</v>
      </c>
      <c r="J1275">
        <f>IF(AND(D1275&lt;&gt;"dram",D1275&lt;&gt;"control"),H1275,0)</f>
        <v>0</v>
      </c>
      <c r="K1275">
        <f>IF(D1275="dram",H1275,0)</f>
        <v>108</v>
      </c>
      <c r="L1275">
        <v>0</v>
      </c>
      <c r="M1275">
        <v>512</v>
      </c>
    </row>
    <row r="1276" spans="1:13">
      <c r="A1276">
        <v>1274</v>
      </c>
      <c r="B1276" t="s">
        <v>308</v>
      </c>
      <c r="C1276" t="s">
        <v>78</v>
      </c>
      <c r="D1276" t="s">
        <v>79</v>
      </c>
      <c r="E1276" t="s">
        <v>214</v>
      </c>
      <c r="F1276">
        <v>524288</v>
      </c>
      <c r="G1276">
        <f>MAX(I1274,I1275)</f>
        <v>2051595</v>
      </c>
      <c r="H1276">
        <f>CEILING((dram_access_latency+F1276/dram_bandwidth)*frequency,1)</f>
        <v>7811</v>
      </c>
      <c r="I1276">
        <f>G1276+H1276</f>
        <v>2059406</v>
      </c>
      <c r="J1276">
        <f>IF(AND(D1276&lt;&gt;"dram",D1276&lt;&gt;"control"),H1276,0)</f>
        <v>0</v>
      </c>
      <c r="K1276">
        <f>IF(D1276="dram",H1276,0)</f>
        <v>7811</v>
      </c>
      <c r="L1276">
        <v>524288</v>
      </c>
      <c r="M1276">
        <v>0</v>
      </c>
    </row>
    <row r="1277" spans="1:13">
      <c r="A1277">
        <v>1275</v>
      </c>
      <c r="B1277" t="s">
        <v>310</v>
      </c>
      <c r="C1277" t="s">
        <v>78</v>
      </c>
      <c r="D1277" t="s">
        <v>79</v>
      </c>
      <c r="E1277" t="s">
        <v>214</v>
      </c>
      <c r="F1277">
        <v>16384</v>
      </c>
      <c r="G1277">
        <f>MAX(I1274,I1276)</f>
        <v>2059406</v>
      </c>
      <c r="H1277">
        <f>CEILING((dram_access_latency+F1277/dram_bandwidth)*frequency,1)</f>
        <v>341</v>
      </c>
      <c r="I1277">
        <f>G1277+H1277</f>
        <v>2059747</v>
      </c>
      <c r="J1277">
        <f>IF(AND(D1277&lt;&gt;"dram",D1277&lt;&gt;"control"),H1277,0)</f>
        <v>0</v>
      </c>
      <c r="K1277">
        <f>IF(D1277="dram",H1277,0)</f>
        <v>341</v>
      </c>
      <c r="L1277">
        <v>16384</v>
      </c>
      <c r="M1277">
        <v>0</v>
      </c>
    </row>
    <row r="1278" spans="1:13">
      <c r="A1278">
        <v>1276</v>
      </c>
      <c r="B1278" t="s">
        <v>54</v>
      </c>
      <c r="C1278" t="s">
        <v>85</v>
      </c>
      <c r="D1278" t="s">
        <v>17</v>
      </c>
      <c r="E1278" t="s">
        <v>214</v>
      </c>
      <c r="F1278">
        <v>0</v>
      </c>
      <c r="G1278">
        <f>MAX(I1273,I1156,I1276,I1158,I1277,I1275)</f>
        <v>2067871</v>
      </c>
      <c r="H1278">
        <f>'Operations'!I23</f>
        <v>16384</v>
      </c>
      <c r="I1278">
        <f>G1278+H1278</f>
        <v>2084255</v>
      </c>
      <c r="J1278">
        <f>IF(AND(D1278&lt;&gt;"dram",D1278&lt;&gt;"control"),H1278,0)</f>
        <v>16384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311</v>
      </c>
      <c r="C1279" t="s">
        <v>82</v>
      </c>
      <c r="D1279" t="s">
        <v>83</v>
      </c>
      <c r="E1279" t="s">
        <v>214</v>
      </c>
      <c r="F1279">
        <v>0</v>
      </c>
      <c r="G1279">
        <f>MAX(I1274,I1273)</f>
        <v>2051487</v>
      </c>
      <c r="H1279">
        <f>0</f>
        <v>16384</v>
      </c>
      <c r="I1279">
        <f>G1279+H1279</f>
        <v>2067871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312</v>
      </c>
      <c r="C1280" t="s">
        <v>87</v>
      </c>
      <c r="D1280" t="s">
        <v>79</v>
      </c>
      <c r="E1280" t="s">
        <v>214</v>
      </c>
      <c r="F1280">
        <v>512</v>
      </c>
      <c r="G1280">
        <f>MAX(I1279,I1277)</f>
        <v>2067871</v>
      </c>
      <c r="H1280">
        <f>CEILING((dram_access_latency+F1280/dram_bandwidth)*frequency,1)</f>
        <v>108</v>
      </c>
      <c r="I1280">
        <f>G1280+H1280</f>
        <v>2067979</v>
      </c>
      <c r="J1280">
        <f>IF(AND(D1280&lt;&gt;"dram",D1280&lt;&gt;"control"),H1280,0)</f>
        <v>0</v>
      </c>
      <c r="K1280">
        <f>IF(D1280="dram",H1280,0)</f>
        <v>108</v>
      </c>
      <c r="L1280">
        <v>0</v>
      </c>
      <c r="M1280">
        <v>512</v>
      </c>
    </row>
    <row r="1281" spans="1:13">
      <c r="A1281">
        <v>1279</v>
      </c>
      <c r="B1281" t="s">
        <v>308</v>
      </c>
      <c r="C1281" t="s">
        <v>78</v>
      </c>
      <c r="D1281" t="s">
        <v>79</v>
      </c>
      <c r="E1281" t="s">
        <v>215</v>
      </c>
      <c r="F1281">
        <v>524288</v>
      </c>
      <c r="G1281">
        <f>MAX(I1279,I1280)</f>
        <v>2067979</v>
      </c>
      <c r="H1281">
        <f>CEILING((dram_access_latency+F1281/dram_bandwidth)*frequency,1)</f>
        <v>7811</v>
      </c>
      <c r="I1281">
        <f>G1281+H1281</f>
        <v>2075790</v>
      </c>
      <c r="J1281">
        <f>IF(AND(D1281&lt;&gt;"dram",D1281&lt;&gt;"control"),H1281,0)</f>
        <v>0</v>
      </c>
      <c r="K1281">
        <f>IF(D1281="dram",H1281,0)</f>
        <v>7811</v>
      </c>
      <c r="L1281">
        <v>524288</v>
      </c>
      <c r="M1281">
        <v>0</v>
      </c>
    </row>
    <row r="1282" spans="1:13">
      <c r="A1282">
        <v>1280</v>
      </c>
      <c r="B1282" t="s">
        <v>310</v>
      </c>
      <c r="C1282" t="s">
        <v>78</v>
      </c>
      <c r="D1282" t="s">
        <v>79</v>
      </c>
      <c r="E1282" t="s">
        <v>215</v>
      </c>
      <c r="F1282">
        <v>16384</v>
      </c>
      <c r="G1282">
        <f>MAX(I1279,I1281)</f>
        <v>2075790</v>
      </c>
      <c r="H1282">
        <f>CEILING((dram_access_latency+F1282/dram_bandwidth)*frequency,1)</f>
        <v>341</v>
      </c>
      <c r="I1282">
        <f>G1282+H1282</f>
        <v>2076131</v>
      </c>
      <c r="J1282">
        <f>IF(AND(D1282&lt;&gt;"dram",D1282&lt;&gt;"control"),H1282,0)</f>
        <v>0</v>
      </c>
      <c r="K1282">
        <f>IF(D1282="dram",H1282,0)</f>
        <v>341</v>
      </c>
      <c r="L1282">
        <v>16384</v>
      </c>
      <c r="M1282">
        <v>0</v>
      </c>
    </row>
    <row r="1283" spans="1:13">
      <c r="A1283">
        <v>1281</v>
      </c>
      <c r="B1283" t="s">
        <v>54</v>
      </c>
      <c r="C1283" t="s">
        <v>85</v>
      </c>
      <c r="D1283" t="s">
        <v>17</v>
      </c>
      <c r="E1283" t="s">
        <v>215</v>
      </c>
      <c r="F1283">
        <v>0</v>
      </c>
      <c r="G1283">
        <f>MAX(I1278,I1156,I1281,I1158,I1282,I1280)</f>
        <v>2084255</v>
      </c>
      <c r="H1283">
        <f>'Operations'!I23</f>
        <v>16384</v>
      </c>
      <c r="I1283">
        <f>G1283+H1283</f>
        <v>2100639</v>
      </c>
      <c r="J1283">
        <f>IF(AND(D1283&lt;&gt;"dram",D1283&lt;&gt;"control"),H1283,0)</f>
        <v>16384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311</v>
      </c>
      <c r="C1284" t="s">
        <v>82</v>
      </c>
      <c r="D1284" t="s">
        <v>83</v>
      </c>
      <c r="E1284" t="s">
        <v>215</v>
      </c>
      <c r="F1284">
        <v>0</v>
      </c>
      <c r="G1284">
        <f>MAX(I1279,I1278)</f>
        <v>2067871</v>
      </c>
      <c r="H1284">
        <f>0</f>
        <v>16384</v>
      </c>
      <c r="I1284">
        <f>G1284+H1284</f>
        <v>2084255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312</v>
      </c>
      <c r="C1285" t="s">
        <v>87</v>
      </c>
      <c r="D1285" t="s">
        <v>79</v>
      </c>
      <c r="E1285" t="s">
        <v>215</v>
      </c>
      <c r="F1285">
        <v>512</v>
      </c>
      <c r="G1285">
        <f>MAX(I1284,I1282)</f>
        <v>2084255</v>
      </c>
      <c r="H1285">
        <f>CEILING((dram_access_latency+F1285/dram_bandwidth)*frequency,1)</f>
        <v>108</v>
      </c>
      <c r="I1285">
        <f>G1285+H1285</f>
        <v>2084363</v>
      </c>
      <c r="J1285">
        <f>IF(AND(D1285&lt;&gt;"dram",D1285&lt;&gt;"control"),H1285,0)</f>
        <v>0</v>
      </c>
      <c r="K1285">
        <f>IF(D1285="dram",H1285,0)</f>
        <v>108</v>
      </c>
      <c r="L1285">
        <v>0</v>
      </c>
      <c r="M1285">
        <v>512</v>
      </c>
    </row>
    <row r="1286" spans="1:13">
      <c r="A1286">
        <v>1284</v>
      </c>
      <c r="B1286" t="s">
        <v>308</v>
      </c>
      <c r="C1286" t="s">
        <v>78</v>
      </c>
      <c r="D1286" t="s">
        <v>79</v>
      </c>
      <c r="E1286" t="s">
        <v>216</v>
      </c>
      <c r="F1286">
        <v>524288</v>
      </c>
      <c r="G1286">
        <f>MAX(I1284,I1285)</f>
        <v>2084363</v>
      </c>
      <c r="H1286">
        <f>CEILING((dram_access_latency+F1286/dram_bandwidth)*frequency,1)</f>
        <v>7811</v>
      </c>
      <c r="I1286">
        <f>G1286+H1286</f>
        <v>2092174</v>
      </c>
      <c r="J1286">
        <f>IF(AND(D1286&lt;&gt;"dram",D1286&lt;&gt;"control"),H1286,0)</f>
        <v>0</v>
      </c>
      <c r="K1286">
        <f>IF(D1286="dram",H1286,0)</f>
        <v>7811</v>
      </c>
      <c r="L1286">
        <v>524288</v>
      </c>
      <c r="M1286">
        <v>0</v>
      </c>
    </row>
    <row r="1287" spans="1:13">
      <c r="A1287">
        <v>1285</v>
      </c>
      <c r="B1287" t="s">
        <v>310</v>
      </c>
      <c r="C1287" t="s">
        <v>78</v>
      </c>
      <c r="D1287" t="s">
        <v>79</v>
      </c>
      <c r="E1287" t="s">
        <v>216</v>
      </c>
      <c r="F1287">
        <v>16384</v>
      </c>
      <c r="G1287">
        <f>MAX(I1284,I1286)</f>
        <v>2092174</v>
      </c>
      <c r="H1287">
        <f>CEILING((dram_access_latency+F1287/dram_bandwidth)*frequency,1)</f>
        <v>341</v>
      </c>
      <c r="I1287">
        <f>G1287+H1287</f>
        <v>2092515</v>
      </c>
      <c r="J1287">
        <f>IF(AND(D1287&lt;&gt;"dram",D1287&lt;&gt;"control"),H1287,0)</f>
        <v>0</v>
      </c>
      <c r="K1287">
        <f>IF(D1287="dram",H1287,0)</f>
        <v>341</v>
      </c>
      <c r="L1287">
        <v>16384</v>
      </c>
      <c r="M1287">
        <v>0</v>
      </c>
    </row>
    <row r="1288" spans="1:13">
      <c r="A1288">
        <v>1286</v>
      </c>
      <c r="B1288" t="s">
        <v>54</v>
      </c>
      <c r="C1288" t="s">
        <v>85</v>
      </c>
      <c r="D1288" t="s">
        <v>17</v>
      </c>
      <c r="E1288" t="s">
        <v>216</v>
      </c>
      <c r="F1288">
        <v>0</v>
      </c>
      <c r="G1288">
        <f>MAX(I1283,I1156,I1286,I1158,I1287,I1285)</f>
        <v>2100639</v>
      </c>
      <c r="H1288">
        <f>'Operations'!I23</f>
        <v>16384</v>
      </c>
      <c r="I1288">
        <f>G1288+H1288</f>
        <v>2117023</v>
      </c>
      <c r="J1288">
        <f>IF(AND(D1288&lt;&gt;"dram",D1288&lt;&gt;"control"),H1288,0)</f>
        <v>16384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311</v>
      </c>
      <c r="C1289" t="s">
        <v>82</v>
      </c>
      <c r="D1289" t="s">
        <v>83</v>
      </c>
      <c r="E1289" t="s">
        <v>216</v>
      </c>
      <c r="F1289">
        <v>0</v>
      </c>
      <c r="G1289">
        <f>MAX(I1284,I1283)</f>
        <v>2084255</v>
      </c>
      <c r="H1289">
        <f>0</f>
        <v>16384</v>
      </c>
      <c r="I1289">
        <f>G1289+H1289</f>
        <v>2100639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312</v>
      </c>
      <c r="C1290" t="s">
        <v>87</v>
      </c>
      <c r="D1290" t="s">
        <v>79</v>
      </c>
      <c r="E1290" t="s">
        <v>216</v>
      </c>
      <c r="F1290">
        <v>512</v>
      </c>
      <c r="G1290">
        <f>MAX(I1289,I1287)</f>
        <v>2100639</v>
      </c>
      <c r="H1290">
        <f>CEILING((dram_access_latency+F1290/dram_bandwidth)*frequency,1)</f>
        <v>108</v>
      </c>
      <c r="I1290">
        <f>G1290+H1290</f>
        <v>2100747</v>
      </c>
      <c r="J1290">
        <f>IF(AND(D1290&lt;&gt;"dram",D1290&lt;&gt;"control"),H1290,0)</f>
        <v>0</v>
      </c>
      <c r="K1290">
        <f>IF(D1290="dram",H1290,0)</f>
        <v>108</v>
      </c>
      <c r="L1290">
        <v>0</v>
      </c>
      <c r="M1290">
        <v>512</v>
      </c>
    </row>
    <row r="1291" spans="1:13">
      <c r="A1291">
        <v>1289</v>
      </c>
      <c r="B1291" t="s">
        <v>308</v>
      </c>
      <c r="C1291" t="s">
        <v>78</v>
      </c>
      <c r="D1291" t="s">
        <v>79</v>
      </c>
      <c r="E1291" t="s">
        <v>217</v>
      </c>
      <c r="F1291">
        <v>524288</v>
      </c>
      <c r="G1291">
        <f>MAX(I1289,I1290)</f>
        <v>2100747</v>
      </c>
      <c r="H1291">
        <f>CEILING((dram_access_latency+F1291/dram_bandwidth)*frequency,1)</f>
        <v>7811</v>
      </c>
      <c r="I1291">
        <f>G1291+H1291</f>
        <v>2108558</v>
      </c>
      <c r="J1291">
        <f>IF(AND(D1291&lt;&gt;"dram",D1291&lt;&gt;"control"),H1291,0)</f>
        <v>0</v>
      </c>
      <c r="K1291">
        <f>IF(D1291="dram",H1291,0)</f>
        <v>7811</v>
      </c>
      <c r="L1291">
        <v>524288</v>
      </c>
      <c r="M1291">
        <v>0</v>
      </c>
    </row>
    <row r="1292" spans="1:13">
      <c r="A1292">
        <v>1290</v>
      </c>
      <c r="B1292" t="s">
        <v>310</v>
      </c>
      <c r="C1292" t="s">
        <v>78</v>
      </c>
      <c r="D1292" t="s">
        <v>79</v>
      </c>
      <c r="E1292" t="s">
        <v>217</v>
      </c>
      <c r="F1292">
        <v>16384</v>
      </c>
      <c r="G1292">
        <f>MAX(I1289,I1291)</f>
        <v>2108558</v>
      </c>
      <c r="H1292">
        <f>CEILING((dram_access_latency+F1292/dram_bandwidth)*frequency,1)</f>
        <v>341</v>
      </c>
      <c r="I1292">
        <f>G1292+H1292</f>
        <v>2108899</v>
      </c>
      <c r="J1292">
        <f>IF(AND(D1292&lt;&gt;"dram",D1292&lt;&gt;"control"),H1292,0)</f>
        <v>0</v>
      </c>
      <c r="K1292">
        <f>IF(D1292="dram",H1292,0)</f>
        <v>341</v>
      </c>
      <c r="L1292">
        <v>16384</v>
      </c>
      <c r="M1292">
        <v>0</v>
      </c>
    </row>
    <row r="1293" spans="1:13">
      <c r="A1293">
        <v>1291</v>
      </c>
      <c r="B1293" t="s">
        <v>54</v>
      </c>
      <c r="C1293" t="s">
        <v>85</v>
      </c>
      <c r="D1293" t="s">
        <v>17</v>
      </c>
      <c r="E1293" t="s">
        <v>217</v>
      </c>
      <c r="F1293">
        <v>0</v>
      </c>
      <c r="G1293">
        <f>MAX(I1288,I1156,I1291,I1158,I1292,I1290)</f>
        <v>2117023</v>
      </c>
      <c r="H1293">
        <f>'Operations'!I23</f>
        <v>16384</v>
      </c>
      <c r="I1293">
        <f>G1293+H1293</f>
        <v>2133407</v>
      </c>
      <c r="J1293">
        <f>IF(AND(D1293&lt;&gt;"dram",D1293&lt;&gt;"control"),H1293,0)</f>
        <v>16384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311</v>
      </c>
      <c r="C1294" t="s">
        <v>82</v>
      </c>
      <c r="D1294" t="s">
        <v>83</v>
      </c>
      <c r="E1294" t="s">
        <v>217</v>
      </c>
      <c r="F1294">
        <v>0</v>
      </c>
      <c r="G1294">
        <f>MAX(I1289,I1288)</f>
        <v>2100639</v>
      </c>
      <c r="H1294">
        <f>0</f>
        <v>16384</v>
      </c>
      <c r="I1294">
        <f>G1294+H1294</f>
        <v>2117023</v>
      </c>
      <c r="J1294">
        <f>IF(AND(D1294&lt;&gt;"dram",D1294&lt;&gt;"control"),H1294,0)</f>
        <v>0</v>
      </c>
      <c r="K1294">
        <f>IF(D1294="dram",H1294,0)</f>
        <v>0</v>
      </c>
      <c r="L1294">
        <v>0</v>
      </c>
      <c r="M1294">
        <v>0</v>
      </c>
    </row>
    <row r="1295" spans="1:13">
      <c r="A1295">
        <v>1293</v>
      </c>
      <c r="B1295" t="s">
        <v>312</v>
      </c>
      <c r="C1295" t="s">
        <v>87</v>
      </c>
      <c r="D1295" t="s">
        <v>79</v>
      </c>
      <c r="E1295" t="s">
        <v>217</v>
      </c>
      <c r="F1295">
        <v>512</v>
      </c>
      <c r="G1295">
        <f>MAX(I1294,I1292)</f>
        <v>2117023</v>
      </c>
      <c r="H1295">
        <f>CEILING((dram_access_latency+F1295/dram_bandwidth)*frequency,1)</f>
        <v>108</v>
      </c>
      <c r="I1295">
        <f>G1295+H1295</f>
        <v>2117131</v>
      </c>
      <c r="J1295">
        <f>IF(AND(D1295&lt;&gt;"dram",D1295&lt;&gt;"control"),H1295,0)</f>
        <v>0</v>
      </c>
      <c r="K1295">
        <f>IF(D1295="dram",H1295,0)</f>
        <v>108</v>
      </c>
      <c r="L1295">
        <v>0</v>
      </c>
      <c r="M1295">
        <v>512</v>
      </c>
    </row>
    <row r="1296" spans="1:13">
      <c r="A1296">
        <v>1294</v>
      </c>
      <c r="B1296" t="s">
        <v>308</v>
      </c>
      <c r="C1296" t="s">
        <v>78</v>
      </c>
      <c r="D1296" t="s">
        <v>79</v>
      </c>
      <c r="E1296" t="s">
        <v>218</v>
      </c>
      <c r="F1296">
        <v>524288</v>
      </c>
      <c r="G1296">
        <f>MAX(I1294,I1295)</f>
        <v>2117131</v>
      </c>
      <c r="H1296">
        <f>CEILING((dram_access_latency+F1296/dram_bandwidth)*frequency,1)</f>
        <v>7811</v>
      </c>
      <c r="I1296">
        <f>G1296+H1296</f>
        <v>2124942</v>
      </c>
      <c r="J1296">
        <f>IF(AND(D1296&lt;&gt;"dram",D1296&lt;&gt;"control"),H1296,0)</f>
        <v>0</v>
      </c>
      <c r="K1296">
        <f>IF(D1296="dram",H1296,0)</f>
        <v>7811</v>
      </c>
      <c r="L1296">
        <v>524288</v>
      </c>
      <c r="M1296">
        <v>0</v>
      </c>
    </row>
    <row r="1297" spans="1:13">
      <c r="A1297">
        <v>1295</v>
      </c>
      <c r="B1297" t="s">
        <v>310</v>
      </c>
      <c r="C1297" t="s">
        <v>78</v>
      </c>
      <c r="D1297" t="s">
        <v>79</v>
      </c>
      <c r="E1297" t="s">
        <v>218</v>
      </c>
      <c r="F1297">
        <v>16384</v>
      </c>
      <c r="G1297">
        <f>MAX(I1294,I1296)</f>
        <v>2124942</v>
      </c>
      <c r="H1297">
        <f>CEILING((dram_access_latency+F1297/dram_bandwidth)*frequency,1)</f>
        <v>341</v>
      </c>
      <c r="I1297">
        <f>G1297+H1297</f>
        <v>2125283</v>
      </c>
      <c r="J1297">
        <f>IF(AND(D1297&lt;&gt;"dram",D1297&lt;&gt;"control"),H1297,0)</f>
        <v>0</v>
      </c>
      <c r="K1297">
        <f>IF(D1297="dram",H1297,0)</f>
        <v>341</v>
      </c>
      <c r="L1297">
        <v>16384</v>
      </c>
      <c r="M1297">
        <v>0</v>
      </c>
    </row>
    <row r="1298" spans="1:13">
      <c r="A1298">
        <v>1296</v>
      </c>
      <c r="B1298" t="s">
        <v>54</v>
      </c>
      <c r="C1298" t="s">
        <v>85</v>
      </c>
      <c r="D1298" t="s">
        <v>17</v>
      </c>
      <c r="E1298" t="s">
        <v>218</v>
      </c>
      <c r="F1298">
        <v>0</v>
      </c>
      <c r="G1298">
        <f>MAX(I1293,I1156,I1296,I1158,I1297,I1295)</f>
        <v>2133407</v>
      </c>
      <c r="H1298">
        <f>'Operations'!I23</f>
        <v>16384</v>
      </c>
      <c r="I1298">
        <f>G1298+H1298</f>
        <v>2149791</v>
      </c>
      <c r="J1298">
        <f>IF(AND(D1298&lt;&gt;"dram",D1298&lt;&gt;"control"),H1298,0)</f>
        <v>16384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311</v>
      </c>
      <c r="C1299" t="s">
        <v>82</v>
      </c>
      <c r="D1299" t="s">
        <v>83</v>
      </c>
      <c r="E1299" t="s">
        <v>218</v>
      </c>
      <c r="F1299">
        <v>0</v>
      </c>
      <c r="G1299">
        <f>MAX(I1294,I1293)</f>
        <v>2117023</v>
      </c>
      <c r="H1299">
        <f>0</f>
        <v>16384</v>
      </c>
      <c r="I1299">
        <f>G1299+H1299</f>
        <v>2133407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312</v>
      </c>
      <c r="C1300" t="s">
        <v>87</v>
      </c>
      <c r="D1300" t="s">
        <v>79</v>
      </c>
      <c r="E1300" t="s">
        <v>218</v>
      </c>
      <c r="F1300">
        <v>512</v>
      </c>
      <c r="G1300">
        <f>MAX(I1299,I1297)</f>
        <v>2133407</v>
      </c>
      <c r="H1300">
        <f>CEILING((dram_access_latency+F1300/dram_bandwidth)*frequency,1)</f>
        <v>108</v>
      </c>
      <c r="I1300">
        <f>G1300+H1300</f>
        <v>2133515</v>
      </c>
      <c r="J1300">
        <f>IF(AND(D1300&lt;&gt;"dram",D1300&lt;&gt;"control"),H1300,0)</f>
        <v>0</v>
      </c>
      <c r="K1300">
        <f>IF(D1300="dram",H1300,0)</f>
        <v>108</v>
      </c>
      <c r="L1300">
        <v>0</v>
      </c>
      <c r="M1300">
        <v>512</v>
      </c>
    </row>
    <row r="1301" spans="1:13">
      <c r="A1301">
        <v>1299</v>
      </c>
      <c r="B1301" t="s">
        <v>308</v>
      </c>
      <c r="C1301" t="s">
        <v>78</v>
      </c>
      <c r="D1301" t="s">
        <v>79</v>
      </c>
      <c r="E1301" t="s">
        <v>219</v>
      </c>
      <c r="F1301">
        <v>524288</v>
      </c>
      <c r="G1301">
        <f>MAX(I1299,I1300)</f>
        <v>2133515</v>
      </c>
      <c r="H1301">
        <f>CEILING((dram_access_latency+F1301/dram_bandwidth)*frequency,1)</f>
        <v>7811</v>
      </c>
      <c r="I1301">
        <f>G1301+H1301</f>
        <v>2141326</v>
      </c>
      <c r="J1301">
        <f>IF(AND(D1301&lt;&gt;"dram",D1301&lt;&gt;"control"),H1301,0)</f>
        <v>0</v>
      </c>
      <c r="K1301">
        <f>IF(D1301="dram",H1301,0)</f>
        <v>7811</v>
      </c>
      <c r="L1301">
        <v>524288</v>
      </c>
      <c r="M1301">
        <v>0</v>
      </c>
    </row>
    <row r="1302" spans="1:13">
      <c r="A1302">
        <v>1300</v>
      </c>
      <c r="B1302" t="s">
        <v>310</v>
      </c>
      <c r="C1302" t="s">
        <v>78</v>
      </c>
      <c r="D1302" t="s">
        <v>79</v>
      </c>
      <c r="E1302" t="s">
        <v>219</v>
      </c>
      <c r="F1302">
        <v>16384</v>
      </c>
      <c r="G1302">
        <f>MAX(I1299,I1301)</f>
        <v>2141326</v>
      </c>
      <c r="H1302">
        <f>CEILING((dram_access_latency+F1302/dram_bandwidth)*frequency,1)</f>
        <v>341</v>
      </c>
      <c r="I1302">
        <f>G1302+H1302</f>
        <v>2141667</v>
      </c>
      <c r="J1302">
        <f>IF(AND(D1302&lt;&gt;"dram",D1302&lt;&gt;"control"),H1302,0)</f>
        <v>0</v>
      </c>
      <c r="K1302">
        <f>IF(D1302="dram",H1302,0)</f>
        <v>341</v>
      </c>
      <c r="L1302">
        <v>16384</v>
      </c>
      <c r="M1302">
        <v>0</v>
      </c>
    </row>
    <row r="1303" spans="1:13">
      <c r="A1303">
        <v>1301</v>
      </c>
      <c r="B1303" t="s">
        <v>54</v>
      </c>
      <c r="C1303" t="s">
        <v>85</v>
      </c>
      <c r="D1303" t="s">
        <v>17</v>
      </c>
      <c r="E1303" t="s">
        <v>219</v>
      </c>
      <c r="F1303">
        <v>0</v>
      </c>
      <c r="G1303">
        <f>MAX(I1298,I1156,I1301,I1158,I1302,I1300)</f>
        <v>2149791</v>
      </c>
      <c r="H1303">
        <f>'Operations'!I23</f>
        <v>16384</v>
      </c>
      <c r="I1303">
        <f>G1303+H1303</f>
        <v>2166175</v>
      </c>
      <c r="J1303">
        <f>IF(AND(D1303&lt;&gt;"dram",D1303&lt;&gt;"control"),H1303,0)</f>
        <v>16384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311</v>
      </c>
      <c r="C1304" t="s">
        <v>82</v>
      </c>
      <c r="D1304" t="s">
        <v>83</v>
      </c>
      <c r="E1304" t="s">
        <v>219</v>
      </c>
      <c r="F1304">
        <v>0</v>
      </c>
      <c r="G1304">
        <f>MAX(I1299,I1298)</f>
        <v>2133407</v>
      </c>
      <c r="H1304">
        <f>0</f>
        <v>16384</v>
      </c>
      <c r="I1304">
        <f>G1304+H1304</f>
        <v>2149791</v>
      </c>
      <c r="J1304">
        <f>IF(AND(D1304&lt;&gt;"dram",D1304&lt;&gt;"control"),H1304,0)</f>
        <v>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312</v>
      </c>
      <c r="C1305" t="s">
        <v>87</v>
      </c>
      <c r="D1305" t="s">
        <v>79</v>
      </c>
      <c r="E1305" t="s">
        <v>219</v>
      </c>
      <c r="F1305">
        <v>512</v>
      </c>
      <c r="G1305">
        <f>MAX(I1304,I1302)</f>
        <v>2149791</v>
      </c>
      <c r="H1305">
        <f>CEILING((dram_access_latency+F1305/dram_bandwidth)*frequency,1)</f>
        <v>108</v>
      </c>
      <c r="I1305">
        <f>G1305+H1305</f>
        <v>2149899</v>
      </c>
      <c r="J1305">
        <f>IF(AND(D1305&lt;&gt;"dram",D1305&lt;&gt;"control"),H1305,0)</f>
        <v>0</v>
      </c>
      <c r="K1305">
        <f>IF(D1305="dram",H1305,0)</f>
        <v>108</v>
      </c>
      <c r="L1305">
        <v>0</v>
      </c>
      <c r="M1305">
        <v>512</v>
      </c>
    </row>
    <row r="1306" spans="1:13">
      <c r="A1306">
        <v>1304</v>
      </c>
      <c r="B1306" t="s">
        <v>308</v>
      </c>
      <c r="C1306" t="s">
        <v>78</v>
      </c>
      <c r="D1306" t="s">
        <v>79</v>
      </c>
      <c r="E1306" t="s">
        <v>220</v>
      </c>
      <c r="F1306">
        <v>524288</v>
      </c>
      <c r="G1306">
        <f>MAX(I1304,I1305)</f>
        <v>2149899</v>
      </c>
      <c r="H1306">
        <f>CEILING((dram_access_latency+F1306/dram_bandwidth)*frequency,1)</f>
        <v>7811</v>
      </c>
      <c r="I1306">
        <f>G1306+H1306</f>
        <v>2157710</v>
      </c>
      <c r="J1306">
        <f>IF(AND(D1306&lt;&gt;"dram",D1306&lt;&gt;"control"),H1306,0)</f>
        <v>0</v>
      </c>
      <c r="K1306">
        <f>IF(D1306="dram",H1306,0)</f>
        <v>7811</v>
      </c>
      <c r="L1306">
        <v>524288</v>
      </c>
      <c r="M1306">
        <v>0</v>
      </c>
    </row>
    <row r="1307" spans="1:13">
      <c r="A1307">
        <v>1305</v>
      </c>
      <c r="B1307" t="s">
        <v>310</v>
      </c>
      <c r="C1307" t="s">
        <v>78</v>
      </c>
      <c r="D1307" t="s">
        <v>79</v>
      </c>
      <c r="E1307" t="s">
        <v>220</v>
      </c>
      <c r="F1307">
        <v>16384</v>
      </c>
      <c r="G1307">
        <f>MAX(I1304,I1306)</f>
        <v>2157710</v>
      </c>
      <c r="H1307">
        <f>CEILING((dram_access_latency+F1307/dram_bandwidth)*frequency,1)</f>
        <v>341</v>
      </c>
      <c r="I1307">
        <f>G1307+H1307</f>
        <v>2158051</v>
      </c>
      <c r="J1307">
        <f>IF(AND(D1307&lt;&gt;"dram",D1307&lt;&gt;"control"),H1307,0)</f>
        <v>0</v>
      </c>
      <c r="K1307">
        <f>IF(D1307="dram",H1307,0)</f>
        <v>341</v>
      </c>
      <c r="L1307">
        <v>16384</v>
      </c>
      <c r="M1307">
        <v>0</v>
      </c>
    </row>
    <row r="1308" spans="1:13">
      <c r="A1308">
        <v>1306</v>
      </c>
      <c r="B1308" t="s">
        <v>54</v>
      </c>
      <c r="C1308" t="s">
        <v>85</v>
      </c>
      <c r="D1308" t="s">
        <v>17</v>
      </c>
      <c r="E1308" t="s">
        <v>220</v>
      </c>
      <c r="F1308">
        <v>0</v>
      </c>
      <c r="G1308">
        <f>MAX(I1303,I1156,I1306,I1158,I1307,I1305)</f>
        <v>2166175</v>
      </c>
      <c r="H1308">
        <f>'Operations'!I23</f>
        <v>16384</v>
      </c>
      <c r="I1308">
        <f>G1308+H1308</f>
        <v>2182559</v>
      </c>
      <c r="J1308">
        <f>IF(AND(D1308&lt;&gt;"dram",D1308&lt;&gt;"control"),H1308,0)</f>
        <v>16384</v>
      </c>
      <c r="K1308">
        <f>IF(D1308="dram",H1308,0)</f>
        <v>0</v>
      </c>
      <c r="L1308">
        <v>0</v>
      </c>
      <c r="M1308">
        <v>0</v>
      </c>
    </row>
    <row r="1309" spans="1:13">
      <c r="A1309">
        <v>1307</v>
      </c>
      <c r="B1309" t="s">
        <v>311</v>
      </c>
      <c r="C1309" t="s">
        <v>82</v>
      </c>
      <c r="D1309" t="s">
        <v>83</v>
      </c>
      <c r="E1309" t="s">
        <v>220</v>
      </c>
      <c r="F1309">
        <v>0</v>
      </c>
      <c r="G1309">
        <f>MAX(I1304,I1303)</f>
        <v>2149791</v>
      </c>
      <c r="H1309">
        <f>0</f>
        <v>16384</v>
      </c>
      <c r="I1309">
        <f>G1309+H1309</f>
        <v>2166175</v>
      </c>
      <c r="J1309">
        <f>IF(AND(D1309&lt;&gt;"dram",D1309&lt;&gt;"control"),H1309,0)</f>
        <v>0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312</v>
      </c>
      <c r="C1310" t="s">
        <v>87</v>
      </c>
      <c r="D1310" t="s">
        <v>79</v>
      </c>
      <c r="E1310" t="s">
        <v>220</v>
      </c>
      <c r="F1310">
        <v>512</v>
      </c>
      <c r="G1310">
        <f>MAX(I1309,I1307)</f>
        <v>2166175</v>
      </c>
      <c r="H1310">
        <f>CEILING((dram_access_latency+F1310/dram_bandwidth)*frequency,1)</f>
        <v>108</v>
      </c>
      <c r="I1310">
        <f>G1310+H1310</f>
        <v>2166283</v>
      </c>
      <c r="J1310">
        <f>IF(AND(D1310&lt;&gt;"dram",D1310&lt;&gt;"control"),H1310,0)</f>
        <v>0</v>
      </c>
      <c r="K1310">
        <f>IF(D1310="dram",H1310,0)</f>
        <v>108</v>
      </c>
      <c r="L1310">
        <v>0</v>
      </c>
      <c r="M1310">
        <v>512</v>
      </c>
    </row>
    <row r="1311" spans="1:13">
      <c r="A1311">
        <v>1309</v>
      </c>
      <c r="B1311" t="s">
        <v>308</v>
      </c>
      <c r="C1311" t="s">
        <v>78</v>
      </c>
      <c r="D1311" t="s">
        <v>79</v>
      </c>
      <c r="E1311" t="s">
        <v>221</v>
      </c>
      <c r="F1311">
        <v>524288</v>
      </c>
      <c r="G1311">
        <f>MAX(I1309,I1310)</f>
        <v>2166283</v>
      </c>
      <c r="H1311">
        <f>CEILING((dram_access_latency+F1311/dram_bandwidth)*frequency,1)</f>
        <v>7811</v>
      </c>
      <c r="I1311">
        <f>G1311+H1311</f>
        <v>2174094</v>
      </c>
      <c r="J1311">
        <f>IF(AND(D1311&lt;&gt;"dram",D1311&lt;&gt;"control"),H1311,0)</f>
        <v>0</v>
      </c>
      <c r="K1311">
        <f>IF(D1311="dram",H1311,0)</f>
        <v>7811</v>
      </c>
      <c r="L1311">
        <v>524288</v>
      </c>
      <c r="M1311">
        <v>0</v>
      </c>
    </row>
    <row r="1312" spans="1:13">
      <c r="A1312">
        <v>1310</v>
      </c>
      <c r="B1312" t="s">
        <v>310</v>
      </c>
      <c r="C1312" t="s">
        <v>78</v>
      </c>
      <c r="D1312" t="s">
        <v>79</v>
      </c>
      <c r="E1312" t="s">
        <v>221</v>
      </c>
      <c r="F1312">
        <v>16384</v>
      </c>
      <c r="G1312">
        <f>MAX(I1309,I1311)</f>
        <v>2174094</v>
      </c>
      <c r="H1312">
        <f>CEILING((dram_access_latency+F1312/dram_bandwidth)*frequency,1)</f>
        <v>341</v>
      </c>
      <c r="I1312">
        <f>G1312+H1312</f>
        <v>2174435</v>
      </c>
      <c r="J1312">
        <f>IF(AND(D1312&lt;&gt;"dram",D1312&lt;&gt;"control"),H1312,0)</f>
        <v>0</v>
      </c>
      <c r="K1312">
        <f>IF(D1312="dram",H1312,0)</f>
        <v>341</v>
      </c>
      <c r="L1312">
        <v>16384</v>
      </c>
      <c r="M1312">
        <v>0</v>
      </c>
    </row>
    <row r="1313" spans="1:13">
      <c r="A1313">
        <v>1311</v>
      </c>
      <c r="B1313" t="s">
        <v>54</v>
      </c>
      <c r="C1313" t="s">
        <v>85</v>
      </c>
      <c r="D1313" t="s">
        <v>17</v>
      </c>
      <c r="E1313" t="s">
        <v>221</v>
      </c>
      <c r="F1313">
        <v>0</v>
      </c>
      <c r="G1313">
        <f>MAX(I1308,I1156,I1311,I1158,I1312,I1310)</f>
        <v>2182559</v>
      </c>
      <c r="H1313">
        <f>'Operations'!I23</f>
        <v>16384</v>
      </c>
      <c r="I1313">
        <f>G1313+H1313</f>
        <v>2198943</v>
      </c>
      <c r="J1313">
        <f>IF(AND(D1313&lt;&gt;"dram",D1313&lt;&gt;"control"),H1313,0)</f>
        <v>16384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311</v>
      </c>
      <c r="C1314" t="s">
        <v>82</v>
      </c>
      <c r="D1314" t="s">
        <v>83</v>
      </c>
      <c r="E1314" t="s">
        <v>221</v>
      </c>
      <c r="F1314">
        <v>0</v>
      </c>
      <c r="G1314">
        <f>MAX(I1309,I1308)</f>
        <v>2166175</v>
      </c>
      <c r="H1314">
        <f>0</f>
        <v>16384</v>
      </c>
      <c r="I1314">
        <f>G1314+H1314</f>
        <v>2182559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312</v>
      </c>
      <c r="C1315" t="s">
        <v>87</v>
      </c>
      <c r="D1315" t="s">
        <v>79</v>
      </c>
      <c r="E1315" t="s">
        <v>221</v>
      </c>
      <c r="F1315">
        <v>512</v>
      </c>
      <c r="G1315">
        <f>MAX(I1314,I1312)</f>
        <v>2182559</v>
      </c>
      <c r="H1315">
        <f>CEILING((dram_access_latency+F1315/dram_bandwidth)*frequency,1)</f>
        <v>108</v>
      </c>
      <c r="I1315">
        <f>G1315+H1315</f>
        <v>2182667</v>
      </c>
      <c r="J1315">
        <f>IF(AND(D1315&lt;&gt;"dram",D1315&lt;&gt;"control"),H1315,0)</f>
        <v>0</v>
      </c>
      <c r="K1315">
        <f>IF(D1315="dram",H1315,0)</f>
        <v>108</v>
      </c>
      <c r="L1315">
        <v>0</v>
      </c>
      <c r="M1315">
        <v>512</v>
      </c>
    </row>
    <row r="1316" spans="1:13">
      <c r="A1316">
        <v>1314</v>
      </c>
      <c r="B1316" t="s">
        <v>308</v>
      </c>
      <c r="C1316" t="s">
        <v>78</v>
      </c>
      <c r="D1316" t="s">
        <v>79</v>
      </c>
      <c r="E1316" t="s">
        <v>313</v>
      </c>
      <c r="F1316">
        <v>524288</v>
      </c>
      <c r="G1316">
        <f>MAX(I1314,I1315)</f>
        <v>2182667</v>
      </c>
      <c r="H1316">
        <f>CEILING((dram_access_latency+F1316/dram_bandwidth)*frequency,1)</f>
        <v>7811</v>
      </c>
      <c r="I1316">
        <f>G1316+H1316</f>
        <v>2190478</v>
      </c>
      <c r="J1316">
        <f>IF(AND(D1316&lt;&gt;"dram",D1316&lt;&gt;"control"),H1316,0)</f>
        <v>0</v>
      </c>
      <c r="K1316">
        <f>IF(D1316="dram",H1316,0)</f>
        <v>7811</v>
      </c>
      <c r="L1316">
        <v>524288</v>
      </c>
      <c r="M1316">
        <v>0</v>
      </c>
    </row>
    <row r="1317" spans="1:13">
      <c r="A1317">
        <v>1315</v>
      </c>
      <c r="B1317" t="s">
        <v>310</v>
      </c>
      <c r="C1317" t="s">
        <v>78</v>
      </c>
      <c r="D1317" t="s">
        <v>79</v>
      </c>
      <c r="E1317" t="s">
        <v>313</v>
      </c>
      <c r="F1317">
        <v>16384</v>
      </c>
      <c r="G1317">
        <f>MAX(I1314,I1316)</f>
        <v>2190478</v>
      </c>
      <c r="H1317">
        <f>CEILING((dram_access_latency+F1317/dram_bandwidth)*frequency,1)</f>
        <v>341</v>
      </c>
      <c r="I1317">
        <f>G1317+H1317</f>
        <v>2190819</v>
      </c>
      <c r="J1317">
        <f>IF(AND(D1317&lt;&gt;"dram",D1317&lt;&gt;"control"),H1317,0)</f>
        <v>0</v>
      </c>
      <c r="K1317">
        <f>IF(D1317="dram",H1317,0)</f>
        <v>341</v>
      </c>
      <c r="L1317">
        <v>16384</v>
      </c>
      <c r="M1317">
        <v>0</v>
      </c>
    </row>
    <row r="1318" spans="1:13">
      <c r="A1318">
        <v>1316</v>
      </c>
      <c r="B1318" t="s">
        <v>54</v>
      </c>
      <c r="C1318" t="s">
        <v>85</v>
      </c>
      <c r="D1318" t="s">
        <v>17</v>
      </c>
      <c r="E1318" t="s">
        <v>313</v>
      </c>
      <c r="F1318">
        <v>0</v>
      </c>
      <c r="G1318">
        <f>MAX(I1313,I1156,I1316,I1158,I1317,I1315)</f>
        <v>2198943</v>
      </c>
      <c r="H1318">
        <f>'Operations'!I23</f>
        <v>16384</v>
      </c>
      <c r="I1318">
        <f>G1318+H1318</f>
        <v>2215327</v>
      </c>
      <c r="J1318">
        <f>IF(AND(D1318&lt;&gt;"dram",D1318&lt;&gt;"control"),H1318,0)</f>
        <v>16384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311</v>
      </c>
      <c r="C1319" t="s">
        <v>82</v>
      </c>
      <c r="D1319" t="s">
        <v>83</v>
      </c>
      <c r="E1319" t="s">
        <v>313</v>
      </c>
      <c r="F1319">
        <v>0</v>
      </c>
      <c r="G1319">
        <f>MAX(I1314,I1313)</f>
        <v>2182559</v>
      </c>
      <c r="H1319">
        <f>0</f>
        <v>16384</v>
      </c>
      <c r="I1319">
        <f>G1319+H1319</f>
        <v>2198943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312</v>
      </c>
      <c r="C1320" t="s">
        <v>87</v>
      </c>
      <c r="D1320" t="s">
        <v>79</v>
      </c>
      <c r="E1320" t="s">
        <v>313</v>
      </c>
      <c r="F1320">
        <v>512</v>
      </c>
      <c r="G1320">
        <f>MAX(I1319,I1317)</f>
        <v>2198943</v>
      </c>
      <c r="H1320">
        <f>CEILING((dram_access_latency+F1320/dram_bandwidth)*frequency,1)</f>
        <v>108</v>
      </c>
      <c r="I1320">
        <f>G1320+H1320</f>
        <v>2199051</v>
      </c>
      <c r="J1320">
        <f>IF(AND(D1320&lt;&gt;"dram",D1320&lt;&gt;"control"),H1320,0)</f>
        <v>0</v>
      </c>
      <c r="K1320">
        <f>IF(D1320="dram",H1320,0)</f>
        <v>108</v>
      </c>
      <c r="L1320">
        <v>0</v>
      </c>
      <c r="M1320">
        <v>512</v>
      </c>
    </row>
    <row r="1321" spans="1:13">
      <c r="A1321">
        <v>1319</v>
      </c>
      <c r="B1321" t="s">
        <v>308</v>
      </c>
      <c r="C1321" t="s">
        <v>78</v>
      </c>
      <c r="D1321" t="s">
        <v>79</v>
      </c>
      <c r="E1321" t="s">
        <v>314</v>
      </c>
      <c r="F1321">
        <v>524288</v>
      </c>
      <c r="G1321">
        <f>MAX(I1319,I1320)</f>
        <v>2199051</v>
      </c>
      <c r="H1321">
        <f>CEILING((dram_access_latency+F1321/dram_bandwidth)*frequency,1)</f>
        <v>7811</v>
      </c>
      <c r="I1321">
        <f>G1321+H1321</f>
        <v>2206862</v>
      </c>
      <c r="J1321">
        <f>IF(AND(D1321&lt;&gt;"dram",D1321&lt;&gt;"control"),H1321,0)</f>
        <v>0</v>
      </c>
      <c r="K1321">
        <f>IF(D1321="dram",H1321,0)</f>
        <v>7811</v>
      </c>
      <c r="L1321">
        <v>524288</v>
      </c>
      <c r="M1321">
        <v>0</v>
      </c>
    </row>
    <row r="1322" spans="1:13">
      <c r="A1322">
        <v>1320</v>
      </c>
      <c r="B1322" t="s">
        <v>310</v>
      </c>
      <c r="C1322" t="s">
        <v>78</v>
      </c>
      <c r="D1322" t="s">
        <v>79</v>
      </c>
      <c r="E1322" t="s">
        <v>314</v>
      </c>
      <c r="F1322">
        <v>16384</v>
      </c>
      <c r="G1322">
        <f>MAX(I1319,I1321)</f>
        <v>2206862</v>
      </c>
      <c r="H1322">
        <f>CEILING((dram_access_latency+F1322/dram_bandwidth)*frequency,1)</f>
        <v>341</v>
      </c>
      <c r="I1322">
        <f>G1322+H1322</f>
        <v>2207203</v>
      </c>
      <c r="J1322">
        <f>IF(AND(D1322&lt;&gt;"dram",D1322&lt;&gt;"control"),H1322,0)</f>
        <v>0</v>
      </c>
      <c r="K1322">
        <f>IF(D1322="dram",H1322,0)</f>
        <v>341</v>
      </c>
      <c r="L1322">
        <v>16384</v>
      </c>
      <c r="M1322">
        <v>0</v>
      </c>
    </row>
    <row r="1323" spans="1:13">
      <c r="A1323">
        <v>1321</v>
      </c>
      <c r="B1323" t="s">
        <v>54</v>
      </c>
      <c r="C1323" t="s">
        <v>85</v>
      </c>
      <c r="D1323" t="s">
        <v>17</v>
      </c>
      <c r="E1323" t="s">
        <v>314</v>
      </c>
      <c r="F1323">
        <v>0</v>
      </c>
      <c r="G1323">
        <f>MAX(I1318,I1156,I1321,I1158,I1322,I1320)</f>
        <v>2215327</v>
      </c>
      <c r="H1323">
        <f>'Operations'!I23</f>
        <v>16384</v>
      </c>
      <c r="I1323">
        <f>G1323+H1323</f>
        <v>2231711</v>
      </c>
      <c r="J1323">
        <f>IF(AND(D1323&lt;&gt;"dram",D1323&lt;&gt;"control"),H1323,0)</f>
        <v>16384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311</v>
      </c>
      <c r="C1324" t="s">
        <v>82</v>
      </c>
      <c r="D1324" t="s">
        <v>83</v>
      </c>
      <c r="E1324" t="s">
        <v>314</v>
      </c>
      <c r="F1324">
        <v>0</v>
      </c>
      <c r="G1324">
        <f>MAX(I1319,I1318)</f>
        <v>2198943</v>
      </c>
      <c r="H1324">
        <f>0</f>
        <v>16384</v>
      </c>
      <c r="I1324">
        <f>G1324+H1324</f>
        <v>2215327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312</v>
      </c>
      <c r="C1325" t="s">
        <v>87</v>
      </c>
      <c r="D1325" t="s">
        <v>79</v>
      </c>
      <c r="E1325" t="s">
        <v>314</v>
      </c>
      <c r="F1325">
        <v>512</v>
      </c>
      <c r="G1325">
        <f>MAX(I1324,I1322)</f>
        <v>2215327</v>
      </c>
      <c r="H1325">
        <f>CEILING((dram_access_latency+F1325/dram_bandwidth)*frequency,1)</f>
        <v>108</v>
      </c>
      <c r="I1325">
        <f>G1325+H1325</f>
        <v>2215435</v>
      </c>
      <c r="J1325">
        <f>IF(AND(D1325&lt;&gt;"dram",D1325&lt;&gt;"control"),H1325,0)</f>
        <v>0</v>
      </c>
      <c r="K1325">
        <f>IF(D1325="dram",H1325,0)</f>
        <v>108</v>
      </c>
      <c r="L1325">
        <v>0</v>
      </c>
      <c r="M1325">
        <v>512</v>
      </c>
    </row>
    <row r="1326" spans="1:13">
      <c r="A1326">
        <v>1324</v>
      </c>
      <c r="B1326" t="s">
        <v>308</v>
      </c>
      <c r="C1326" t="s">
        <v>78</v>
      </c>
      <c r="D1326" t="s">
        <v>79</v>
      </c>
      <c r="E1326" t="s">
        <v>315</v>
      </c>
      <c r="F1326">
        <v>524288</v>
      </c>
      <c r="G1326">
        <f>MAX(I1324,I1325)</f>
        <v>2215435</v>
      </c>
      <c r="H1326">
        <f>CEILING((dram_access_latency+F1326/dram_bandwidth)*frequency,1)</f>
        <v>7811</v>
      </c>
      <c r="I1326">
        <f>G1326+H1326</f>
        <v>2223246</v>
      </c>
      <c r="J1326">
        <f>IF(AND(D1326&lt;&gt;"dram",D1326&lt;&gt;"control"),H1326,0)</f>
        <v>0</v>
      </c>
      <c r="K1326">
        <f>IF(D1326="dram",H1326,0)</f>
        <v>7811</v>
      </c>
      <c r="L1326">
        <v>524288</v>
      </c>
      <c r="M1326">
        <v>0</v>
      </c>
    </row>
    <row r="1327" spans="1:13">
      <c r="A1327">
        <v>1325</v>
      </c>
      <c r="B1327" t="s">
        <v>310</v>
      </c>
      <c r="C1327" t="s">
        <v>78</v>
      </c>
      <c r="D1327" t="s">
        <v>79</v>
      </c>
      <c r="E1327" t="s">
        <v>315</v>
      </c>
      <c r="F1327">
        <v>16384</v>
      </c>
      <c r="G1327">
        <f>MAX(I1324,I1326)</f>
        <v>2223246</v>
      </c>
      <c r="H1327">
        <f>CEILING((dram_access_latency+F1327/dram_bandwidth)*frequency,1)</f>
        <v>341</v>
      </c>
      <c r="I1327">
        <f>G1327+H1327</f>
        <v>2223587</v>
      </c>
      <c r="J1327">
        <f>IF(AND(D1327&lt;&gt;"dram",D1327&lt;&gt;"control"),H1327,0)</f>
        <v>0</v>
      </c>
      <c r="K1327">
        <f>IF(D1327="dram",H1327,0)</f>
        <v>341</v>
      </c>
      <c r="L1327">
        <v>16384</v>
      </c>
      <c r="M1327">
        <v>0</v>
      </c>
    </row>
    <row r="1328" spans="1:13">
      <c r="A1328">
        <v>1326</v>
      </c>
      <c r="B1328" t="s">
        <v>54</v>
      </c>
      <c r="C1328" t="s">
        <v>85</v>
      </c>
      <c r="D1328" t="s">
        <v>17</v>
      </c>
      <c r="E1328" t="s">
        <v>315</v>
      </c>
      <c r="F1328">
        <v>0</v>
      </c>
      <c r="G1328">
        <f>MAX(I1323,I1156,I1326,I1158,I1327,I1325)</f>
        <v>2231711</v>
      </c>
      <c r="H1328">
        <f>'Operations'!I23</f>
        <v>16384</v>
      </c>
      <c r="I1328">
        <f>G1328+H1328</f>
        <v>2248095</v>
      </c>
      <c r="J1328">
        <f>IF(AND(D1328&lt;&gt;"dram",D1328&lt;&gt;"control"),H1328,0)</f>
        <v>16384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311</v>
      </c>
      <c r="C1329" t="s">
        <v>82</v>
      </c>
      <c r="D1329" t="s">
        <v>83</v>
      </c>
      <c r="E1329" t="s">
        <v>315</v>
      </c>
      <c r="F1329">
        <v>0</v>
      </c>
      <c r="G1329">
        <f>MAX(I1324,I1323)</f>
        <v>2215327</v>
      </c>
      <c r="H1329">
        <f>0</f>
        <v>16384</v>
      </c>
      <c r="I1329">
        <f>G1329+H1329</f>
        <v>2231711</v>
      </c>
      <c r="J1329">
        <f>IF(AND(D1329&lt;&gt;"dram",D1329&lt;&gt;"control"),H1329,0)</f>
        <v>0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312</v>
      </c>
      <c r="C1330" t="s">
        <v>87</v>
      </c>
      <c r="D1330" t="s">
        <v>79</v>
      </c>
      <c r="E1330" t="s">
        <v>315</v>
      </c>
      <c r="F1330">
        <v>512</v>
      </c>
      <c r="G1330">
        <f>MAX(I1329,I1327)</f>
        <v>2231711</v>
      </c>
      <c r="H1330">
        <f>CEILING((dram_access_latency+F1330/dram_bandwidth)*frequency,1)</f>
        <v>108</v>
      </c>
      <c r="I1330">
        <f>G1330+H1330</f>
        <v>2231819</v>
      </c>
      <c r="J1330">
        <f>IF(AND(D1330&lt;&gt;"dram",D1330&lt;&gt;"control"),H1330,0)</f>
        <v>0</v>
      </c>
      <c r="K1330">
        <f>IF(D1330="dram",H1330,0)</f>
        <v>108</v>
      </c>
      <c r="L1330">
        <v>0</v>
      </c>
      <c r="M1330">
        <v>512</v>
      </c>
    </row>
    <row r="1331" spans="1:13">
      <c r="A1331">
        <v>1329</v>
      </c>
      <c r="B1331" t="s">
        <v>308</v>
      </c>
      <c r="C1331" t="s">
        <v>78</v>
      </c>
      <c r="D1331" t="s">
        <v>79</v>
      </c>
      <c r="E1331" t="s">
        <v>316</v>
      </c>
      <c r="F1331">
        <v>524288</v>
      </c>
      <c r="G1331">
        <f>MAX(I1329,I1330)</f>
        <v>2231819</v>
      </c>
      <c r="H1331">
        <f>CEILING((dram_access_latency+F1331/dram_bandwidth)*frequency,1)</f>
        <v>7811</v>
      </c>
      <c r="I1331">
        <f>G1331+H1331</f>
        <v>2239630</v>
      </c>
      <c r="J1331">
        <f>IF(AND(D1331&lt;&gt;"dram",D1331&lt;&gt;"control"),H1331,0)</f>
        <v>0</v>
      </c>
      <c r="K1331">
        <f>IF(D1331="dram",H1331,0)</f>
        <v>7811</v>
      </c>
      <c r="L1331">
        <v>524288</v>
      </c>
      <c r="M1331">
        <v>0</v>
      </c>
    </row>
    <row r="1332" spans="1:13">
      <c r="A1332">
        <v>1330</v>
      </c>
      <c r="B1332" t="s">
        <v>310</v>
      </c>
      <c r="C1332" t="s">
        <v>78</v>
      </c>
      <c r="D1332" t="s">
        <v>79</v>
      </c>
      <c r="E1332" t="s">
        <v>316</v>
      </c>
      <c r="F1332">
        <v>16384</v>
      </c>
      <c r="G1332">
        <f>MAX(I1329,I1331)</f>
        <v>2239630</v>
      </c>
      <c r="H1332">
        <f>CEILING((dram_access_latency+F1332/dram_bandwidth)*frequency,1)</f>
        <v>341</v>
      </c>
      <c r="I1332">
        <f>G1332+H1332</f>
        <v>2239971</v>
      </c>
      <c r="J1332">
        <f>IF(AND(D1332&lt;&gt;"dram",D1332&lt;&gt;"control"),H1332,0)</f>
        <v>0</v>
      </c>
      <c r="K1332">
        <f>IF(D1332="dram",H1332,0)</f>
        <v>341</v>
      </c>
      <c r="L1332">
        <v>16384</v>
      </c>
      <c r="M1332">
        <v>0</v>
      </c>
    </row>
    <row r="1333" spans="1:13">
      <c r="A1333">
        <v>1331</v>
      </c>
      <c r="B1333" t="s">
        <v>54</v>
      </c>
      <c r="C1333" t="s">
        <v>85</v>
      </c>
      <c r="D1333" t="s">
        <v>17</v>
      </c>
      <c r="E1333" t="s">
        <v>316</v>
      </c>
      <c r="F1333">
        <v>0</v>
      </c>
      <c r="G1333">
        <f>MAX(I1328,I1156,I1331,I1158,I1332,I1330)</f>
        <v>2248095</v>
      </c>
      <c r="H1333">
        <f>'Operations'!I23</f>
        <v>16384</v>
      </c>
      <c r="I1333">
        <f>G1333+H1333</f>
        <v>2264479</v>
      </c>
      <c r="J1333">
        <f>IF(AND(D1333&lt;&gt;"dram",D1333&lt;&gt;"control"),H1333,0)</f>
        <v>16384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311</v>
      </c>
      <c r="C1334" t="s">
        <v>82</v>
      </c>
      <c r="D1334" t="s">
        <v>83</v>
      </c>
      <c r="E1334" t="s">
        <v>316</v>
      </c>
      <c r="F1334">
        <v>0</v>
      </c>
      <c r="G1334">
        <f>MAX(I1329,I1328)</f>
        <v>2231711</v>
      </c>
      <c r="H1334">
        <f>0</f>
        <v>16384</v>
      </c>
      <c r="I1334">
        <f>G1334+H1334</f>
        <v>2248095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312</v>
      </c>
      <c r="C1335" t="s">
        <v>87</v>
      </c>
      <c r="D1335" t="s">
        <v>79</v>
      </c>
      <c r="E1335" t="s">
        <v>316</v>
      </c>
      <c r="F1335">
        <v>512</v>
      </c>
      <c r="G1335">
        <f>MAX(I1334,I1332)</f>
        <v>2248095</v>
      </c>
      <c r="H1335">
        <f>CEILING((dram_access_latency+F1335/dram_bandwidth)*frequency,1)</f>
        <v>108</v>
      </c>
      <c r="I1335">
        <f>G1335+H1335</f>
        <v>2248203</v>
      </c>
      <c r="J1335">
        <f>IF(AND(D1335&lt;&gt;"dram",D1335&lt;&gt;"control"),H1335,0)</f>
        <v>0</v>
      </c>
      <c r="K1335">
        <f>IF(D1335="dram",H1335,0)</f>
        <v>108</v>
      </c>
      <c r="L1335">
        <v>0</v>
      </c>
      <c r="M1335">
        <v>512</v>
      </c>
    </row>
    <row r="1336" spans="1:13">
      <c r="A1336">
        <v>1334</v>
      </c>
      <c r="B1336" t="s">
        <v>308</v>
      </c>
      <c r="C1336" t="s">
        <v>78</v>
      </c>
      <c r="D1336" t="s">
        <v>79</v>
      </c>
      <c r="E1336" t="s">
        <v>317</v>
      </c>
      <c r="F1336">
        <v>524288</v>
      </c>
      <c r="G1336">
        <f>MAX(I1334,I1335)</f>
        <v>2248203</v>
      </c>
      <c r="H1336">
        <f>CEILING((dram_access_latency+F1336/dram_bandwidth)*frequency,1)</f>
        <v>7811</v>
      </c>
      <c r="I1336">
        <f>G1336+H1336</f>
        <v>2256014</v>
      </c>
      <c r="J1336">
        <f>IF(AND(D1336&lt;&gt;"dram",D1336&lt;&gt;"control"),H1336,0)</f>
        <v>0</v>
      </c>
      <c r="K1336">
        <f>IF(D1336="dram",H1336,0)</f>
        <v>7811</v>
      </c>
      <c r="L1336">
        <v>524288</v>
      </c>
      <c r="M1336">
        <v>0</v>
      </c>
    </row>
    <row r="1337" spans="1:13">
      <c r="A1337">
        <v>1335</v>
      </c>
      <c r="B1337" t="s">
        <v>310</v>
      </c>
      <c r="C1337" t="s">
        <v>78</v>
      </c>
      <c r="D1337" t="s">
        <v>79</v>
      </c>
      <c r="E1337" t="s">
        <v>317</v>
      </c>
      <c r="F1337">
        <v>16384</v>
      </c>
      <c r="G1337">
        <f>MAX(I1334,I1336)</f>
        <v>2256014</v>
      </c>
      <c r="H1337">
        <f>CEILING((dram_access_latency+F1337/dram_bandwidth)*frequency,1)</f>
        <v>341</v>
      </c>
      <c r="I1337">
        <f>G1337+H1337</f>
        <v>2256355</v>
      </c>
      <c r="J1337">
        <f>IF(AND(D1337&lt;&gt;"dram",D1337&lt;&gt;"control"),H1337,0)</f>
        <v>0</v>
      </c>
      <c r="K1337">
        <f>IF(D1337="dram",H1337,0)</f>
        <v>341</v>
      </c>
      <c r="L1337">
        <v>16384</v>
      </c>
      <c r="M1337">
        <v>0</v>
      </c>
    </row>
    <row r="1338" spans="1:13">
      <c r="A1338">
        <v>1336</v>
      </c>
      <c r="B1338" t="s">
        <v>54</v>
      </c>
      <c r="C1338" t="s">
        <v>85</v>
      </c>
      <c r="D1338" t="s">
        <v>17</v>
      </c>
      <c r="E1338" t="s">
        <v>317</v>
      </c>
      <c r="F1338">
        <v>0</v>
      </c>
      <c r="G1338">
        <f>MAX(I1333,I1156,I1336,I1158,I1337,I1335)</f>
        <v>2264479</v>
      </c>
      <c r="H1338">
        <f>'Operations'!I23</f>
        <v>16384</v>
      </c>
      <c r="I1338">
        <f>G1338+H1338</f>
        <v>2280863</v>
      </c>
      <c r="J1338">
        <f>IF(AND(D1338&lt;&gt;"dram",D1338&lt;&gt;"control"),H1338,0)</f>
        <v>16384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311</v>
      </c>
      <c r="C1339" t="s">
        <v>82</v>
      </c>
      <c r="D1339" t="s">
        <v>83</v>
      </c>
      <c r="E1339" t="s">
        <v>317</v>
      </c>
      <c r="F1339">
        <v>0</v>
      </c>
      <c r="G1339">
        <f>MAX(I1334,I1333)</f>
        <v>2248095</v>
      </c>
      <c r="H1339">
        <f>0</f>
        <v>16384</v>
      </c>
      <c r="I1339">
        <f>G1339+H1339</f>
        <v>2264479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312</v>
      </c>
      <c r="C1340" t="s">
        <v>87</v>
      </c>
      <c r="D1340" t="s">
        <v>79</v>
      </c>
      <c r="E1340" t="s">
        <v>317</v>
      </c>
      <c r="F1340">
        <v>512</v>
      </c>
      <c r="G1340">
        <f>MAX(I1339,I1337)</f>
        <v>2264479</v>
      </c>
      <c r="H1340">
        <f>CEILING((dram_access_latency+F1340/dram_bandwidth)*frequency,1)</f>
        <v>108</v>
      </c>
      <c r="I1340">
        <f>G1340+H1340</f>
        <v>2264587</v>
      </c>
      <c r="J1340">
        <f>IF(AND(D1340&lt;&gt;"dram",D1340&lt;&gt;"control"),H1340,0)</f>
        <v>0</v>
      </c>
      <c r="K1340">
        <f>IF(D1340="dram",H1340,0)</f>
        <v>108</v>
      </c>
      <c r="L1340">
        <v>0</v>
      </c>
      <c r="M1340">
        <v>512</v>
      </c>
    </row>
    <row r="1341" spans="1:13">
      <c r="A1341">
        <v>1339</v>
      </c>
      <c r="B1341" t="s">
        <v>308</v>
      </c>
      <c r="C1341" t="s">
        <v>78</v>
      </c>
      <c r="D1341" t="s">
        <v>79</v>
      </c>
      <c r="E1341" t="s">
        <v>318</v>
      </c>
      <c r="F1341">
        <v>524288</v>
      </c>
      <c r="G1341">
        <f>MAX(I1339,I1340)</f>
        <v>2264587</v>
      </c>
      <c r="H1341">
        <f>CEILING((dram_access_latency+F1341/dram_bandwidth)*frequency,1)</f>
        <v>7811</v>
      </c>
      <c r="I1341">
        <f>G1341+H1341</f>
        <v>2272398</v>
      </c>
      <c r="J1341">
        <f>IF(AND(D1341&lt;&gt;"dram",D1341&lt;&gt;"control"),H1341,0)</f>
        <v>0</v>
      </c>
      <c r="K1341">
        <f>IF(D1341="dram",H1341,0)</f>
        <v>7811</v>
      </c>
      <c r="L1341">
        <v>524288</v>
      </c>
      <c r="M1341">
        <v>0</v>
      </c>
    </row>
    <row r="1342" spans="1:13">
      <c r="A1342">
        <v>1340</v>
      </c>
      <c r="B1342" t="s">
        <v>310</v>
      </c>
      <c r="C1342" t="s">
        <v>78</v>
      </c>
      <c r="D1342" t="s">
        <v>79</v>
      </c>
      <c r="E1342" t="s">
        <v>318</v>
      </c>
      <c r="F1342">
        <v>16384</v>
      </c>
      <c r="G1342">
        <f>MAX(I1339,I1341)</f>
        <v>2272398</v>
      </c>
      <c r="H1342">
        <f>CEILING((dram_access_latency+F1342/dram_bandwidth)*frequency,1)</f>
        <v>341</v>
      </c>
      <c r="I1342">
        <f>G1342+H1342</f>
        <v>2272739</v>
      </c>
      <c r="J1342">
        <f>IF(AND(D1342&lt;&gt;"dram",D1342&lt;&gt;"control"),H1342,0)</f>
        <v>0</v>
      </c>
      <c r="K1342">
        <f>IF(D1342="dram",H1342,0)</f>
        <v>341</v>
      </c>
      <c r="L1342">
        <v>16384</v>
      </c>
      <c r="M1342">
        <v>0</v>
      </c>
    </row>
    <row r="1343" spans="1:13">
      <c r="A1343">
        <v>1341</v>
      </c>
      <c r="B1343" t="s">
        <v>54</v>
      </c>
      <c r="C1343" t="s">
        <v>85</v>
      </c>
      <c r="D1343" t="s">
        <v>17</v>
      </c>
      <c r="E1343" t="s">
        <v>318</v>
      </c>
      <c r="F1343">
        <v>0</v>
      </c>
      <c r="G1343">
        <f>MAX(I1338,I1156,I1341,I1158,I1342,I1340)</f>
        <v>2280863</v>
      </c>
      <c r="H1343">
        <f>'Operations'!I23</f>
        <v>16384</v>
      </c>
      <c r="I1343">
        <f>G1343+H1343</f>
        <v>2297247</v>
      </c>
      <c r="J1343">
        <f>IF(AND(D1343&lt;&gt;"dram",D1343&lt;&gt;"control"),H1343,0)</f>
        <v>16384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311</v>
      </c>
      <c r="C1344" t="s">
        <v>82</v>
      </c>
      <c r="D1344" t="s">
        <v>83</v>
      </c>
      <c r="E1344" t="s">
        <v>318</v>
      </c>
      <c r="F1344">
        <v>0</v>
      </c>
      <c r="G1344">
        <f>MAX(I1339,I1338)</f>
        <v>2264479</v>
      </c>
      <c r="H1344">
        <f>0</f>
        <v>16384</v>
      </c>
      <c r="I1344">
        <f>G1344+H1344</f>
        <v>2280863</v>
      </c>
      <c r="J1344">
        <f>IF(AND(D1344&lt;&gt;"dram",D1344&lt;&gt;"control"),H1344,0)</f>
        <v>0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312</v>
      </c>
      <c r="C1345" t="s">
        <v>87</v>
      </c>
      <c r="D1345" t="s">
        <v>79</v>
      </c>
      <c r="E1345" t="s">
        <v>318</v>
      </c>
      <c r="F1345">
        <v>512</v>
      </c>
      <c r="G1345">
        <f>MAX(I1344,I1342)</f>
        <v>2280863</v>
      </c>
      <c r="H1345">
        <f>CEILING((dram_access_latency+F1345/dram_bandwidth)*frequency,1)</f>
        <v>108</v>
      </c>
      <c r="I1345">
        <f>G1345+H1345</f>
        <v>2280971</v>
      </c>
      <c r="J1345">
        <f>IF(AND(D1345&lt;&gt;"dram",D1345&lt;&gt;"control"),H1345,0)</f>
        <v>0</v>
      </c>
      <c r="K1345">
        <f>IF(D1345="dram",H1345,0)</f>
        <v>108</v>
      </c>
      <c r="L1345">
        <v>0</v>
      </c>
      <c r="M1345">
        <v>512</v>
      </c>
    </row>
    <row r="1346" spans="1:13">
      <c r="A1346">
        <v>1344</v>
      </c>
      <c r="B1346" t="s">
        <v>308</v>
      </c>
      <c r="C1346" t="s">
        <v>78</v>
      </c>
      <c r="D1346" t="s">
        <v>79</v>
      </c>
      <c r="E1346" t="s">
        <v>319</v>
      </c>
      <c r="F1346">
        <v>524288</v>
      </c>
      <c r="G1346">
        <f>MAX(I1344,I1345)</f>
        <v>2280971</v>
      </c>
      <c r="H1346">
        <f>CEILING((dram_access_latency+F1346/dram_bandwidth)*frequency,1)</f>
        <v>7811</v>
      </c>
      <c r="I1346">
        <f>G1346+H1346</f>
        <v>2288782</v>
      </c>
      <c r="J1346">
        <f>IF(AND(D1346&lt;&gt;"dram",D1346&lt;&gt;"control"),H1346,0)</f>
        <v>0</v>
      </c>
      <c r="K1346">
        <f>IF(D1346="dram",H1346,0)</f>
        <v>7811</v>
      </c>
      <c r="L1346">
        <v>524288</v>
      </c>
      <c r="M1346">
        <v>0</v>
      </c>
    </row>
    <row r="1347" spans="1:13">
      <c r="A1347">
        <v>1345</v>
      </c>
      <c r="B1347" t="s">
        <v>310</v>
      </c>
      <c r="C1347" t="s">
        <v>78</v>
      </c>
      <c r="D1347" t="s">
        <v>79</v>
      </c>
      <c r="E1347" t="s">
        <v>319</v>
      </c>
      <c r="F1347">
        <v>16384</v>
      </c>
      <c r="G1347">
        <f>MAX(I1344,I1346)</f>
        <v>2288782</v>
      </c>
      <c r="H1347">
        <f>CEILING((dram_access_latency+F1347/dram_bandwidth)*frequency,1)</f>
        <v>341</v>
      </c>
      <c r="I1347">
        <f>G1347+H1347</f>
        <v>2289123</v>
      </c>
      <c r="J1347">
        <f>IF(AND(D1347&lt;&gt;"dram",D1347&lt;&gt;"control"),H1347,0)</f>
        <v>0</v>
      </c>
      <c r="K1347">
        <f>IF(D1347="dram",H1347,0)</f>
        <v>341</v>
      </c>
      <c r="L1347">
        <v>16384</v>
      </c>
      <c r="M1347">
        <v>0</v>
      </c>
    </row>
    <row r="1348" spans="1:13">
      <c r="A1348">
        <v>1346</v>
      </c>
      <c r="B1348" t="s">
        <v>54</v>
      </c>
      <c r="C1348" t="s">
        <v>85</v>
      </c>
      <c r="D1348" t="s">
        <v>17</v>
      </c>
      <c r="E1348" t="s">
        <v>319</v>
      </c>
      <c r="F1348">
        <v>0</v>
      </c>
      <c r="G1348">
        <f>MAX(I1343,I1156,I1346,I1158,I1347,I1345)</f>
        <v>2297247</v>
      </c>
      <c r="H1348">
        <f>'Operations'!I23</f>
        <v>16384</v>
      </c>
      <c r="I1348">
        <f>G1348+H1348</f>
        <v>2313631</v>
      </c>
      <c r="J1348">
        <f>IF(AND(D1348&lt;&gt;"dram",D1348&lt;&gt;"control"),H1348,0)</f>
        <v>16384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311</v>
      </c>
      <c r="C1349" t="s">
        <v>82</v>
      </c>
      <c r="D1349" t="s">
        <v>83</v>
      </c>
      <c r="E1349" t="s">
        <v>319</v>
      </c>
      <c r="F1349">
        <v>0</v>
      </c>
      <c r="G1349">
        <f>MAX(I1344,I1343)</f>
        <v>2280863</v>
      </c>
      <c r="H1349">
        <f>0</f>
        <v>16384</v>
      </c>
      <c r="I1349">
        <f>G1349+H1349</f>
        <v>2297247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312</v>
      </c>
      <c r="C1350" t="s">
        <v>87</v>
      </c>
      <c r="D1350" t="s">
        <v>79</v>
      </c>
      <c r="E1350" t="s">
        <v>319</v>
      </c>
      <c r="F1350">
        <v>512</v>
      </c>
      <c r="G1350">
        <f>MAX(I1349,I1347)</f>
        <v>2297247</v>
      </c>
      <c r="H1350">
        <f>CEILING((dram_access_latency+F1350/dram_bandwidth)*frequency,1)</f>
        <v>108</v>
      </c>
      <c r="I1350">
        <f>G1350+H1350</f>
        <v>2297355</v>
      </c>
      <c r="J1350">
        <f>IF(AND(D1350&lt;&gt;"dram",D1350&lt;&gt;"control"),H1350,0)</f>
        <v>0</v>
      </c>
      <c r="K1350">
        <f>IF(D1350="dram",H1350,0)</f>
        <v>108</v>
      </c>
      <c r="L1350">
        <v>0</v>
      </c>
      <c r="M1350">
        <v>512</v>
      </c>
    </row>
    <row r="1351" spans="1:13">
      <c r="A1351">
        <v>1349</v>
      </c>
      <c r="B1351" t="s">
        <v>308</v>
      </c>
      <c r="C1351" t="s">
        <v>78</v>
      </c>
      <c r="D1351" t="s">
        <v>79</v>
      </c>
      <c r="E1351" t="s">
        <v>320</v>
      </c>
      <c r="F1351">
        <v>524288</v>
      </c>
      <c r="G1351">
        <f>MAX(I1349,I1350)</f>
        <v>2297355</v>
      </c>
      <c r="H1351">
        <f>CEILING((dram_access_latency+F1351/dram_bandwidth)*frequency,1)</f>
        <v>7811</v>
      </c>
      <c r="I1351">
        <f>G1351+H1351</f>
        <v>2305166</v>
      </c>
      <c r="J1351">
        <f>IF(AND(D1351&lt;&gt;"dram",D1351&lt;&gt;"control"),H1351,0)</f>
        <v>0</v>
      </c>
      <c r="K1351">
        <f>IF(D1351="dram",H1351,0)</f>
        <v>7811</v>
      </c>
      <c r="L1351">
        <v>524288</v>
      </c>
      <c r="M1351">
        <v>0</v>
      </c>
    </row>
    <row r="1352" spans="1:13">
      <c r="A1352">
        <v>1350</v>
      </c>
      <c r="B1352" t="s">
        <v>310</v>
      </c>
      <c r="C1352" t="s">
        <v>78</v>
      </c>
      <c r="D1352" t="s">
        <v>79</v>
      </c>
      <c r="E1352" t="s">
        <v>320</v>
      </c>
      <c r="F1352">
        <v>16384</v>
      </c>
      <c r="G1352">
        <f>MAX(I1349,I1351)</f>
        <v>2305166</v>
      </c>
      <c r="H1352">
        <f>CEILING((dram_access_latency+F1352/dram_bandwidth)*frequency,1)</f>
        <v>341</v>
      </c>
      <c r="I1352">
        <f>G1352+H1352</f>
        <v>2305507</v>
      </c>
      <c r="J1352">
        <f>IF(AND(D1352&lt;&gt;"dram",D1352&lt;&gt;"control"),H1352,0)</f>
        <v>0</v>
      </c>
      <c r="K1352">
        <f>IF(D1352="dram",H1352,0)</f>
        <v>341</v>
      </c>
      <c r="L1352">
        <v>16384</v>
      </c>
      <c r="M1352">
        <v>0</v>
      </c>
    </row>
    <row r="1353" spans="1:13">
      <c r="A1353">
        <v>1351</v>
      </c>
      <c r="B1353" t="s">
        <v>54</v>
      </c>
      <c r="C1353" t="s">
        <v>85</v>
      </c>
      <c r="D1353" t="s">
        <v>17</v>
      </c>
      <c r="E1353" t="s">
        <v>320</v>
      </c>
      <c r="F1353">
        <v>0</v>
      </c>
      <c r="G1353">
        <f>MAX(I1348,I1156,I1351,I1158,I1352,I1350)</f>
        <v>2313631</v>
      </c>
      <c r="H1353">
        <f>'Operations'!I23</f>
        <v>16384</v>
      </c>
      <c r="I1353">
        <f>G1353+H1353</f>
        <v>2330015</v>
      </c>
      <c r="J1353">
        <f>IF(AND(D1353&lt;&gt;"dram",D1353&lt;&gt;"control"),H1353,0)</f>
        <v>16384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311</v>
      </c>
      <c r="C1354" t="s">
        <v>82</v>
      </c>
      <c r="D1354" t="s">
        <v>83</v>
      </c>
      <c r="E1354" t="s">
        <v>320</v>
      </c>
      <c r="F1354">
        <v>0</v>
      </c>
      <c r="G1354">
        <f>MAX(I1349,I1348)</f>
        <v>2297247</v>
      </c>
      <c r="H1354">
        <f>0</f>
        <v>16384</v>
      </c>
      <c r="I1354">
        <f>G1354+H1354</f>
        <v>2313631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312</v>
      </c>
      <c r="C1355" t="s">
        <v>87</v>
      </c>
      <c r="D1355" t="s">
        <v>79</v>
      </c>
      <c r="E1355" t="s">
        <v>320</v>
      </c>
      <c r="F1355">
        <v>512</v>
      </c>
      <c r="G1355">
        <f>MAX(I1354,I1352)</f>
        <v>2313631</v>
      </c>
      <c r="H1355">
        <f>CEILING((dram_access_latency+F1355/dram_bandwidth)*frequency,1)</f>
        <v>108</v>
      </c>
      <c r="I1355">
        <f>G1355+H1355</f>
        <v>2313739</v>
      </c>
      <c r="J1355">
        <f>IF(AND(D1355&lt;&gt;"dram",D1355&lt;&gt;"control"),H1355,0)</f>
        <v>0</v>
      </c>
      <c r="K1355">
        <f>IF(D1355="dram",H1355,0)</f>
        <v>108</v>
      </c>
      <c r="L1355">
        <v>0</v>
      </c>
      <c r="M1355">
        <v>512</v>
      </c>
    </row>
    <row r="1356" spans="1:13">
      <c r="A1356">
        <v>1354</v>
      </c>
      <c r="B1356" t="s">
        <v>308</v>
      </c>
      <c r="C1356" t="s">
        <v>78</v>
      </c>
      <c r="D1356" t="s">
        <v>79</v>
      </c>
      <c r="E1356" t="s">
        <v>321</v>
      </c>
      <c r="F1356">
        <v>524288</v>
      </c>
      <c r="G1356">
        <f>MAX(I1354,I1355)</f>
        <v>2313739</v>
      </c>
      <c r="H1356">
        <f>CEILING((dram_access_latency+F1356/dram_bandwidth)*frequency,1)</f>
        <v>7811</v>
      </c>
      <c r="I1356">
        <f>G1356+H1356</f>
        <v>2321550</v>
      </c>
      <c r="J1356">
        <f>IF(AND(D1356&lt;&gt;"dram",D1356&lt;&gt;"control"),H1356,0)</f>
        <v>0</v>
      </c>
      <c r="K1356">
        <f>IF(D1356="dram",H1356,0)</f>
        <v>7811</v>
      </c>
      <c r="L1356">
        <v>524288</v>
      </c>
      <c r="M1356">
        <v>0</v>
      </c>
    </row>
    <row r="1357" spans="1:13">
      <c r="A1357">
        <v>1355</v>
      </c>
      <c r="B1357" t="s">
        <v>310</v>
      </c>
      <c r="C1357" t="s">
        <v>78</v>
      </c>
      <c r="D1357" t="s">
        <v>79</v>
      </c>
      <c r="E1357" t="s">
        <v>321</v>
      </c>
      <c r="F1357">
        <v>16384</v>
      </c>
      <c r="G1357">
        <f>MAX(I1354,I1356)</f>
        <v>2321550</v>
      </c>
      <c r="H1357">
        <f>CEILING((dram_access_latency+F1357/dram_bandwidth)*frequency,1)</f>
        <v>341</v>
      </c>
      <c r="I1357">
        <f>G1357+H1357</f>
        <v>2321891</v>
      </c>
      <c r="J1357">
        <f>IF(AND(D1357&lt;&gt;"dram",D1357&lt;&gt;"control"),H1357,0)</f>
        <v>0</v>
      </c>
      <c r="K1357">
        <f>IF(D1357="dram",H1357,0)</f>
        <v>341</v>
      </c>
      <c r="L1357">
        <v>16384</v>
      </c>
      <c r="M1357">
        <v>0</v>
      </c>
    </row>
    <row r="1358" spans="1:13">
      <c r="A1358">
        <v>1356</v>
      </c>
      <c r="B1358" t="s">
        <v>54</v>
      </c>
      <c r="C1358" t="s">
        <v>85</v>
      </c>
      <c r="D1358" t="s">
        <v>17</v>
      </c>
      <c r="E1358" t="s">
        <v>321</v>
      </c>
      <c r="F1358">
        <v>0</v>
      </c>
      <c r="G1358">
        <f>MAX(I1353,I1156,I1356,I1158,I1357,I1355)</f>
        <v>2330015</v>
      </c>
      <c r="H1358">
        <f>'Operations'!I23</f>
        <v>16384</v>
      </c>
      <c r="I1358">
        <f>G1358+H1358</f>
        <v>2346399</v>
      </c>
      <c r="J1358">
        <f>IF(AND(D1358&lt;&gt;"dram",D1358&lt;&gt;"control"),H1358,0)</f>
        <v>16384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311</v>
      </c>
      <c r="C1359" t="s">
        <v>82</v>
      </c>
      <c r="D1359" t="s">
        <v>83</v>
      </c>
      <c r="E1359" t="s">
        <v>321</v>
      </c>
      <c r="F1359">
        <v>0</v>
      </c>
      <c r="G1359">
        <f>MAX(I1354,I1353)</f>
        <v>2313631</v>
      </c>
      <c r="H1359">
        <f>0</f>
        <v>16384</v>
      </c>
      <c r="I1359">
        <f>G1359+H1359</f>
        <v>2330015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312</v>
      </c>
      <c r="C1360" t="s">
        <v>87</v>
      </c>
      <c r="D1360" t="s">
        <v>79</v>
      </c>
      <c r="E1360" t="s">
        <v>321</v>
      </c>
      <c r="F1360">
        <v>512</v>
      </c>
      <c r="G1360">
        <f>MAX(I1359,I1357)</f>
        <v>2330015</v>
      </c>
      <c r="H1360">
        <f>CEILING((dram_access_latency+F1360/dram_bandwidth)*frequency,1)</f>
        <v>108</v>
      </c>
      <c r="I1360">
        <f>G1360+H1360</f>
        <v>2330123</v>
      </c>
      <c r="J1360">
        <f>IF(AND(D1360&lt;&gt;"dram",D1360&lt;&gt;"control"),H1360,0)</f>
        <v>0</v>
      </c>
      <c r="K1360">
        <f>IF(D1360="dram",H1360,0)</f>
        <v>108</v>
      </c>
      <c r="L1360">
        <v>0</v>
      </c>
      <c r="M1360">
        <v>512</v>
      </c>
    </row>
    <row r="1361" spans="1:13">
      <c r="A1361">
        <v>1359</v>
      </c>
      <c r="B1361" t="s">
        <v>308</v>
      </c>
      <c r="C1361" t="s">
        <v>78</v>
      </c>
      <c r="D1361" t="s">
        <v>79</v>
      </c>
      <c r="E1361" t="s">
        <v>322</v>
      </c>
      <c r="F1361">
        <v>524288</v>
      </c>
      <c r="G1361">
        <f>MAX(I1359,I1360)</f>
        <v>2330123</v>
      </c>
      <c r="H1361">
        <f>CEILING((dram_access_latency+F1361/dram_bandwidth)*frequency,1)</f>
        <v>7811</v>
      </c>
      <c r="I1361">
        <f>G1361+H1361</f>
        <v>2337934</v>
      </c>
      <c r="J1361">
        <f>IF(AND(D1361&lt;&gt;"dram",D1361&lt;&gt;"control"),H1361,0)</f>
        <v>0</v>
      </c>
      <c r="K1361">
        <f>IF(D1361="dram",H1361,0)</f>
        <v>7811</v>
      </c>
      <c r="L1361">
        <v>524288</v>
      </c>
      <c r="M1361">
        <v>0</v>
      </c>
    </row>
    <row r="1362" spans="1:13">
      <c r="A1362">
        <v>1360</v>
      </c>
      <c r="B1362" t="s">
        <v>310</v>
      </c>
      <c r="C1362" t="s">
        <v>78</v>
      </c>
      <c r="D1362" t="s">
        <v>79</v>
      </c>
      <c r="E1362" t="s">
        <v>322</v>
      </c>
      <c r="F1362">
        <v>16384</v>
      </c>
      <c r="G1362">
        <f>MAX(I1359,I1361)</f>
        <v>2337934</v>
      </c>
      <c r="H1362">
        <f>CEILING((dram_access_latency+F1362/dram_bandwidth)*frequency,1)</f>
        <v>341</v>
      </c>
      <c r="I1362">
        <f>G1362+H1362</f>
        <v>2338275</v>
      </c>
      <c r="J1362">
        <f>IF(AND(D1362&lt;&gt;"dram",D1362&lt;&gt;"control"),H1362,0)</f>
        <v>0</v>
      </c>
      <c r="K1362">
        <f>IF(D1362="dram",H1362,0)</f>
        <v>341</v>
      </c>
      <c r="L1362">
        <v>16384</v>
      </c>
      <c r="M1362">
        <v>0</v>
      </c>
    </row>
    <row r="1363" spans="1:13">
      <c r="A1363">
        <v>1361</v>
      </c>
      <c r="B1363" t="s">
        <v>54</v>
      </c>
      <c r="C1363" t="s">
        <v>85</v>
      </c>
      <c r="D1363" t="s">
        <v>17</v>
      </c>
      <c r="E1363" t="s">
        <v>322</v>
      </c>
      <c r="F1363">
        <v>0</v>
      </c>
      <c r="G1363">
        <f>MAX(I1358,I1156,I1361,I1158,I1362,I1360)</f>
        <v>2346399</v>
      </c>
      <c r="H1363">
        <f>'Operations'!I23</f>
        <v>16384</v>
      </c>
      <c r="I1363">
        <f>G1363+H1363</f>
        <v>2362783</v>
      </c>
      <c r="J1363">
        <f>IF(AND(D1363&lt;&gt;"dram",D1363&lt;&gt;"control"),H1363,0)</f>
        <v>16384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311</v>
      </c>
      <c r="C1364" t="s">
        <v>82</v>
      </c>
      <c r="D1364" t="s">
        <v>83</v>
      </c>
      <c r="E1364" t="s">
        <v>322</v>
      </c>
      <c r="F1364">
        <v>0</v>
      </c>
      <c r="G1364">
        <f>MAX(I1359,I1358)</f>
        <v>2330015</v>
      </c>
      <c r="H1364">
        <f>0</f>
        <v>16384</v>
      </c>
      <c r="I1364">
        <f>G1364+H1364</f>
        <v>2346399</v>
      </c>
      <c r="J1364">
        <f>IF(AND(D1364&lt;&gt;"dram",D1364&lt;&gt;"control"),H1364,0)</f>
        <v>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312</v>
      </c>
      <c r="C1365" t="s">
        <v>87</v>
      </c>
      <c r="D1365" t="s">
        <v>79</v>
      </c>
      <c r="E1365" t="s">
        <v>322</v>
      </c>
      <c r="F1365">
        <v>512</v>
      </c>
      <c r="G1365">
        <f>MAX(I1364,I1362)</f>
        <v>2346399</v>
      </c>
      <c r="H1365">
        <f>CEILING((dram_access_latency+F1365/dram_bandwidth)*frequency,1)</f>
        <v>108</v>
      </c>
      <c r="I1365">
        <f>G1365+H1365</f>
        <v>2346507</v>
      </c>
      <c r="J1365">
        <f>IF(AND(D1365&lt;&gt;"dram",D1365&lt;&gt;"control"),H1365,0)</f>
        <v>0</v>
      </c>
      <c r="K1365">
        <f>IF(D1365="dram",H1365,0)</f>
        <v>108</v>
      </c>
      <c r="L1365">
        <v>0</v>
      </c>
      <c r="M1365">
        <v>512</v>
      </c>
    </row>
    <row r="1366" spans="1:13">
      <c r="A1366">
        <v>1364</v>
      </c>
      <c r="B1366" t="s">
        <v>308</v>
      </c>
      <c r="C1366" t="s">
        <v>78</v>
      </c>
      <c r="D1366" t="s">
        <v>79</v>
      </c>
      <c r="E1366" t="s">
        <v>323</v>
      </c>
      <c r="F1366">
        <v>524288</v>
      </c>
      <c r="G1366">
        <f>MAX(I1364,I1365)</f>
        <v>2346507</v>
      </c>
      <c r="H1366">
        <f>CEILING((dram_access_latency+F1366/dram_bandwidth)*frequency,1)</f>
        <v>7811</v>
      </c>
      <c r="I1366">
        <f>G1366+H1366</f>
        <v>2354318</v>
      </c>
      <c r="J1366">
        <f>IF(AND(D1366&lt;&gt;"dram",D1366&lt;&gt;"control"),H1366,0)</f>
        <v>0</v>
      </c>
      <c r="K1366">
        <f>IF(D1366="dram",H1366,0)</f>
        <v>7811</v>
      </c>
      <c r="L1366">
        <v>524288</v>
      </c>
      <c r="M1366">
        <v>0</v>
      </c>
    </row>
    <row r="1367" spans="1:13">
      <c r="A1367">
        <v>1365</v>
      </c>
      <c r="B1367" t="s">
        <v>310</v>
      </c>
      <c r="C1367" t="s">
        <v>78</v>
      </c>
      <c r="D1367" t="s">
        <v>79</v>
      </c>
      <c r="E1367" t="s">
        <v>323</v>
      </c>
      <c r="F1367">
        <v>16384</v>
      </c>
      <c r="G1367">
        <f>MAX(I1364,I1366)</f>
        <v>2354318</v>
      </c>
      <c r="H1367">
        <f>CEILING((dram_access_latency+F1367/dram_bandwidth)*frequency,1)</f>
        <v>341</v>
      </c>
      <c r="I1367">
        <f>G1367+H1367</f>
        <v>2354659</v>
      </c>
      <c r="J1367">
        <f>IF(AND(D1367&lt;&gt;"dram",D1367&lt;&gt;"control"),H1367,0)</f>
        <v>0</v>
      </c>
      <c r="K1367">
        <f>IF(D1367="dram",H1367,0)</f>
        <v>341</v>
      </c>
      <c r="L1367">
        <v>16384</v>
      </c>
      <c r="M1367">
        <v>0</v>
      </c>
    </row>
    <row r="1368" spans="1:13">
      <c r="A1368">
        <v>1366</v>
      </c>
      <c r="B1368" t="s">
        <v>54</v>
      </c>
      <c r="C1368" t="s">
        <v>85</v>
      </c>
      <c r="D1368" t="s">
        <v>17</v>
      </c>
      <c r="E1368" t="s">
        <v>323</v>
      </c>
      <c r="F1368">
        <v>0</v>
      </c>
      <c r="G1368">
        <f>MAX(I1363,I1156,I1366,I1158,I1367,I1365)</f>
        <v>2362783</v>
      </c>
      <c r="H1368">
        <f>'Operations'!I23</f>
        <v>16384</v>
      </c>
      <c r="I1368">
        <f>G1368+H1368</f>
        <v>2379167</v>
      </c>
      <c r="J1368">
        <f>IF(AND(D1368&lt;&gt;"dram",D1368&lt;&gt;"control"),H1368,0)</f>
        <v>16384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311</v>
      </c>
      <c r="C1369" t="s">
        <v>82</v>
      </c>
      <c r="D1369" t="s">
        <v>83</v>
      </c>
      <c r="E1369" t="s">
        <v>323</v>
      </c>
      <c r="F1369">
        <v>0</v>
      </c>
      <c r="G1369">
        <f>MAX(I1364,I1363)</f>
        <v>2346399</v>
      </c>
      <c r="H1369">
        <f>0</f>
        <v>16384</v>
      </c>
      <c r="I1369">
        <f>G1369+H1369</f>
        <v>2362783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312</v>
      </c>
      <c r="C1370" t="s">
        <v>87</v>
      </c>
      <c r="D1370" t="s">
        <v>79</v>
      </c>
      <c r="E1370" t="s">
        <v>323</v>
      </c>
      <c r="F1370">
        <v>512</v>
      </c>
      <c r="G1370">
        <f>MAX(I1369,I1367)</f>
        <v>2362783</v>
      </c>
      <c r="H1370">
        <f>CEILING((dram_access_latency+F1370/dram_bandwidth)*frequency,1)</f>
        <v>108</v>
      </c>
      <c r="I1370">
        <f>G1370+H1370</f>
        <v>2362891</v>
      </c>
      <c r="J1370">
        <f>IF(AND(D1370&lt;&gt;"dram",D1370&lt;&gt;"control"),H1370,0)</f>
        <v>0</v>
      </c>
      <c r="K1370">
        <f>IF(D1370="dram",H1370,0)</f>
        <v>108</v>
      </c>
      <c r="L1370">
        <v>0</v>
      </c>
      <c r="M1370">
        <v>512</v>
      </c>
    </row>
    <row r="1371" spans="1:13">
      <c r="A1371">
        <v>1369</v>
      </c>
      <c r="B1371" t="s">
        <v>324</v>
      </c>
      <c r="C1371" t="s">
        <v>82</v>
      </c>
      <c r="D1371" t="s">
        <v>83</v>
      </c>
      <c r="E1371" t="s">
        <v>80</v>
      </c>
      <c r="F1371">
        <v>0</v>
      </c>
      <c r="G1371">
        <f>MAX(I1369,I1368)</f>
        <v>2362783</v>
      </c>
      <c r="H1371">
        <f>0</f>
        <v>16384</v>
      </c>
      <c r="I1371">
        <f>G1371+H1371</f>
        <v>2379167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325</v>
      </c>
      <c r="C1372" t="s">
        <v>87</v>
      </c>
      <c r="D1372" t="s">
        <v>79</v>
      </c>
      <c r="E1372" t="s">
        <v>80</v>
      </c>
      <c r="F1372">
        <v>512</v>
      </c>
      <c r="G1372">
        <f>MAX(I1371,I1370)</f>
        <v>2379167</v>
      </c>
      <c r="H1372">
        <f>CEILING((dram_access_latency+F1372/dram_bandwidth)*frequency,1)</f>
        <v>108</v>
      </c>
      <c r="I1372">
        <f>G1372+H1372</f>
        <v>2379275</v>
      </c>
      <c r="J1372">
        <f>IF(AND(D1372&lt;&gt;"dram",D1372&lt;&gt;"control"),H1372,0)</f>
        <v>0</v>
      </c>
      <c r="K1372">
        <f>IF(D1372="dram",H1372,0)</f>
        <v>108</v>
      </c>
      <c r="L1372">
        <v>0</v>
      </c>
      <c r="M1372">
        <v>512</v>
      </c>
    </row>
    <row r="1373" spans="1:13">
      <c r="A1373">
        <v>1371</v>
      </c>
      <c r="B1373" t="s">
        <v>326</v>
      </c>
      <c r="C1373" t="s">
        <v>82</v>
      </c>
      <c r="D1373" t="s">
        <v>83</v>
      </c>
      <c r="E1373" t="s">
        <v>80</v>
      </c>
      <c r="F1373">
        <v>0</v>
      </c>
      <c r="G1373">
        <f>MAX(I1371,I1372)</f>
        <v>2379167</v>
      </c>
      <c r="H1373">
        <f>0</f>
        <v>108</v>
      </c>
      <c r="I1373">
        <f>G1373+H1373</f>
        <v>2379275</v>
      </c>
      <c r="J1373">
        <f>IF(AND(D1373&lt;&gt;"dram",D1373&lt;&gt;"control"),H1373,0)</f>
        <v>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327</v>
      </c>
      <c r="C1374" t="s">
        <v>82</v>
      </c>
      <c r="D1374" t="s">
        <v>83</v>
      </c>
      <c r="E1374" t="s">
        <v>80</v>
      </c>
      <c r="F1374">
        <v>0</v>
      </c>
      <c r="G1374">
        <f>MAX(I1373,I1370)</f>
        <v>2379275</v>
      </c>
      <c r="H1374">
        <f>0</f>
        <v>0</v>
      </c>
      <c r="I1374">
        <f>G1374+H1374</f>
        <v>2379275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328</v>
      </c>
      <c r="C1375" t="s">
        <v>78</v>
      </c>
      <c r="D1375" t="s">
        <v>79</v>
      </c>
      <c r="E1375" t="s">
        <v>84</v>
      </c>
      <c r="F1375">
        <v>2048</v>
      </c>
      <c r="G1375">
        <f>MAX(I1374,I1372)</f>
        <v>2379275</v>
      </c>
      <c r="H1375">
        <f>CEILING((dram_access_latency+F1375/dram_bandwidth)*frequency,1)</f>
        <v>131</v>
      </c>
      <c r="I1375">
        <f>G1375+H1375</f>
        <v>2379406</v>
      </c>
      <c r="J1375">
        <f>IF(AND(D1375&lt;&gt;"dram",D1375&lt;&gt;"control"),H1375,0)</f>
        <v>0</v>
      </c>
      <c r="K1375">
        <f>IF(D1375="dram",H1375,0)</f>
        <v>131</v>
      </c>
      <c r="L1375">
        <v>2048</v>
      </c>
      <c r="M1375">
        <v>0</v>
      </c>
    </row>
    <row r="1376" spans="1:13">
      <c r="A1376">
        <v>1374</v>
      </c>
      <c r="B1376" t="s">
        <v>329</v>
      </c>
      <c r="C1376" t="s">
        <v>78</v>
      </c>
      <c r="D1376" t="s">
        <v>79</v>
      </c>
      <c r="E1376" t="s">
        <v>84</v>
      </c>
      <c r="F1376">
        <v>524288</v>
      </c>
      <c r="G1376">
        <f>MAX(I1374,I1375)</f>
        <v>2379406</v>
      </c>
      <c r="H1376">
        <f>CEILING((dram_access_latency+F1376/dram_bandwidth)*frequency,1)</f>
        <v>7811</v>
      </c>
      <c r="I1376">
        <f>G1376+H1376</f>
        <v>2387217</v>
      </c>
      <c r="J1376">
        <f>IF(AND(D1376&lt;&gt;"dram",D1376&lt;&gt;"control"),H1376,0)</f>
        <v>0</v>
      </c>
      <c r="K1376">
        <f>IF(D1376="dram",H1376,0)</f>
        <v>7811</v>
      </c>
      <c r="L1376">
        <v>524288</v>
      </c>
      <c r="M1376">
        <v>0</v>
      </c>
    </row>
    <row r="1377" spans="1:13">
      <c r="A1377">
        <v>1375</v>
      </c>
      <c r="B1377" t="s">
        <v>330</v>
      </c>
      <c r="C1377" t="s">
        <v>78</v>
      </c>
      <c r="D1377" t="s">
        <v>79</v>
      </c>
      <c r="E1377" t="s">
        <v>84</v>
      </c>
      <c r="F1377">
        <v>64</v>
      </c>
      <c r="G1377">
        <f>MAX(I1374,I1376)</f>
        <v>2387217</v>
      </c>
      <c r="H1377">
        <f>CEILING((dram_access_latency+F1377/dram_bandwidth)*frequency,1)</f>
        <v>101</v>
      </c>
      <c r="I1377">
        <f>G1377+H1377</f>
        <v>2387318</v>
      </c>
      <c r="J1377">
        <f>IF(AND(D1377&lt;&gt;"dram",D1377&lt;&gt;"control"),H1377,0)</f>
        <v>0</v>
      </c>
      <c r="K1377">
        <f>IF(D1377="dram",H1377,0)</f>
        <v>101</v>
      </c>
      <c r="L1377">
        <v>64</v>
      </c>
      <c r="M1377">
        <v>0</v>
      </c>
    </row>
    <row r="1378" spans="1:13">
      <c r="A1378">
        <v>1376</v>
      </c>
      <c r="B1378" t="s">
        <v>331</v>
      </c>
      <c r="C1378" t="s">
        <v>78</v>
      </c>
      <c r="D1378" t="s">
        <v>79</v>
      </c>
      <c r="E1378" t="s">
        <v>84</v>
      </c>
      <c r="F1378">
        <v>16384</v>
      </c>
      <c r="G1378">
        <f>MAX(I1374,I1377)</f>
        <v>2387318</v>
      </c>
      <c r="H1378">
        <f>CEILING((dram_access_latency+F1378/dram_bandwidth)*frequency,1)</f>
        <v>341</v>
      </c>
      <c r="I1378">
        <f>G1378+H1378</f>
        <v>2387659</v>
      </c>
      <c r="J1378">
        <f>IF(AND(D1378&lt;&gt;"dram",D1378&lt;&gt;"control"),H1378,0)</f>
        <v>0</v>
      </c>
      <c r="K1378">
        <f>IF(D1378="dram",H1378,0)</f>
        <v>341</v>
      </c>
      <c r="L1378">
        <v>16384</v>
      </c>
      <c r="M1378">
        <v>0</v>
      </c>
    </row>
    <row r="1379" spans="1:13">
      <c r="A1379">
        <v>1377</v>
      </c>
      <c r="B1379" t="s">
        <v>332</v>
      </c>
      <c r="C1379" t="s">
        <v>78</v>
      </c>
      <c r="D1379" t="s">
        <v>79</v>
      </c>
      <c r="E1379" t="s">
        <v>84</v>
      </c>
      <c r="F1379">
        <v>512</v>
      </c>
      <c r="G1379">
        <f>MAX(I1374,I1378)</f>
        <v>2387659</v>
      </c>
      <c r="H1379">
        <f>CEILING((dram_access_latency+F1379/dram_bandwidth)*frequency,1)</f>
        <v>108</v>
      </c>
      <c r="I1379">
        <f>G1379+H1379</f>
        <v>2387767</v>
      </c>
      <c r="J1379">
        <f>IF(AND(D1379&lt;&gt;"dram",D1379&lt;&gt;"control"),H1379,0)</f>
        <v>0</v>
      </c>
      <c r="K1379">
        <f>IF(D1379="dram",H1379,0)</f>
        <v>108</v>
      </c>
      <c r="L1379">
        <v>512</v>
      </c>
      <c r="M1379">
        <v>0</v>
      </c>
    </row>
    <row r="1380" spans="1:13">
      <c r="A1380">
        <v>1378</v>
      </c>
      <c r="B1380" t="s">
        <v>57</v>
      </c>
      <c r="C1380" t="s">
        <v>85</v>
      </c>
      <c r="D1380" t="s">
        <v>17</v>
      </c>
      <c r="E1380" t="s">
        <v>84</v>
      </c>
      <c r="F1380">
        <v>0</v>
      </c>
      <c r="G1380">
        <f>MAX(I1368,I1375,I1376,I1377,I1378,I1379)</f>
        <v>2387767</v>
      </c>
      <c r="H1380">
        <f>'Operations'!I24</f>
        <v>16384</v>
      </c>
      <c r="I1380">
        <f>G1380+H1380</f>
        <v>2404151</v>
      </c>
      <c r="J1380">
        <f>IF(AND(D1380&lt;&gt;"dram",D1380&lt;&gt;"control"),H1380,0)</f>
        <v>16384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329</v>
      </c>
      <c r="C1381" t="s">
        <v>78</v>
      </c>
      <c r="D1381" t="s">
        <v>79</v>
      </c>
      <c r="E1381" t="s">
        <v>101</v>
      </c>
      <c r="F1381">
        <v>524288</v>
      </c>
      <c r="G1381">
        <f>MAX(I1374,I1379)</f>
        <v>2387767</v>
      </c>
      <c r="H1381">
        <f>CEILING((dram_access_latency+F1381/dram_bandwidth)*frequency,1)</f>
        <v>7811</v>
      </c>
      <c r="I1381">
        <f>G1381+H1381</f>
        <v>2395578</v>
      </c>
      <c r="J1381">
        <f>IF(AND(D1381&lt;&gt;"dram",D1381&lt;&gt;"control"),H1381,0)</f>
        <v>0</v>
      </c>
      <c r="K1381">
        <f>IF(D1381="dram",H1381,0)</f>
        <v>7811</v>
      </c>
      <c r="L1381">
        <v>524288</v>
      </c>
      <c r="M1381">
        <v>0</v>
      </c>
    </row>
    <row r="1382" spans="1:13">
      <c r="A1382">
        <v>1380</v>
      </c>
      <c r="B1382" t="s">
        <v>331</v>
      </c>
      <c r="C1382" t="s">
        <v>78</v>
      </c>
      <c r="D1382" t="s">
        <v>79</v>
      </c>
      <c r="E1382" t="s">
        <v>101</v>
      </c>
      <c r="F1382">
        <v>16384</v>
      </c>
      <c r="G1382">
        <f>MAX(I1374,I1381)</f>
        <v>2395578</v>
      </c>
      <c r="H1382">
        <f>CEILING((dram_access_latency+F1382/dram_bandwidth)*frequency,1)</f>
        <v>341</v>
      </c>
      <c r="I1382">
        <f>G1382+H1382</f>
        <v>2395919</v>
      </c>
      <c r="J1382">
        <f>IF(AND(D1382&lt;&gt;"dram",D1382&lt;&gt;"control"),H1382,0)</f>
        <v>0</v>
      </c>
      <c r="K1382">
        <f>IF(D1382="dram",H1382,0)</f>
        <v>341</v>
      </c>
      <c r="L1382">
        <v>16384</v>
      </c>
      <c r="M1382">
        <v>0</v>
      </c>
    </row>
    <row r="1383" spans="1:13">
      <c r="A1383">
        <v>1381</v>
      </c>
      <c r="B1383" t="s">
        <v>332</v>
      </c>
      <c r="C1383" t="s">
        <v>78</v>
      </c>
      <c r="D1383" t="s">
        <v>79</v>
      </c>
      <c r="E1383" t="s">
        <v>101</v>
      </c>
      <c r="F1383">
        <v>512</v>
      </c>
      <c r="G1383">
        <f>MAX(I1374,I1382)</f>
        <v>2395919</v>
      </c>
      <c r="H1383">
        <f>CEILING((dram_access_latency+F1383/dram_bandwidth)*frequency,1)</f>
        <v>108</v>
      </c>
      <c r="I1383">
        <f>G1383+H1383</f>
        <v>2396027</v>
      </c>
      <c r="J1383">
        <f>IF(AND(D1383&lt;&gt;"dram",D1383&lt;&gt;"control"),H1383,0)</f>
        <v>0</v>
      </c>
      <c r="K1383">
        <f>IF(D1383="dram",H1383,0)</f>
        <v>108</v>
      </c>
      <c r="L1383">
        <v>512</v>
      </c>
      <c r="M1383">
        <v>0</v>
      </c>
    </row>
    <row r="1384" spans="1:13">
      <c r="A1384">
        <v>1382</v>
      </c>
      <c r="B1384" t="s">
        <v>57</v>
      </c>
      <c r="C1384" t="s">
        <v>85</v>
      </c>
      <c r="D1384" t="s">
        <v>17</v>
      </c>
      <c r="E1384" t="s">
        <v>101</v>
      </c>
      <c r="F1384">
        <v>0</v>
      </c>
      <c r="G1384">
        <f>MAX(I1380,I1375,I1381,I1377,I1382,I1383)</f>
        <v>2404151</v>
      </c>
      <c r="H1384">
        <f>'Operations'!I24</f>
        <v>16384</v>
      </c>
      <c r="I1384">
        <f>G1384+H1384</f>
        <v>2420535</v>
      </c>
      <c r="J1384">
        <f>IF(AND(D1384&lt;&gt;"dram",D1384&lt;&gt;"control"),H1384,0)</f>
        <v>16384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333</v>
      </c>
      <c r="C1385" t="s">
        <v>82</v>
      </c>
      <c r="D1385" t="s">
        <v>83</v>
      </c>
      <c r="E1385" t="s">
        <v>101</v>
      </c>
      <c r="F1385">
        <v>0</v>
      </c>
      <c r="G1385">
        <f>MAX(I1374,I1380)</f>
        <v>2379275</v>
      </c>
      <c r="H1385">
        <f>0</f>
        <v>24876</v>
      </c>
      <c r="I1385">
        <f>G1385+H1385</f>
        <v>2404151</v>
      </c>
      <c r="J1385">
        <f>IF(AND(D1385&lt;&gt;"dram",D1385&lt;&gt;"control"),H1385,0)</f>
        <v>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334</v>
      </c>
      <c r="C1386" t="s">
        <v>87</v>
      </c>
      <c r="D1386" t="s">
        <v>79</v>
      </c>
      <c r="E1386" t="s">
        <v>101</v>
      </c>
      <c r="F1386">
        <v>4</v>
      </c>
      <c r="G1386">
        <f>MAX(I1385,I1383)</f>
        <v>2404151</v>
      </c>
      <c r="H1386">
        <f>CEILING((dram_access_latency+F1386/dram_bandwidth)*frequency,1)</f>
        <v>101</v>
      </c>
      <c r="I1386">
        <f>G1386+H1386</f>
        <v>2404252</v>
      </c>
      <c r="J1386">
        <f>IF(AND(D1386&lt;&gt;"dram",D1386&lt;&gt;"control"),H1386,0)</f>
        <v>0</v>
      </c>
      <c r="K1386">
        <f>IF(D1386="dram",H1386,0)</f>
        <v>101</v>
      </c>
      <c r="L1386">
        <v>0</v>
      </c>
      <c r="M1386">
        <v>4</v>
      </c>
    </row>
    <row r="1387" spans="1:13">
      <c r="A1387">
        <v>1385</v>
      </c>
      <c r="B1387" t="s">
        <v>335</v>
      </c>
      <c r="C1387" t="s">
        <v>87</v>
      </c>
      <c r="D1387" t="s">
        <v>79</v>
      </c>
      <c r="E1387" t="s">
        <v>101</v>
      </c>
      <c r="F1387">
        <v>128</v>
      </c>
      <c r="G1387">
        <f>MAX(I1385,I1386)</f>
        <v>2404252</v>
      </c>
      <c r="H1387">
        <f>CEILING((dram_access_latency+F1387/dram_bandwidth)*frequency,1)</f>
        <v>102</v>
      </c>
      <c r="I1387">
        <f>G1387+H1387</f>
        <v>2404354</v>
      </c>
      <c r="J1387">
        <f>IF(AND(D1387&lt;&gt;"dram",D1387&lt;&gt;"control"),H1387,0)</f>
        <v>0</v>
      </c>
      <c r="K1387">
        <f>IF(D1387="dram",H1387,0)</f>
        <v>102</v>
      </c>
      <c r="L1387">
        <v>0</v>
      </c>
      <c r="M1387">
        <v>128</v>
      </c>
    </row>
    <row r="1388" spans="1:13">
      <c r="A1388">
        <v>1386</v>
      </c>
      <c r="B1388" t="s">
        <v>329</v>
      </c>
      <c r="C1388" t="s">
        <v>78</v>
      </c>
      <c r="D1388" t="s">
        <v>79</v>
      </c>
      <c r="E1388" t="s">
        <v>104</v>
      </c>
      <c r="F1388">
        <v>524288</v>
      </c>
      <c r="G1388">
        <f>MAX(I1385,I1387)</f>
        <v>2404354</v>
      </c>
      <c r="H1388">
        <f>CEILING((dram_access_latency+F1388/dram_bandwidth)*frequency,1)</f>
        <v>7811</v>
      </c>
      <c r="I1388">
        <f>G1388+H1388</f>
        <v>2412165</v>
      </c>
      <c r="J1388">
        <f>IF(AND(D1388&lt;&gt;"dram",D1388&lt;&gt;"control"),H1388,0)</f>
        <v>0</v>
      </c>
      <c r="K1388">
        <f>IF(D1388="dram",H1388,0)</f>
        <v>7811</v>
      </c>
      <c r="L1388">
        <v>524288</v>
      </c>
      <c r="M1388">
        <v>0</v>
      </c>
    </row>
    <row r="1389" spans="1:13">
      <c r="A1389">
        <v>1387</v>
      </c>
      <c r="B1389" t="s">
        <v>331</v>
      </c>
      <c r="C1389" t="s">
        <v>78</v>
      </c>
      <c r="D1389" t="s">
        <v>79</v>
      </c>
      <c r="E1389" t="s">
        <v>104</v>
      </c>
      <c r="F1389">
        <v>16384</v>
      </c>
      <c r="G1389">
        <f>MAX(I1385,I1388)</f>
        <v>2412165</v>
      </c>
      <c r="H1389">
        <f>CEILING((dram_access_latency+F1389/dram_bandwidth)*frequency,1)</f>
        <v>341</v>
      </c>
      <c r="I1389">
        <f>G1389+H1389</f>
        <v>2412506</v>
      </c>
      <c r="J1389">
        <f>IF(AND(D1389&lt;&gt;"dram",D1389&lt;&gt;"control"),H1389,0)</f>
        <v>0</v>
      </c>
      <c r="K1389">
        <f>IF(D1389="dram",H1389,0)</f>
        <v>341</v>
      </c>
      <c r="L1389">
        <v>16384</v>
      </c>
      <c r="M1389">
        <v>0</v>
      </c>
    </row>
    <row r="1390" spans="1:13">
      <c r="A1390">
        <v>1388</v>
      </c>
      <c r="B1390" t="s">
        <v>332</v>
      </c>
      <c r="C1390" t="s">
        <v>78</v>
      </c>
      <c r="D1390" t="s">
        <v>79</v>
      </c>
      <c r="E1390" t="s">
        <v>104</v>
      </c>
      <c r="F1390">
        <v>512</v>
      </c>
      <c r="G1390">
        <f>MAX(I1385,I1389)</f>
        <v>2412506</v>
      </c>
      <c r="H1390">
        <f>CEILING((dram_access_latency+F1390/dram_bandwidth)*frequency,1)</f>
        <v>108</v>
      </c>
      <c r="I1390">
        <f>G1390+H1390</f>
        <v>2412614</v>
      </c>
      <c r="J1390">
        <f>IF(AND(D1390&lt;&gt;"dram",D1390&lt;&gt;"control"),H1390,0)</f>
        <v>0</v>
      </c>
      <c r="K1390">
        <f>IF(D1390="dram",H1390,0)</f>
        <v>108</v>
      </c>
      <c r="L1390">
        <v>512</v>
      </c>
      <c r="M1390">
        <v>0</v>
      </c>
    </row>
    <row r="1391" spans="1:13">
      <c r="A1391">
        <v>1389</v>
      </c>
      <c r="B1391" t="s">
        <v>57</v>
      </c>
      <c r="C1391" t="s">
        <v>85</v>
      </c>
      <c r="D1391" t="s">
        <v>17</v>
      </c>
      <c r="E1391" t="s">
        <v>104</v>
      </c>
      <c r="F1391">
        <v>0</v>
      </c>
      <c r="G1391">
        <f>MAX(I1384,I1375,I1388,I1377,I1389,I1390,I1386,I1387)</f>
        <v>2420535</v>
      </c>
      <c r="H1391">
        <f>'Operations'!I24</f>
        <v>16384</v>
      </c>
      <c r="I1391">
        <f>G1391+H1391</f>
        <v>2436919</v>
      </c>
      <c r="J1391">
        <f>IF(AND(D1391&lt;&gt;"dram",D1391&lt;&gt;"control"),H1391,0)</f>
        <v>16384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333</v>
      </c>
      <c r="C1392" t="s">
        <v>82</v>
      </c>
      <c r="D1392" t="s">
        <v>83</v>
      </c>
      <c r="E1392" t="s">
        <v>104</v>
      </c>
      <c r="F1392">
        <v>0</v>
      </c>
      <c r="G1392">
        <f>MAX(I1385,I1384)</f>
        <v>2404151</v>
      </c>
      <c r="H1392">
        <f>0</f>
        <v>16384</v>
      </c>
      <c r="I1392">
        <f>G1392+H1392</f>
        <v>2420535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334</v>
      </c>
      <c r="C1393" t="s">
        <v>87</v>
      </c>
      <c r="D1393" t="s">
        <v>79</v>
      </c>
      <c r="E1393" t="s">
        <v>104</v>
      </c>
      <c r="F1393">
        <v>4</v>
      </c>
      <c r="G1393">
        <f>MAX(I1392,I1390)</f>
        <v>2420535</v>
      </c>
      <c r="H1393">
        <f>CEILING((dram_access_latency+F1393/dram_bandwidth)*frequency,1)</f>
        <v>101</v>
      </c>
      <c r="I1393">
        <f>G1393+H1393</f>
        <v>2420636</v>
      </c>
      <c r="J1393">
        <f>IF(AND(D1393&lt;&gt;"dram",D1393&lt;&gt;"control"),H1393,0)</f>
        <v>0</v>
      </c>
      <c r="K1393">
        <f>IF(D1393="dram",H1393,0)</f>
        <v>101</v>
      </c>
      <c r="L1393">
        <v>0</v>
      </c>
      <c r="M1393">
        <v>4</v>
      </c>
    </row>
    <row r="1394" spans="1:13">
      <c r="A1394">
        <v>1392</v>
      </c>
      <c r="B1394" t="s">
        <v>335</v>
      </c>
      <c r="C1394" t="s">
        <v>87</v>
      </c>
      <c r="D1394" t="s">
        <v>79</v>
      </c>
      <c r="E1394" t="s">
        <v>104</v>
      </c>
      <c r="F1394">
        <v>128</v>
      </c>
      <c r="G1394">
        <f>MAX(I1392,I1393)</f>
        <v>2420636</v>
      </c>
      <c r="H1394">
        <f>CEILING((dram_access_latency+F1394/dram_bandwidth)*frequency,1)</f>
        <v>102</v>
      </c>
      <c r="I1394">
        <f>G1394+H1394</f>
        <v>2420738</v>
      </c>
      <c r="J1394">
        <f>IF(AND(D1394&lt;&gt;"dram",D1394&lt;&gt;"control"),H1394,0)</f>
        <v>0</v>
      </c>
      <c r="K1394">
        <f>IF(D1394="dram",H1394,0)</f>
        <v>102</v>
      </c>
      <c r="L1394">
        <v>0</v>
      </c>
      <c r="M1394">
        <v>128</v>
      </c>
    </row>
    <row r="1395" spans="1:13">
      <c r="A1395">
        <v>1393</v>
      </c>
      <c r="B1395" t="s">
        <v>329</v>
      </c>
      <c r="C1395" t="s">
        <v>78</v>
      </c>
      <c r="D1395" t="s">
        <v>79</v>
      </c>
      <c r="E1395" t="s">
        <v>105</v>
      </c>
      <c r="F1395">
        <v>524288</v>
      </c>
      <c r="G1395">
        <f>MAX(I1392,I1394)</f>
        <v>2420738</v>
      </c>
      <c r="H1395">
        <f>CEILING((dram_access_latency+F1395/dram_bandwidth)*frequency,1)</f>
        <v>7811</v>
      </c>
      <c r="I1395">
        <f>G1395+H1395</f>
        <v>2428549</v>
      </c>
      <c r="J1395">
        <f>IF(AND(D1395&lt;&gt;"dram",D1395&lt;&gt;"control"),H1395,0)</f>
        <v>0</v>
      </c>
      <c r="K1395">
        <f>IF(D1395="dram",H1395,0)</f>
        <v>7811</v>
      </c>
      <c r="L1395">
        <v>524288</v>
      </c>
      <c r="M1395">
        <v>0</v>
      </c>
    </row>
    <row r="1396" spans="1:13">
      <c r="A1396">
        <v>1394</v>
      </c>
      <c r="B1396" t="s">
        <v>331</v>
      </c>
      <c r="C1396" t="s">
        <v>78</v>
      </c>
      <c r="D1396" t="s">
        <v>79</v>
      </c>
      <c r="E1396" t="s">
        <v>105</v>
      </c>
      <c r="F1396">
        <v>16384</v>
      </c>
      <c r="G1396">
        <f>MAX(I1392,I1395)</f>
        <v>2428549</v>
      </c>
      <c r="H1396">
        <f>CEILING((dram_access_latency+F1396/dram_bandwidth)*frequency,1)</f>
        <v>341</v>
      </c>
      <c r="I1396">
        <f>G1396+H1396</f>
        <v>2428890</v>
      </c>
      <c r="J1396">
        <f>IF(AND(D1396&lt;&gt;"dram",D1396&lt;&gt;"control"),H1396,0)</f>
        <v>0</v>
      </c>
      <c r="K1396">
        <f>IF(D1396="dram",H1396,0)</f>
        <v>341</v>
      </c>
      <c r="L1396">
        <v>16384</v>
      </c>
      <c r="M1396">
        <v>0</v>
      </c>
    </row>
    <row r="1397" spans="1:13">
      <c r="A1397">
        <v>1395</v>
      </c>
      <c r="B1397" t="s">
        <v>332</v>
      </c>
      <c r="C1397" t="s">
        <v>78</v>
      </c>
      <c r="D1397" t="s">
        <v>79</v>
      </c>
      <c r="E1397" t="s">
        <v>105</v>
      </c>
      <c r="F1397">
        <v>512</v>
      </c>
      <c r="G1397">
        <f>MAX(I1392,I1396)</f>
        <v>2428890</v>
      </c>
      <c r="H1397">
        <f>CEILING((dram_access_latency+F1397/dram_bandwidth)*frequency,1)</f>
        <v>108</v>
      </c>
      <c r="I1397">
        <f>G1397+H1397</f>
        <v>2428998</v>
      </c>
      <c r="J1397">
        <f>IF(AND(D1397&lt;&gt;"dram",D1397&lt;&gt;"control"),H1397,0)</f>
        <v>0</v>
      </c>
      <c r="K1397">
        <f>IF(D1397="dram",H1397,0)</f>
        <v>108</v>
      </c>
      <c r="L1397">
        <v>512</v>
      </c>
      <c r="M1397">
        <v>0</v>
      </c>
    </row>
    <row r="1398" spans="1:13">
      <c r="A1398">
        <v>1396</v>
      </c>
      <c r="B1398" t="s">
        <v>57</v>
      </c>
      <c r="C1398" t="s">
        <v>85</v>
      </c>
      <c r="D1398" t="s">
        <v>17</v>
      </c>
      <c r="E1398" t="s">
        <v>105</v>
      </c>
      <c r="F1398">
        <v>0</v>
      </c>
      <c r="G1398">
        <f>MAX(I1391,I1375,I1395,I1377,I1396,I1397,I1393,I1394)</f>
        <v>2436919</v>
      </c>
      <c r="H1398">
        <f>'Operations'!I24</f>
        <v>16384</v>
      </c>
      <c r="I1398">
        <f>G1398+H1398</f>
        <v>2453303</v>
      </c>
      <c r="J1398">
        <f>IF(AND(D1398&lt;&gt;"dram",D1398&lt;&gt;"control"),H1398,0)</f>
        <v>16384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333</v>
      </c>
      <c r="C1399" t="s">
        <v>82</v>
      </c>
      <c r="D1399" t="s">
        <v>83</v>
      </c>
      <c r="E1399" t="s">
        <v>105</v>
      </c>
      <c r="F1399">
        <v>0</v>
      </c>
      <c r="G1399">
        <f>MAX(I1392,I1391)</f>
        <v>2420535</v>
      </c>
      <c r="H1399">
        <f>0</f>
        <v>16384</v>
      </c>
      <c r="I1399">
        <f>G1399+H1399</f>
        <v>2436919</v>
      </c>
      <c r="J1399">
        <f>IF(AND(D1399&lt;&gt;"dram",D1399&lt;&gt;"control"),H1399,0)</f>
        <v>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334</v>
      </c>
      <c r="C1400" t="s">
        <v>87</v>
      </c>
      <c r="D1400" t="s">
        <v>79</v>
      </c>
      <c r="E1400" t="s">
        <v>105</v>
      </c>
      <c r="F1400">
        <v>4</v>
      </c>
      <c r="G1400">
        <f>MAX(I1399,I1397)</f>
        <v>2436919</v>
      </c>
      <c r="H1400">
        <f>CEILING((dram_access_latency+F1400/dram_bandwidth)*frequency,1)</f>
        <v>101</v>
      </c>
      <c r="I1400">
        <f>G1400+H1400</f>
        <v>2437020</v>
      </c>
      <c r="J1400">
        <f>IF(AND(D1400&lt;&gt;"dram",D1400&lt;&gt;"control"),H1400,0)</f>
        <v>0</v>
      </c>
      <c r="K1400">
        <f>IF(D1400="dram",H1400,0)</f>
        <v>101</v>
      </c>
      <c r="L1400">
        <v>0</v>
      </c>
      <c r="M1400">
        <v>4</v>
      </c>
    </row>
    <row r="1401" spans="1:13">
      <c r="A1401">
        <v>1399</v>
      </c>
      <c r="B1401" t="s">
        <v>335</v>
      </c>
      <c r="C1401" t="s">
        <v>87</v>
      </c>
      <c r="D1401" t="s">
        <v>79</v>
      </c>
      <c r="E1401" t="s">
        <v>105</v>
      </c>
      <c r="F1401">
        <v>128</v>
      </c>
      <c r="G1401">
        <f>MAX(I1399,I1400)</f>
        <v>2437020</v>
      </c>
      <c r="H1401">
        <f>CEILING((dram_access_latency+F1401/dram_bandwidth)*frequency,1)</f>
        <v>102</v>
      </c>
      <c r="I1401">
        <f>G1401+H1401</f>
        <v>2437122</v>
      </c>
      <c r="J1401">
        <f>IF(AND(D1401&lt;&gt;"dram",D1401&lt;&gt;"control"),H1401,0)</f>
        <v>0</v>
      </c>
      <c r="K1401">
        <f>IF(D1401="dram",H1401,0)</f>
        <v>102</v>
      </c>
      <c r="L1401">
        <v>0</v>
      </c>
      <c r="M1401">
        <v>128</v>
      </c>
    </row>
    <row r="1402" spans="1:13">
      <c r="A1402">
        <v>1400</v>
      </c>
      <c r="B1402" t="s">
        <v>329</v>
      </c>
      <c r="C1402" t="s">
        <v>78</v>
      </c>
      <c r="D1402" t="s">
        <v>79</v>
      </c>
      <c r="E1402" t="s">
        <v>183</v>
      </c>
      <c r="F1402">
        <v>524288</v>
      </c>
      <c r="G1402">
        <f>MAX(I1399,I1401)</f>
        <v>2437122</v>
      </c>
      <c r="H1402">
        <f>CEILING((dram_access_latency+F1402/dram_bandwidth)*frequency,1)</f>
        <v>7811</v>
      </c>
      <c r="I1402">
        <f>G1402+H1402</f>
        <v>2444933</v>
      </c>
      <c r="J1402">
        <f>IF(AND(D1402&lt;&gt;"dram",D1402&lt;&gt;"control"),H1402,0)</f>
        <v>0</v>
      </c>
      <c r="K1402">
        <f>IF(D1402="dram",H1402,0)</f>
        <v>7811</v>
      </c>
      <c r="L1402">
        <v>524288</v>
      </c>
      <c r="M1402">
        <v>0</v>
      </c>
    </row>
    <row r="1403" spans="1:13">
      <c r="A1403">
        <v>1401</v>
      </c>
      <c r="B1403" t="s">
        <v>331</v>
      </c>
      <c r="C1403" t="s">
        <v>78</v>
      </c>
      <c r="D1403" t="s">
        <v>79</v>
      </c>
      <c r="E1403" t="s">
        <v>183</v>
      </c>
      <c r="F1403">
        <v>16384</v>
      </c>
      <c r="G1403">
        <f>MAX(I1399,I1402)</f>
        <v>2444933</v>
      </c>
      <c r="H1403">
        <f>CEILING((dram_access_latency+F1403/dram_bandwidth)*frequency,1)</f>
        <v>341</v>
      </c>
      <c r="I1403">
        <f>G1403+H1403</f>
        <v>2445274</v>
      </c>
      <c r="J1403">
        <f>IF(AND(D1403&lt;&gt;"dram",D1403&lt;&gt;"control"),H1403,0)</f>
        <v>0</v>
      </c>
      <c r="K1403">
        <f>IF(D1403="dram",H1403,0)</f>
        <v>341</v>
      </c>
      <c r="L1403">
        <v>16384</v>
      </c>
      <c r="M1403">
        <v>0</v>
      </c>
    </row>
    <row r="1404" spans="1:13">
      <c r="A1404">
        <v>1402</v>
      </c>
      <c r="B1404" t="s">
        <v>332</v>
      </c>
      <c r="C1404" t="s">
        <v>78</v>
      </c>
      <c r="D1404" t="s">
        <v>79</v>
      </c>
      <c r="E1404" t="s">
        <v>183</v>
      </c>
      <c r="F1404">
        <v>512</v>
      </c>
      <c r="G1404">
        <f>MAX(I1399,I1403)</f>
        <v>2445274</v>
      </c>
      <c r="H1404">
        <f>CEILING((dram_access_latency+F1404/dram_bandwidth)*frequency,1)</f>
        <v>108</v>
      </c>
      <c r="I1404">
        <f>G1404+H1404</f>
        <v>2445382</v>
      </c>
      <c r="J1404">
        <f>IF(AND(D1404&lt;&gt;"dram",D1404&lt;&gt;"control"),H1404,0)</f>
        <v>0</v>
      </c>
      <c r="K1404">
        <f>IF(D1404="dram",H1404,0)</f>
        <v>108</v>
      </c>
      <c r="L1404">
        <v>512</v>
      </c>
      <c r="M1404">
        <v>0</v>
      </c>
    </row>
    <row r="1405" spans="1:13">
      <c r="A1405">
        <v>1403</v>
      </c>
      <c r="B1405" t="s">
        <v>57</v>
      </c>
      <c r="C1405" t="s">
        <v>85</v>
      </c>
      <c r="D1405" t="s">
        <v>17</v>
      </c>
      <c r="E1405" t="s">
        <v>183</v>
      </c>
      <c r="F1405">
        <v>0</v>
      </c>
      <c r="G1405">
        <f>MAX(I1398,I1375,I1402,I1377,I1403,I1404,I1400,I1401)</f>
        <v>2453303</v>
      </c>
      <c r="H1405">
        <f>'Operations'!I24</f>
        <v>16384</v>
      </c>
      <c r="I1405">
        <f>G1405+H1405</f>
        <v>2469687</v>
      </c>
      <c r="J1405">
        <f>IF(AND(D1405&lt;&gt;"dram",D1405&lt;&gt;"control"),H1405,0)</f>
        <v>16384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333</v>
      </c>
      <c r="C1406" t="s">
        <v>82</v>
      </c>
      <c r="D1406" t="s">
        <v>83</v>
      </c>
      <c r="E1406" t="s">
        <v>183</v>
      </c>
      <c r="F1406">
        <v>0</v>
      </c>
      <c r="G1406">
        <f>MAX(I1399,I1398)</f>
        <v>2436919</v>
      </c>
      <c r="H1406">
        <f>0</f>
        <v>16384</v>
      </c>
      <c r="I1406">
        <f>G1406+H1406</f>
        <v>2453303</v>
      </c>
      <c r="J1406">
        <f>IF(AND(D1406&lt;&gt;"dram",D1406&lt;&gt;"control"),H1406,0)</f>
        <v>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334</v>
      </c>
      <c r="C1407" t="s">
        <v>87</v>
      </c>
      <c r="D1407" t="s">
        <v>79</v>
      </c>
      <c r="E1407" t="s">
        <v>183</v>
      </c>
      <c r="F1407">
        <v>4</v>
      </c>
      <c r="G1407">
        <f>MAX(I1406,I1404)</f>
        <v>2453303</v>
      </c>
      <c r="H1407">
        <f>CEILING((dram_access_latency+F1407/dram_bandwidth)*frequency,1)</f>
        <v>101</v>
      </c>
      <c r="I1407">
        <f>G1407+H1407</f>
        <v>2453404</v>
      </c>
      <c r="J1407">
        <f>IF(AND(D1407&lt;&gt;"dram",D1407&lt;&gt;"control"),H1407,0)</f>
        <v>0</v>
      </c>
      <c r="K1407">
        <f>IF(D1407="dram",H1407,0)</f>
        <v>101</v>
      </c>
      <c r="L1407">
        <v>0</v>
      </c>
      <c r="M1407">
        <v>4</v>
      </c>
    </row>
    <row r="1408" spans="1:13">
      <c r="A1408">
        <v>1406</v>
      </c>
      <c r="B1408" t="s">
        <v>335</v>
      </c>
      <c r="C1408" t="s">
        <v>87</v>
      </c>
      <c r="D1408" t="s">
        <v>79</v>
      </c>
      <c r="E1408" t="s">
        <v>183</v>
      </c>
      <c r="F1408">
        <v>128</v>
      </c>
      <c r="G1408">
        <f>MAX(I1406,I1407)</f>
        <v>2453404</v>
      </c>
      <c r="H1408">
        <f>CEILING((dram_access_latency+F1408/dram_bandwidth)*frequency,1)</f>
        <v>102</v>
      </c>
      <c r="I1408">
        <f>G1408+H1408</f>
        <v>2453506</v>
      </c>
      <c r="J1408">
        <f>IF(AND(D1408&lt;&gt;"dram",D1408&lt;&gt;"control"),H1408,0)</f>
        <v>0</v>
      </c>
      <c r="K1408">
        <f>IF(D1408="dram",H1408,0)</f>
        <v>102</v>
      </c>
      <c r="L1408">
        <v>0</v>
      </c>
      <c r="M1408">
        <v>128</v>
      </c>
    </row>
    <row r="1409" spans="1:13">
      <c r="A1409">
        <v>1407</v>
      </c>
      <c r="B1409" t="s">
        <v>329</v>
      </c>
      <c r="C1409" t="s">
        <v>78</v>
      </c>
      <c r="D1409" t="s">
        <v>79</v>
      </c>
      <c r="E1409" t="s">
        <v>184</v>
      </c>
      <c r="F1409">
        <v>524288</v>
      </c>
      <c r="G1409">
        <f>MAX(I1406,I1408)</f>
        <v>2453506</v>
      </c>
      <c r="H1409">
        <f>CEILING((dram_access_latency+F1409/dram_bandwidth)*frequency,1)</f>
        <v>7811</v>
      </c>
      <c r="I1409">
        <f>G1409+H1409</f>
        <v>2461317</v>
      </c>
      <c r="J1409">
        <f>IF(AND(D1409&lt;&gt;"dram",D1409&lt;&gt;"control"),H1409,0)</f>
        <v>0</v>
      </c>
      <c r="K1409">
        <f>IF(D1409="dram",H1409,0)</f>
        <v>7811</v>
      </c>
      <c r="L1409">
        <v>524288</v>
      </c>
      <c r="M1409">
        <v>0</v>
      </c>
    </row>
    <row r="1410" spans="1:13">
      <c r="A1410">
        <v>1408</v>
      </c>
      <c r="B1410" t="s">
        <v>331</v>
      </c>
      <c r="C1410" t="s">
        <v>78</v>
      </c>
      <c r="D1410" t="s">
        <v>79</v>
      </c>
      <c r="E1410" t="s">
        <v>184</v>
      </c>
      <c r="F1410">
        <v>16384</v>
      </c>
      <c r="G1410">
        <f>MAX(I1406,I1409)</f>
        <v>2461317</v>
      </c>
      <c r="H1410">
        <f>CEILING((dram_access_latency+F1410/dram_bandwidth)*frequency,1)</f>
        <v>341</v>
      </c>
      <c r="I1410">
        <f>G1410+H1410</f>
        <v>2461658</v>
      </c>
      <c r="J1410">
        <f>IF(AND(D1410&lt;&gt;"dram",D1410&lt;&gt;"control"),H1410,0)</f>
        <v>0</v>
      </c>
      <c r="K1410">
        <f>IF(D1410="dram",H1410,0)</f>
        <v>341</v>
      </c>
      <c r="L1410">
        <v>16384</v>
      </c>
      <c r="M1410">
        <v>0</v>
      </c>
    </row>
    <row r="1411" spans="1:13">
      <c r="A1411">
        <v>1409</v>
      </c>
      <c r="B1411" t="s">
        <v>332</v>
      </c>
      <c r="C1411" t="s">
        <v>78</v>
      </c>
      <c r="D1411" t="s">
        <v>79</v>
      </c>
      <c r="E1411" t="s">
        <v>184</v>
      </c>
      <c r="F1411">
        <v>512</v>
      </c>
      <c r="G1411">
        <f>MAX(I1406,I1410)</f>
        <v>2461658</v>
      </c>
      <c r="H1411">
        <f>CEILING((dram_access_latency+F1411/dram_bandwidth)*frequency,1)</f>
        <v>108</v>
      </c>
      <c r="I1411">
        <f>G1411+H1411</f>
        <v>2461766</v>
      </c>
      <c r="J1411">
        <f>IF(AND(D1411&lt;&gt;"dram",D1411&lt;&gt;"control"),H1411,0)</f>
        <v>0</v>
      </c>
      <c r="K1411">
        <f>IF(D1411="dram",H1411,0)</f>
        <v>108</v>
      </c>
      <c r="L1411">
        <v>512</v>
      </c>
      <c r="M1411">
        <v>0</v>
      </c>
    </row>
    <row r="1412" spans="1:13">
      <c r="A1412">
        <v>1410</v>
      </c>
      <c r="B1412" t="s">
        <v>57</v>
      </c>
      <c r="C1412" t="s">
        <v>85</v>
      </c>
      <c r="D1412" t="s">
        <v>17</v>
      </c>
      <c r="E1412" t="s">
        <v>184</v>
      </c>
      <c r="F1412">
        <v>0</v>
      </c>
      <c r="G1412">
        <f>MAX(I1405,I1375,I1409,I1377,I1410,I1411,I1407,I1408)</f>
        <v>2469687</v>
      </c>
      <c r="H1412">
        <f>'Operations'!I24</f>
        <v>16384</v>
      </c>
      <c r="I1412">
        <f>G1412+H1412</f>
        <v>2486071</v>
      </c>
      <c r="J1412">
        <f>IF(AND(D1412&lt;&gt;"dram",D1412&lt;&gt;"control"),H1412,0)</f>
        <v>16384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333</v>
      </c>
      <c r="C1413" t="s">
        <v>82</v>
      </c>
      <c r="D1413" t="s">
        <v>83</v>
      </c>
      <c r="E1413" t="s">
        <v>184</v>
      </c>
      <c r="F1413">
        <v>0</v>
      </c>
      <c r="G1413">
        <f>MAX(I1406,I1405)</f>
        <v>2453303</v>
      </c>
      <c r="H1413">
        <f>0</f>
        <v>16384</v>
      </c>
      <c r="I1413">
        <f>G1413+H1413</f>
        <v>2469687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334</v>
      </c>
      <c r="C1414" t="s">
        <v>87</v>
      </c>
      <c r="D1414" t="s">
        <v>79</v>
      </c>
      <c r="E1414" t="s">
        <v>184</v>
      </c>
      <c r="F1414">
        <v>4</v>
      </c>
      <c r="G1414">
        <f>MAX(I1413,I1411)</f>
        <v>2469687</v>
      </c>
      <c r="H1414">
        <f>CEILING((dram_access_latency+F1414/dram_bandwidth)*frequency,1)</f>
        <v>101</v>
      </c>
      <c r="I1414">
        <f>G1414+H1414</f>
        <v>2469788</v>
      </c>
      <c r="J1414">
        <f>IF(AND(D1414&lt;&gt;"dram",D1414&lt;&gt;"control"),H1414,0)</f>
        <v>0</v>
      </c>
      <c r="K1414">
        <f>IF(D1414="dram",H1414,0)</f>
        <v>101</v>
      </c>
      <c r="L1414">
        <v>0</v>
      </c>
      <c r="M1414">
        <v>4</v>
      </c>
    </row>
    <row r="1415" spans="1:13">
      <c r="A1415">
        <v>1413</v>
      </c>
      <c r="B1415" t="s">
        <v>335</v>
      </c>
      <c r="C1415" t="s">
        <v>87</v>
      </c>
      <c r="D1415" t="s">
        <v>79</v>
      </c>
      <c r="E1415" t="s">
        <v>184</v>
      </c>
      <c r="F1415">
        <v>128</v>
      </c>
      <c r="G1415">
        <f>MAX(I1413,I1414)</f>
        <v>2469788</v>
      </c>
      <c r="H1415">
        <f>CEILING((dram_access_latency+F1415/dram_bandwidth)*frequency,1)</f>
        <v>102</v>
      </c>
      <c r="I1415">
        <f>G1415+H1415</f>
        <v>2469890</v>
      </c>
      <c r="J1415">
        <f>IF(AND(D1415&lt;&gt;"dram",D1415&lt;&gt;"control"),H1415,0)</f>
        <v>0</v>
      </c>
      <c r="K1415">
        <f>IF(D1415="dram",H1415,0)</f>
        <v>102</v>
      </c>
      <c r="L1415">
        <v>0</v>
      </c>
      <c r="M1415">
        <v>128</v>
      </c>
    </row>
    <row r="1416" spans="1:13">
      <c r="A1416">
        <v>1414</v>
      </c>
      <c r="B1416" t="s">
        <v>329</v>
      </c>
      <c r="C1416" t="s">
        <v>78</v>
      </c>
      <c r="D1416" t="s">
        <v>79</v>
      </c>
      <c r="E1416" t="s">
        <v>185</v>
      </c>
      <c r="F1416">
        <v>524288</v>
      </c>
      <c r="G1416">
        <f>MAX(I1413,I1415)</f>
        <v>2469890</v>
      </c>
      <c r="H1416">
        <f>CEILING((dram_access_latency+F1416/dram_bandwidth)*frequency,1)</f>
        <v>7811</v>
      </c>
      <c r="I1416">
        <f>G1416+H1416</f>
        <v>2477701</v>
      </c>
      <c r="J1416">
        <f>IF(AND(D1416&lt;&gt;"dram",D1416&lt;&gt;"control"),H1416,0)</f>
        <v>0</v>
      </c>
      <c r="K1416">
        <f>IF(D1416="dram",H1416,0)</f>
        <v>7811</v>
      </c>
      <c r="L1416">
        <v>524288</v>
      </c>
      <c r="M1416">
        <v>0</v>
      </c>
    </row>
    <row r="1417" spans="1:13">
      <c r="A1417">
        <v>1415</v>
      </c>
      <c r="B1417" t="s">
        <v>331</v>
      </c>
      <c r="C1417" t="s">
        <v>78</v>
      </c>
      <c r="D1417" t="s">
        <v>79</v>
      </c>
      <c r="E1417" t="s">
        <v>185</v>
      </c>
      <c r="F1417">
        <v>16384</v>
      </c>
      <c r="G1417">
        <f>MAX(I1413,I1416)</f>
        <v>2477701</v>
      </c>
      <c r="H1417">
        <f>CEILING((dram_access_latency+F1417/dram_bandwidth)*frequency,1)</f>
        <v>341</v>
      </c>
      <c r="I1417">
        <f>G1417+H1417</f>
        <v>2478042</v>
      </c>
      <c r="J1417">
        <f>IF(AND(D1417&lt;&gt;"dram",D1417&lt;&gt;"control"),H1417,0)</f>
        <v>0</v>
      </c>
      <c r="K1417">
        <f>IF(D1417="dram",H1417,0)</f>
        <v>341</v>
      </c>
      <c r="L1417">
        <v>16384</v>
      </c>
      <c r="M1417">
        <v>0</v>
      </c>
    </row>
    <row r="1418" spans="1:13">
      <c r="A1418">
        <v>1416</v>
      </c>
      <c r="B1418" t="s">
        <v>332</v>
      </c>
      <c r="C1418" t="s">
        <v>78</v>
      </c>
      <c r="D1418" t="s">
        <v>79</v>
      </c>
      <c r="E1418" t="s">
        <v>185</v>
      </c>
      <c r="F1418">
        <v>512</v>
      </c>
      <c r="G1418">
        <f>MAX(I1413,I1417)</f>
        <v>2478042</v>
      </c>
      <c r="H1418">
        <f>CEILING((dram_access_latency+F1418/dram_bandwidth)*frequency,1)</f>
        <v>108</v>
      </c>
      <c r="I1418">
        <f>G1418+H1418</f>
        <v>2478150</v>
      </c>
      <c r="J1418">
        <f>IF(AND(D1418&lt;&gt;"dram",D1418&lt;&gt;"control"),H1418,0)</f>
        <v>0</v>
      </c>
      <c r="K1418">
        <f>IF(D1418="dram",H1418,0)</f>
        <v>108</v>
      </c>
      <c r="L1418">
        <v>512</v>
      </c>
      <c r="M1418">
        <v>0</v>
      </c>
    </row>
    <row r="1419" spans="1:13">
      <c r="A1419">
        <v>1417</v>
      </c>
      <c r="B1419" t="s">
        <v>57</v>
      </c>
      <c r="C1419" t="s">
        <v>85</v>
      </c>
      <c r="D1419" t="s">
        <v>17</v>
      </c>
      <c r="E1419" t="s">
        <v>185</v>
      </c>
      <c r="F1419">
        <v>0</v>
      </c>
      <c r="G1419">
        <f>MAX(I1412,I1375,I1416,I1377,I1417,I1418,I1414,I1415)</f>
        <v>2486071</v>
      </c>
      <c r="H1419">
        <f>'Operations'!I24</f>
        <v>16384</v>
      </c>
      <c r="I1419">
        <f>G1419+H1419</f>
        <v>2502455</v>
      </c>
      <c r="J1419">
        <f>IF(AND(D1419&lt;&gt;"dram",D1419&lt;&gt;"control"),H1419,0)</f>
        <v>16384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333</v>
      </c>
      <c r="C1420" t="s">
        <v>82</v>
      </c>
      <c r="D1420" t="s">
        <v>83</v>
      </c>
      <c r="E1420" t="s">
        <v>185</v>
      </c>
      <c r="F1420">
        <v>0</v>
      </c>
      <c r="G1420">
        <f>MAX(I1413,I1412)</f>
        <v>2469687</v>
      </c>
      <c r="H1420">
        <f>0</f>
        <v>16384</v>
      </c>
      <c r="I1420">
        <f>G1420+H1420</f>
        <v>2486071</v>
      </c>
      <c r="J1420">
        <f>IF(AND(D1420&lt;&gt;"dram",D1420&lt;&gt;"control"),H1420,0)</f>
        <v>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334</v>
      </c>
      <c r="C1421" t="s">
        <v>87</v>
      </c>
      <c r="D1421" t="s">
        <v>79</v>
      </c>
      <c r="E1421" t="s">
        <v>185</v>
      </c>
      <c r="F1421">
        <v>4</v>
      </c>
      <c r="G1421">
        <f>MAX(I1420,I1418)</f>
        <v>2486071</v>
      </c>
      <c r="H1421">
        <f>CEILING((dram_access_latency+F1421/dram_bandwidth)*frequency,1)</f>
        <v>101</v>
      </c>
      <c r="I1421">
        <f>G1421+H1421</f>
        <v>2486172</v>
      </c>
      <c r="J1421">
        <f>IF(AND(D1421&lt;&gt;"dram",D1421&lt;&gt;"control"),H1421,0)</f>
        <v>0</v>
      </c>
      <c r="K1421">
        <f>IF(D1421="dram",H1421,0)</f>
        <v>101</v>
      </c>
      <c r="L1421">
        <v>0</v>
      </c>
      <c r="M1421">
        <v>4</v>
      </c>
    </row>
    <row r="1422" spans="1:13">
      <c r="A1422">
        <v>1420</v>
      </c>
      <c r="B1422" t="s">
        <v>335</v>
      </c>
      <c r="C1422" t="s">
        <v>87</v>
      </c>
      <c r="D1422" t="s">
        <v>79</v>
      </c>
      <c r="E1422" t="s">
        <v>185</v>
      </c>
      <c r="F1422">
        <v>128</v>
      </c>
      <c r="G1422">
        <f>MAX(I1420,I1421)</f>
        <v>2486172</v>
      </c>
      <c r="H1422">
        <f>CEILING((dram_access_latency+F1422/dram_bandwidth)*frequency,1)</f>
        <v>102</v>
      </c>
      <c r="I1422">
        <f>G1422+H1422</f>
        <v>2486274</v>
      </c>
      <c r="J1422">
        <f>IF(AND(D1422&lt;&gt;"dram",D1422&lt;&gt;"control"),H1422,0)</f>
        <v>0</v>
      </c>
      <c r="K1422">
        <f>IF(D1422="dram",H1422,0)</f>
        <v>102</v>
      </c>
      <c r="L1422">
        <v>0</v>
      </c>
      <c r="M1422">
        <v>128</v>
      </c>
    </row>
    <row r="1423" spans="1:13">
      <c r="A1423">
        <v>1421</v>
      </c>
      <c r="B1423" t="s">
        <v>329</v>
      </c>
      <c r="C1423" t="s">
        <v>78</v>
      </c>
      <c r="D1423" t="s">
        <v>79</v>
      </c>
      <c r="E1423" t="s">
        <v>186</v>
      </c>
      <c r="F1423">
        <v>524288</v>
      </c>
      <c r="G1423">
        <f>MAX(I1420,I1422)</f>
        <v>2486274</v>
      </c>
      <c r="H1423">
        <f>CEILING((dram_access_latency+F1423/dram_bandwidth)*frequency,1)</f>
        <v>7811</v>
      </c>
      <c r="I1423">
        <f>G1423+H1423</f>
        <v>2494085</v>
      </c>
      <c r="J1423">
        <f>IF(AND(D1423&lt;&gt;"dram",D1423&lt;&gt;"control"),H1423,0)</f>
        <v>0</v>
      </c>
      <c r="K1423">
        <f>IF(D1423="dram",H1423,0)</f>
        <v>7811</v>
      </c>
      <c r="L1423">
        <v>524288</v>
      </c>
      <c r="M1423">
        <v>0</v>
      </c>
    </row>
    <row r="1424" spans="1:13">
      <c r="A1424">
        <v>1422</v>
      </c>
      <c r="B1424" t="s">
        <v>331</v>
      </c>
      <c r="C1424" t="s">
        <v>78</v>
      </c>
      <c r="D1424" t="s">
        <v>79</v>
      </c>
      <c r="E1424" t="s">
        <v>186</v>
      </c>
      <c r="F1424">
        <v>16384</v>
      </c>
      <c r="G1424">
        <f>MAX(I1420,I1423)</f>
        <v>2494085</v>
      </c>
      <c r="H1424">
        <f>CEILING((dram_access_latency+F1424/dram_bandwidth)*frequency,1)</f>
        <v>341</v>
      </c>
      <c r="I1424">
        <f>G1424+H1424</f>
        <v>2494426</v>
      </c>
      <c r="J1424">
        <f>IF(AND(D1424&lt;&gt;"dram",D1424&lt;&gt;"control"),H1424,0)</f>
        <v>0</v>
      </c>
      <c r="K1424">
        <f>IF(D1424="dram",H1424,0)</f>
        <v>341</v>
      </c>
      <c r="L1424">
        <v>16384</v>
      </c>
      <c r="M1424">
        <v>0</v>
      </c>
    </row>
    <row r="1425" spans="1:13">
      <c r="A1425">
        <v>1423</v>
      </c>
      <c r="B1425" t="s">
        <v>332</v>
      </c>
      <c r="C1425" t="s">
        <v>78</v>
      </c>
      <c r="D1425" t="s">
        <v>79</v>
      </c>
      <c r="E1425" t="s">
        <v>186</v>
      </c>
      <c r="F1425">
        <v>512</v>
      </c>
      <c r="G1425">
        <f>MAX(I1420,I1424)</f>
        <v>2494426</v>
      </c>
      <c r="H1425">
        <f>CEILING((dram_access_latency+F1425/dram_bandwidth)*frequency,1)</f>
        <v>108</v>
      </c>
      <c r="I1425">
        <f>G1425+H1425</f>
        <v>2494534</v>
      </c>
      <c r="J1425">
        <f>IF(AND(D1425&lt;&gt;"dram",D1425&lt;&gt;"control"),H1425,0)</f>
        <v>0</v>
      </c>
      <c r="K1425">
        <f>IF(D1425="dram",H1425,0)</f>
        <v>108</v>
      </c>
      <c r="L1425">
        <v>512</v>
      </c>
      <c r="M1425">
        <v>0</v>
      </c>
    </row>
    <row r="1426" spans="1:13">
      <c r="A1426">
        <v>1424</v>
      </c>
      <c r="B1426" t="s">
        <v>57</v>
      </c>
      <c r="C1426" t="s">
        <v>85</v>
      </c>
      <c r="D1426" t="s">
        <v>17</v>
      </c>
      <c r="E1426" t="s">
        <v>186</v>
      </c>
      <c r="F1426">
        <v>0</v>
      </c>
      <c r="G1426">
        <f>MAX(I1419,I1375,I1423,I1377,I1424,I1425,I1421,I1422)</f>
        <v>2502455</v>
      </c>
      <c r="H1426">
        <f>'Operations'!I24</f>
        <v>16384</v>
      </c>
      <c r="I1426">
        <f>G1426+H1426</f>
        <v>2518839</v>
      </c>
      <c r="J1426">
        <f>IF(AND(D1426&lt;&gt;"dram",D1426&lt;&gt;"control"),H1426,0)</f>
        <v>16384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333</v>
      </c>
      <c r="C1427" t="s">
        <v>82</v>
      </c>
      <c r="D1427" t="s">
        <v>83</v>
      </c>
      <c r="E1427" t="s">
        <v>186</v>
      </c>
      <c r="F1427">
        <v>0</v>
      </c>
      <c r="G1427">
        <f>MAX(I1420,I1419)</f>
        <v>2486071</v>
      </c>
      <c r="H1427">
        <f>0</f>
        <v>16384</v>
      </c>
      <c r="I1427">
        <f>G1427+H1427</f>
        <v>2502455</v>
      </c>
      <c r="J1427">
        <f>IF(AND(D1427&lt;&gt;"dram",D1427&lt;&gt;"control"),H1427,0)</f>
        <v>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334</v>
      </c>
      <c r="C1428" t="s">
        <v>87</v>
      </c>
      <c r="D1428" t="s">
        <v>79</v>
      </c>
      <c r="E1428" t="s">
        <v>186</v>
      </c>
      <c r="F1428">
        <v>4</v>
      </c>
      <c r="G1428">
        <f>MAX(I1427,I1425)</f>
        <v>2502455</v>
      </c>
      <c r="H1428">
        <f>CEILING((dram_access_latency+F1428/dram_bandwidth)*frequency,1)</f>
        <v>101</v>
      </c>
      <c r="I1428">
        <f>G1428+H1428</f>
        <v>2502556</v>
      </c>
      <c r="J1428">
        <f>IF(AND(D1428&lt;&gt;"dram",D1428&lt;&gt;"control"),H1428,0)</f>
        <v>0</v>
      </c>
      <c r="K1428">
        <f>IF(D1428="dram",H1428,0)</f>
        <v>101</v>
      </c>
      <c r="L1428">
        <v>0</v>
      </c>
      <c r="M1428">
        <v>4</v>
      </c>
    </row>
    <row r="1429" spans="1:13">
      <c r="A1429">
        <v>1427</v>
      </c>
      <c r="B1429" t="s">
        <v>335</v>
      </c>
      <c r="C1429" t="s">
        <v>87</v>
      </c>
      <c r="D1429" t="s">
        <v>79</v>
      </c>
      <c r="E1429" t="s">
        <v>186</v>
      </c>
      <c r="F1429">
        <v>128</v>
      </c>
      <c r="G1429">
        <f>MAX(I1427,I1428)</f>
        <v>2502556</v>
      </c>
      <c r="H1429">
        <f>CEILING((dram_access_latency+F1429/dram_bandwidth)*frequency,1)</f>
        <v>102</v>
      </c>
      <c r="I1429">
        <f>G1429+H1429</f>
        <v>2502658</v>
      </c>
      <c r="J1429">
        <f>IF(AND(D1429&lt;&gt;"dram",D1429&lt;&gt;"control"),H1429,0)</f>
        <v>0</v>
      </c>
      <c r="K1429">
        <f>IF(D1429="dram",H1429,0)</f>
        <v>102</v>
      </c>
      <c r="L1429">
        <v>0</v>
      </c>
      <c r="M1429">
        <v>128</v>
      </c>
    </row>
    <row r="1430" spans="1:13">
      <c r="A1430">
        <v>1428</v>
      </c>
      <c r="B1430" t="s">
        <v>329</v>
      </c>
      <c r="C1430" t="s">
        <v>78</v>
      </c>
      <c r="D1430" t="s">
        <v>79</v>
      </c>
      <c r="E1430" t="s">
        <v>187</v>
      </c>
      <c r="F1430">
        <v>524288</v>
      </c>
      <c r="G1430">
        <f>MAX(I1427,I1429)</f>
        <v>2502658</v>
      </c>
      <c r="H1430">
        <f>CEILING((dram_access_latency+F1430/dram_bandwidth)*frequency,1)</f>
        <v>7811</v>
      </c>
      <c r="I1430">
        <f>G1430+H1430</f>
        <v>2510469</v>
      </c>
      <c r="J1430">
        <f>IF(AND(D1430&lt;&gt;"dram",D1430&lt;&gt;"control"),H1430,0)</f>
        <v>0</v>
      </c>
      <c r="K1430">
        <f>IF(D1430="dram",H1430,0)</f>
        <v>7811</v>
      </c>
      <c r="L1430">
        <v>524288</v>
      </c>
      <c r="M1430">
        <v>0</v>
      </c>
    </row>
    <row r="1431" spans="1:13">
      <c r="A1431">
        <v>1429</v>
      </c>
      <c r="B1431" t="s">
        <v>331</v>
      </c>
      <c r="C1431" t="s">
        <v>78</v>
      </c>
      <c r="D1431" t="s">
        <v>79</v>
      </c>
      <c r="E1431" t="s">
        <v>187</v>
      </c>
      <c r="F1431">
        <v>16384</v>
      </c>
      <c r="G1431">
        <f>MAX(I1427,I1430)</f>
        <v>2510469</v>
      </c>
      <c r="H1431">
        <f>CEILING((dram_access_latency+F1431/dram_bandwidth)*frequency,1)</f>
        <v>341</v>
      </c>
      <c r="I1431">
        <f>G1431+H1431</f>
        <v>2510810</v>
      </c>
      <c r="J1431">
        <f>IF(AND(D1431&lt;&gt;"dram",D1431&lt;&gt;"control"),H1431,0)</f>
        <v>0</v>
      </c>
      <c r="K1431">
        <f>IF(D1431="dram",H1431,0)</f>
        <v>341</v>
      </c>
      <c r="L1431">
        <v>16384</v>
      </c>
      <c r="M1431">
        <v>0</v>
      </c>
    </row>
    <row r="1432" spans="1:13">
      <c r="A1432">
        <v>1430</v>
      </c>
      <c r="B1432" t="s">
        <v>332</v>
      </c>
      <c r="C1432" t="s">
        <v>78</v>
      </c>
      <c r="D1432" t="s">
        <v>79</v>
      </c>
      <c r="E1432" t="s">
        <v>187</v>
      </c>
      <c r="F1432">
        <v>512</v>
      </c>
      <c r="G1432">
        <f>MAX(I1427,I1431)</f>
        <v>2510810</v>
      </c>
      <c r="H1432">
        <f>CEILING((dram_access_latency+F1432/dram_bandwidth)*frequency,1)</f>
        <v>108</v>
      </c>
      <c r="I1432">
        <f>G1432+H1432</f>
        <v>2510918</v>
      </c>
      <c r="J1432">
        <f>IF(AND(D1432&lt;&gt;"dram",D1432&lt;&gt;"control"),H1432,0)</f>
        <v>0</v>
      </c>
      <c r="K1432">
        <f>IF(D1432="dram",H1432,0)</f>
        <v>108</v>
      </c>
      <c r="L1432">
        <v>512</v>
      </c>
      <c r="M1432">
        <v>0</v>
      </c>
    </row>
    <row r="1433" spans="1:13">
      <c r="A1433">
        <v>1431</v>
      </c>
      <c r="B1433" t="s">
        <v>57</v>
      </c>
      <c r="C1433" t="s">
        <v>85</v>
      </c>
      <c r="D1433" t="s">
        <v>17</v>
      </c>
      <c r="E1433" t="s">
        <v>187</v>
      </c>
      <c r="F1433">
        <v>0</v>
      </c>
      <c r="G1433">
        <f>MAX(I1426,I1375,I1430,I1377,I1431,I1432,I1428,I1429)</f>
        <v>2518839</v>
      </c>
      <c r="H1433">
        <f>'Operations'!I24</f>
        <v>16384</v>
      </c>
      <c r="I1433">
        <f>G1433+H1433</f>
        <v>2535223</v>
      </c>
      <c r="J1433">
        <f>IF(AND(D1433&lt;&gt;"dram",D1433&lt;&gt;"control"),H1433,0)</f>
        <v>16384</v>
      </c>
      <c r="K1433">
        <f>IF(D1433="dram",H1433,0)</f>
        <v>0</v>
      </c>
      <c r="L1433">
        <v>0</v>
      </c>
      <c r="M1433">
        <v>0</v>
      </c>
    </row>
    <row r="1434" spans="1:13">
      <c r="A1434">
        <v>1432</v>
      </c>
      <c r="B1434" t="s">
        <v>333</v>
      </c>
      <c r="C1434" t="s">
        <v>82</v>
      </c>
      <c r="D1434" t="s">
        <v>83</v>
      </c>
      <c r="E1434" t="s">
        <v>187</v>
      </c>
      <c r="F1434">
        <v>0</v>
      </c>
      <c r="G1434">
        <f>MAX(I1427,I1426)</f>
        <v>2502455</v>
      </c>
      <c r="H1434">
        <f>0</f>
        <v>16384</v>
      </c>
      <c r="I1434">
        <f>G1434+H1434</f>
        <v>2518839</v>
      </c>
      <c r="J1434">
        <f>IF(AND(D1434&lt;&gt;"dram",D1434&lt;&gt;"control"),H1434,0)</f>
        <v>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334</v>
      </c>
      <c r="C1435" t="s">
        <v>87</v>
      </c>
      <c r="D1435" t="s">
        <v>79</v>
      </c>
      <c r="E1435" t="s">
        <v>187</v>
      </c>
      <c r="F1435">
        <v>4</v>
      </c>
      <c r="G1435">
        <f>MAX(I1434,I1432)</f>
        <v>2518839</v>
      </c>
      <c r="H1435">
        <f>CEILING((dram_access_latency+F1435/dram_bandwidth)*frequency,1)</f>
        <v>101</v>
      </c>
      <c r="I1435">
        <f>G1435+H1435</f>
        <v>2518940</v>
      </c>
      <c r="J1435">
        <f>IF(AND(D1435&lt;&gt;"dram",D1435&lt;&gt;"control"),H1435,0)</f>
        <v>0</v>
      </c>
      <c r="K1435">
        <f>IF(D1435="dram",H1435,0)</f>
        <v>101</v>
      </c>
      <c r="L1435">
        <v>0</v>
      </c>
      <c r="M1435">
        <v>4</v>
      </c>
    </row>
    <row r="1436" spans="1:13">
      <c r="A1436">
        <v>1434</v>
      </c>
      <c r="B1436" t="s">
        <v>335</v>
      </c>
      <c r="C1436" t="s">
        <v>87</v>
      </c>
      <c r="D1436" t="s">
        <v>79</v>
      </c>
      <c r="E1436" t="s">
        <v>187</v>
      </c>
      <c r="F1436">
        <v>128</v>
      </c>
      <c r="G1436">
        <f>MAX(I1434,I1435)</f>
        <v>2518940</v>
      </c>
      <c r="H1436">
        <f>CEILING((dram_access_latency+F1436/dram_bandwidth)*frequency,1)</f>
        <v>102</v>
      </c>
      <c r="I1436">
        <f>G1436+H1436</f>
        <v>2519042</v>
      </c>
      <c r="J1436">
        <f>IF(AND(D1436&lt;&gt;"dram",D1436&lt;&gt;"control"),H1436,0)</f>
        <v>0</v>
      </c>
      <c r="K1436">
        <f>IF(D1436="dram",H1436,0)</f>
        <v>102</v>
      </c>
      <c r="L1436">
        <v>0</v>
      </c>
      <c r="M1436">
        <v>128</v>
      </c>
    </row>
    <row r="1437" spans="1:13">
      <c r="A1437">
        <v>1435</v>
      </c>
      <c r="B1437" t="s">
        <v>329</v>
      </c>
      <c r="C1437" t="s">
        <v>78</v>
      </c>
      <c r="D1437" t="s">
        <v>79</v>
      </c>
      <c r="E1437" t="s">
        <v>188</v>
      </c>
      <c r="F1437">
        <v>524288</v>
      </c>
      <c r="G1437">
        <f>MAX(I1434,I1436)</f>
        <v>2519042</v>
      </c>
      <c r="H1437">
        <f>CEILING((dram_access_latency+F1437/dram_bandwidth)*frequency,1)</f>
        <v>7811</v>
      </c>
      <c r="I1437">
        <f>G1437+H1437</f>
        <v>2526853</v>
      </c>
      <c r="J1437">
        <f>IF(AND(D1437&lt;&gt;"dram",D1437&lt;&gt;"control"),H1437,0)</f>
        <v>0</v>
      </c>
      <c r="K1437">
        <f>IF(D1437="dram",H1437,0)</f>
        <v>7811</v>
      </c>
      <c r="L1437">
        <v>524288</v>
      </c>
      <c r="M1437">
        <v>0</v>
      </c>
    </row>
    <row r="1438" spans="1:13">
      <c r="A1438">
        <v>1436</v>
      </c>
      <c r="B1438" t="s">
        <v>331</v>
      </c>
      <c r="C1438" t="s">
        <v>78</v>
      </c>
      <c r="D1438" t="s">
        <v>79</v>
      </c>
      <c r="E1438" t="s">
        <v>188</v>
      </c>
      <c r="F1438">
        <v>16384</v>
      </c>
      <c r="G1438">
        <f>MAX(I1434,I1437)</f>
        <v>2526853</v>
      </c>
      <c r="H1438">
        <f>CEILING((dram_access_latency+F1438/dram_bandwidth)*frequency,1)</f>
        <v>341</v>
      </c>
      <c r="I1438">
        <f>G1438+H1438</f>
        <v>2527194</v>
      </c>
      <c r="J1438">
        <f>IF(AND(D1438&lt;&gt;"dram",D1438&lt;&gt;"control"),H1438,0)</f>
        <v>0</v>
      </c>
      <c r="K1438">
        <f>IF(D1438="dram",H1438,0)</f>
        <v>341</v>
      </c>
      <c r="L1438">
        <v>16384</v>
      </c>
      <c r="M1438">
        <v>0</v>
      </c>
    </row>
    <row r="1439" spans="1:13">
      <c r="A1439">
        <v>1437</v>
      </c>
      <c r="B1439" t="s">
        <v>332</v>
      </c>
      <c r="C1439" t="s">
        <v>78</v>
      </c>
      <c r="D1439" t="s">
        <v>79</v>
      </c>
      <c r="E1439" t="s">
        <v>188</v>
      </c>
      <c r="F1439">
        <v>512</v>
      </c>
      <c r="G1439">
        <f>MAX(I1434,I1438)</f>
        <v>2527194</v>
      </c>
      <c r="H1439">
        <f>CEILING((dram_access_latency+F1439/dram_bandwidth)*frequency,1)</f>
        <v>108</v>
      </c>
      <c r="I1439">
        <f>G1439+H1439</f>
        <v>2527302</v>
      </c>
      <c r="J1439">
        <f>IF(AND(D1439&lt;&gt;"dram",D1439&lt;&gt;"control"),H1439,0)</f>
        <v>0</v>
      </c>
      <c r="K1439">
        <f>IF(D1439="dram",H1439,0)</f>
        <v>108</v>
      </c>
      <c r="L1439">
        <v>512</v>
      </c>
      <c r="M1439">
        <v>0</v>
      </c>
    </row>
    <row r="1440" spans="1:13">
      <c r="A1440">
        <v>1438</v>
      </c>
      <c r="B1440" t="s">
        <v>57</v>
      </c>
      <c r="C1440" t="s">
        <v>85</v>
      </c>
      <c r="D1440" t="s">
        <v>17</v>
      </c>
      <c r="E1440" t="s">
        <v>188</v>
      </c>
      <c r="F1440">
        <v>0</v>
      </c>
      <c r="G1440">
        <f>MAX(I1433,I1375,I1437,I1377,I1438,I1439,I1435,I1436)</f>
        <v>2535223</v>
      </c>
      <c r="H1440">
        <f>'Operations'!I24</f>
        <v>16384</v>
      </c>
      <c r="I1440">
        <f>G1440+H1440</f>
        <v>2551607</v>
      </c>
      <c r="J1440">
        <f>IF(AND(D1440&lt;&gt;"dram",D1440&lt;&gt;"control"),H1440,0)</f>
        <v>16384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333</v>
      </c>
      <c r="C1441" t="s">
        <v>82</v>
      </c>
      <c r="D1441" t="s">
        <v>83</v>
      </c>
      <c r="E1441" t="s">
        <v>188</v>
      </c>
      <c r="F1441">
        <v>0</v>
      </c>
      <c r="G1441">
        <f>MAX(I1434,I1433)</f>
        <v>2518839</v>
      </c>
      <c r="H1441">
        <f>0</f>
        <v>16384</v>
      </c>
      <c r="I1441">
        <f>G1441+H1441</f>
        <v>2535223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334</v>
      </c>
      <c r="C1442" t="s">
        <v>87</v>
      </c>
      <c r="D1442" t="s">
        <v>79</v>
      </c>
      <c r="E1442" t="s">
        <v>188</v>
      </c>
      <c r="F1442">
        <v>4</v>
      </c>
      <c r="G1442">
        <f>MAX(I1441,I1439)</f>
        <v>2535223</v>
      </c>
      <c r="H1442">
        <f>CEILING((dram_access_latency+F1442/dram_bandwidth)*frequency,1)</f>
        <v>101</v>
      </c>
      <c r="I1442">
        <f>G1442+H1442</f>
        <v>2535324</v>
      </c>
      <c r="J1442">
        <f>IF(AND(D1442&lt;&gt;"dram",D1442&lt;&gt;"control"),H1442,0)</f>
        <v>0</v>
      </c>
      <c r="K1442">
        <f>IF(D1442="dram",H1442,0)</f>
        <v>101</v>
      </c>
      <c r="L1442">
        <v>0</v>
      </c>
      <c r="M1442">
        <v>4</v>
      </c>
    </row>
    <row r="1443" spans="1:13">
      <c r="A1443">
        <v>1441</v>
      </c>
      <c r="B1443" t="s">
        <v>335</v>
      </c>
      <c r="C1443" t="s">
        <v>87</v>
      </c>
      <c r="D1443" t="s">
        <v>79</v>
      </c>
      <c r="E1443" t="s">
        <v>188</v>
      </c>
      <c r="F1443">
        <v>128</v>
      </c>
      <c r="G1443">
        <f>MAX(I1441,I1442)</f>
        <v>2535324</v>
      </c>
      <c r="H1443">
        <f>CEILING((dram_access_latency+F1443/dram_bandwidth)*frequency,1)</f>
        <v>102</v>
      </c>
      <c r="I1443">
        <f>G1443+H1443</f>
        <v>2535426</v>
      </c>
      <c r="J1443">
        <f>IF(AND(D1443&lt;&gt;"dram",D1443&lt;&gt;"control"),H1443,0)</f>
        <v>0</v>
      </c>
      <c r="K1443">
        <f>IF(D1443="dram",H1443,0)</f>
        <v>102</v>
      </c>
      <c r="L1443">
        <v>0</v>
      </c>
      <c r="M1443">
        <v>128</v>
      </c>
    </row>
    <row r="1444" spans="1:13">
      <c r="A1444">
        <v>1442</v>
      </c>
      <c r="B1444" t="s">
        <v>329</v>
      </c>
      <c r="C1444" t="s">
        <v>78</v>
      </c>
      <c r="D1444" t="s">
        <v>79</v>
      </c>
      <c r="E1444" t="s">
        <v>189</v>
      </c>
      <c r="F1444">
        <v>524288</v>
      </c>
      <c r="G1444">
        <f>MAX(I1441,I1443)</f>
        <v>2535426</v>
      </c>
      <c r="H1444">
        <f>CEILING((dram_access_latency+F1444/dram_bandwidth)*frequency,1)</f>
        <v>7811</v>
      </c>
      <c r="I1444">
        <f>G1444+H1444</f>
        <v>2543237</v>
      </c>
      <c r="J1444">
        <f>IF(AND(D1444&lt;&gt;"dram",D1444&lt;&gt;"control"),H1444,0)</f>
        <v>0</v>
      </c>
      <c r="K1444">
        <f>IF(D1444="dram",H1444,0)</f>
        <v>7811</v>
      </c>
      <c r="L1444">
        <v>524288</v>
      </c>
      <c r="M1444">
        <v>0</v>
      </c>
    </row>
    <row r="1445" spans="1:13">
      <c r="A1445">
        <v>1443</v>
      </c>
      <c r="B1445" t="s">
        <v>331</v>
      </c>
      <c r="C1445" t="s">
        <v>78</v>
      </c>
      <c r="D1445" t="s">
        <v>79</v>
      </c>
      <c r="E1445" t="s">
        <v>189</v>
      </c>
      <c r="F1445">
        <v>16384</v>
      </c>
      <c r="G1445">
        <f>MAX(I1441,I1444)</f>
        <v>2543237</v>
      </c>
      <c r="H1445">
        <f>CEILING((dram_access_latency+F1445/dram_bandwidth)*frequency,1)</f>
        <v>341</v>
      </c>
      <c r="I1445">
        <f>G1445+H1445</f>
        <v>2543578</v>
      </c>
      <c r="J1445">
        <f>IF(AND(D1445&lt;&gt;"dram",D1445&lt;&gt;"control"),H1445,0)</f>
        <v>0</v>
      </c>
      <c r="K1445">
        <f>IF(D1445="dram",H1445,0)</f>
        <v>341</v>
      </c>
      <c r="L1445">
        <v>16384</v>
      </c>
      <c r="M1445">
        <v>0</v>
      </c>
    </row>
    <row r="1446" spans="1:13">
      <c r="A1446">
        <v>1444</v>
      </c>
      <c r="B1446" t="s">
        <v>332</v>
      </c>
      <c r="C1446" t="s">
        <v>78</v>
      </c>
      <c r="D1446" t="s">
        <v>79</v>
      </c>
      <c r="E1446" t="s">
        <v>189</v>
      </c>
      <c r="F1446">
        <v>512</v>
      </c>
      <c r="G1446">
        <f>MAX(I1441,I1445)</f>
        <v>2543578</v>
      </c>
      <c r="H1446">
        <f>CEILING((dram_access_latency+F1446/dram_bandwidth)*frequency,1)</f>
        <v>108</v>
      </c>
      <c r="I1446">
        <f>G1446+H1446</f>
        <v>2543686</v>
      </c>
      <c r="J1446">
        <f>IF(AND(D1446&lt;&gt;"dram",D1446&lt;&gt;"control"),H1446,0)</f>
        <v>0</v>
      </c>
      <c r="K1446">
        <f>IF(D1446="dram",H1446,0)</f>
        <v>108</v>
      </c>
      <c r="L1446">
        <v>512</v>
      </c>
      <c r="M1446">
        <v>0</v>
      </c>
    </row>
    <row r="1447" spans="1:13">
      <c r="A1447">
        <v>1445</v>
      </c>
      <c r="B1447" t="s">
        <v>57</v>
      </c>
      <c r="C1447" t="s">
        <v>85</v>
      </c>
      <c r="D1447" t="s">
        <v>17</v>
      </c>
      <c r="E1447" t="s">
        <v>189</v>
      </c>
      <c r="F1447">
        <v>0</v>
      </c>
      <c r="G1447">
        <f>MAX(I1440,I1375,I1444,I1377,I1445,I1446,I1442,I1443)</f>
        <v>2551607</v>
      </c>
      <c r="H1447">
        <f>'Operations'!I24</f>
        <v>16384</v>
      </c>
      <c r="I1447">
        <f>G1447+H1447</f>
        <v>2567991</v>
      </c>
      <c r="J1447">
        <f>IF(AND(D1447&lt;&gt;"dram",D1447&lt;&gt;"control"),H1447,0)</f>
        <v>16384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333</v>
      </c>
      <c r="C1448" t="s">
        <v>82</v>
      </c>
      <c r="D1448" t="s">
        <v>83</v>
      </c>
      <c r="E1448" t="s">
        <v>189</v>
      </c>
      <c r="F1448">
        <v>0</v>
      </c>
      <c r="G1448">
        <f>MAX(I1441,I1440)</f>
        <v>2535223</v>
      </c>
      <c r="H1448">
        <f>0</f>
        <v>16384</v>
      </c>
      <c r="I1448">
        <f>G1448+H1448</f>
        <v>2551607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334</v>
      </c>
      <c r="C1449" t="s">
        <v>87</v>
      </c>
      <c r="D1449" t="s">
        <v>79</v>
      </c>
      <c r="E1449" t="s">
        <v>189</v>
      </c>
      <c r="F1449">
        <v>4</v>
      </c>
      <c r="G1449">
        <f>MAX(I1448,I1446)</f>
        <v>2551607</v>
      </c>
      <c r="H1449">
        <f>CEILING((dram_access_latency+F1449/dram_bandwidth)*frequency,1)</f>
        <v>101</v>
      </c>
      <c r="I1449">
        <f>G1449+H1449</f>
        <v>2551708</v>
      </c>
      <c r="J1449">
        <f>IF(AND(D1449&lt;&gt;"dram",D1449&lt;&gt;"control"),H1449,0)</f>
        <v>0</v>
      </c>
      <c r="K1449">
        <f>IF(D1449="dram",H1449,0)</f>
        <v>101</v>
      </c>
      <c r="L1449">
        <v>0</v>
      </c>
      <c r="M1449">
        <v>4</v>
      </c>
    </row>
    <row r="1450" spans="1:13">
      <c r="A1450">
        <v>1448</v>
      </c>
      <c r="B1450" t="s">
        <v>335</v>
      </c>
      <c r="C1450" t="s">
        <v>87</v>
      </c>
      <c r="D1450" t="s">
        <v>79</v>
      </c>
      <c r="E1450" t="s">
        <v>189</v>
      </c>
      <c r="F1450">
        <v>128</v>
      </c>
      <c r="G1450">
        <f>MAX(I1448,I1449)</f>
        <v>2551708</v>
      </c>
      <c r="H1450">
        <f>CEILING((dram_access_latency+F1450/dram_bandwidth)*frequency,1)</f>
        <v>102</v>
      </c>
      <c r="I1450">
        <f>G1450+H1450</f>
        <v>2551810</v>
      </c>
      <c r="J1450">
        <f>IF(AND(D1450&lt;&gt;"dram",D1450&lt;&gt;"control"),H1450,0)</f>
        <v>0</v>
      </c>
      <c r="K1450">
        <f>IF(D1450="dram",H1450,0)</f>
        <v>102</v>
      </c>
      <c r="L1450">
        <v>0</v>
      </c>
      <c r="M1450">
        <v>128</v>
      </c>
    </row>
    <row r="1451" spans="1:13">
      <c r="A1451">
        <v>1449</v>
      </c>
      <c r="B1451" t="s">
        <v>329</v>
      </c>
      <c r="C1451" t="s">
        <v>78</v>
      </c>
      <c r="D1451" t="s">
        <v>79</v>
      </c>
      <c r="E1451" t="s">
        <v>190</v>
      </c>
      <c r="F1451">
        <v>524288</v>
      </c>
      <c r="G1451">
        <f>MAX(I1448,I1450)</f>
        <v>2551810</v>
      </c>
      <c r="H1451">
        <f>CEILING((dram_access_latency+F1451/dram_bandwidth)*frequency,1)</f>
        <v>7811</v>
      </c>
      <c r="I1451">
        <f>G1451+H1451</f>
        <v>2559621</v>
      </c>
      <c r="J1451">
        <f>IF(AND(D1451&lt;&gt;"dram",D1451&lt;&gt;"control"),H1451,0)</f>
        <v>0</v>
      </c>
      <c r="K1451">
        <f>IF(D1451="dram",H1451,0)</f>
        <v>7811</v>
      </c>
      <c r="L1451">
        <v>524288</v>
      </c>
      <c r="M1451">
        <v>0</v>
      </c>
    </row>
    <row r="1452" spans="1:13">
      <c r="A1452">
        <v>1450</v>
      </c>
      <c r="B1452" t="s">
        <v>331</v>
      </c>
      <c r="C1452" t="s">
        <v>78</v>
      </c>
      <c r="D1452" t="s">
        <v>79</v>
      </c>
      <c r="E1452" t="s">
        <v>190</v>
      </c>
      <c r="F1452">
        <v>16384</v>
      </c>
      <c r="G1452">
        <f>MAX(I1448,I1451)</f>
        <v>2559621</v>
      </c>
      <c r="H1452">
        <f>CEILING((dram_access_latency+F1452/dram_bandwidth)*frequency,1)</f>
        <v>341</v>
      </c>
      <c r="I1452">
        <f>G1452+H1452</f>
        <v>2559962</v>
      </c>
      <c r="J1452">
        <f>IF(AND(D1452&lt;&gt;"dram",D1452&lt;&gt;"control"),H1452,0)</f>
        <v>0</v>
      </c>
      <c r="K1452">
        <f>IF(D1452="dram",H1452,0)</f>
        <v>341</v>
      </c>
      <c r="L1452">
        <v>16384</v>
      </c>
      <c r="M1452">
        <v>0</v>
      </c>
    </row>
    <row r="1453" spans="1:13">
      <c r="A1453">
        <v>1451</v>
      </c>
      <c r="B1453" t="s">
        <v>332</v>
      </c>
      <c r="C1453" t="s">
        <v>78</v>
      </c>
      <c r="D1453" t="s">
        <v>79</v>
      </c>
      <c r="E1453" t="s">
        <v>190</v>
      </c>
      <c r="F1453">
        <v>512</v>
      </c>
      <c r="G1453">
        <f>MAX(I1448,I1452)</f>
        <v>2559962</v>
      </c>
      <c r="H1453">
        <f>CEILING((dram_access_latency+F1453/dram_bandwidth)*frequency,1)</f>
        <v>108</v>
      </c>
      <c r="I1453">
        <f>G1453+H1453</f>
        <v>2560070</v>
      </c>
      <c r="J1453">
        <f>IF(AND(D1453&lt;&gt;"dram",D1453&lt;&gt;"control"),H1453,0)</f>
        <v>0</v>
      </c>
      <c r="K1453">
        <f>IF(D1453="dram",H1453,0)</f>
        <v>108</v>
      </c>
      <c r="L1453">
        <v>512</v>
      </c>
      <c r="M1453">
        <v>0</v>
      </c>
    </row>
    <row r="1454" spans="1:13">
      <c r="A1454">
        <v>1452</v>
      </c>
      <c r="B1454" t="s">
        <v>57</v>
      </c>
      <c r="C1454" t="s">
        <v>85</v>
      </c>
      <c r="D1454" t="s">
        <v>17</v>
      </c>
      <c r="E1454" t="s">
        <v>190</v>
      </c>
      <c r="F1454">
        <v>0</v>
      </c>
      <c r="G1454">
        <f>MAX(I1447,I1375,I1451,I1377,I1452,I1453,I1449,I1450)</f>
        <v>2567991</v>
      </c>
      <c r="H1454">
        <f>'Operations'!I24</f>
        <v>16384</v>
      </c>
      <c r="I1454">
        <f>G1454+H1454</f>
        <v>2584375</v>
      </c>
      <c r="J1454">
        <f>IF(AND(D1454&lt;&gt;"dram",D1454&lt;&gt;"control"),H1454,0)</f>
        <v>16384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333</v>
      </c>
      <c r="C1455" t="s">
        <v>82</v>
      </c>
      <c r="D1455" t="s">
        <v>83</v>
      </c>
      <c r="E1455" t="s">
        <v>190</v>
      </c>
      <c r="F1455">
        <v>0</v>
      </c>
      <c r="G1455">
        <f>MAX(I1448,I1447)</f>
        <v>2551607</v>
      </c>
      <c r="H1455">
        <f>0</f>
        <v>16384</v>
      </c>
      <c r="I1455">
        <f>G1455+H1455</f>
        <v>2567991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334</v>
      </c>
      <c r="C1456" t="s">
        <v>87</v>
      </c>
      <c r="D1456" t="s">
        <v>79</v>
      </c>
      <c r="E1456" t="s">
        <v>190</v>
      </c>
      <c r="F1456">
        <v>4</v>
      </c>
      <c r="G1456">
        <f>MAX(I1455,I1453)</f>
        <v>2567991</v>
      </c>
      <c r="H1456">
        <f>CEILING((dram_access_latency+F1456/dram_bandwidth)*frequency,1)</f>
        <v>101</v>
      </c>
      <c r="I1456">
        <f>G1456+H1456</f>
        <v>2568092</v>
      </c>
      <c r="J1456">
        <f>IF(AND(D1456&lt;&gt;"dram",D1456&lt;&gt;"control"),H1456,0)</f>
        <v>0</v>
      </c>
      <c r="K1456">
        <f>IF(D1456="dram",H1456,0)</f>
        <v>101</v>
      </c>
      <c r="L1456">
        <v>0</v>
      </c>
      <c r="M1456">
        <v>4</v>
      </c>
    </row>
    <row r="1457" spans="1:13">
      <c r="A1457">
        <v>1455</v>
      </c>
      <c r="B1457" t="s">
        <v>335</v>
      </c>
      <c r="C1457" t="s">
        <v>87</v>
      </c>
      <c r="D1457" t="s">
        <v>79</v>
      </c>
      <c r="E1457" t="s">
        <v>190</v>
      </c>
      <c r="F1457">
        <v>128</v>
      </c>
      <c r="G1457">
        <f>MAX(I1455,I1456)</f>
        <v>2568092</v>
      </c>
      <c r="H1457">
        <f>CEILING((dram_access_latency+F1457/dram_bandwidth)*frequency,1)</f>
        <v>102</v>
      </c>
      <c r="I1457">
        <f>G1457+H1457</f>
        <v>2568194</v>
      </c>
      <c r="J1457">
        <f>IF(AND(D1457&lt;&gt;"dram",D1457&lt;&gt;"control"),H1457,0)</f>
        <v>0</v>
      </c>
      <c r="K1457">
        <f>IF(D1457="dram",H1457,0)</f>
        <v>102</v>
      </c>
      <c r="L1457">
        <v>0</v>
      </c>
      <c r="M1457">
        <v>128</v>
      </c>
    </row>
    <row r="1458" spans="1:13">
      <c r="A1458">
        <v>1456</v>
      </c>
      <c r="B1458" t="s">
        <v>329</v>
      </c>
      <c r="C1458" t="s">
        <v>78</v>
      </c>
      <c r="D1458" t="s">
        <v>79</v>
      </c>
      <c r="E1458" t="s">
        <v>191</v>
      </c>
      <c r="F1458">
        <v>524288</v>
      </c>
      <c r="G1458">
        <f>MAX(I1455,I1457)</f>
        <v>2568194</v>
      </c>
      <c r="H1458">
        <f>CEILING((dram_access_latency+F1458/dram_bandwidth)*frequency,1)</f>
        <v>7811</v>
      </c>
      <c r="I1458">
        <f>G1458+H1458</f>
        <v>2576005</v>
      </c>
      <c r="J1458">
        <f>IF(AND(D1458&lt;&gt;"dram",D1458&lt;&gt;"control"),H1458,0)</f>
        <v>0</v>
      </c>
      <c r="K1458">
        <f>IF(D1458="dram",H1458,0)</f>
        <v>7811</v>
      </c>
      <c r="L1458">
        <v>524288</v>
      </c>
      <c r="M1458">
        <v>0</v>
      </c>
    </row>
    <row r="1459" spans="1:13">
      <c r="A1459">
        <v>1457</v>
      </c>
      <c r="B1459" t="s">
        <v>331</v>
      </c>
      <c r="C1459" t="s">
        <v>78</v>
      </c>
      <c r="D1459" t="s">
        <v>79</v>
      </c>
      <c r="E1459" t="s">
        <v>191</v>
      </c>
      <c r="F1459">
        <v>16384</v>
      </c>
      <c r="G1459">
        <f>MAX(I1455,I1458)</f>
        <v>2576005</v>
      </c>
      <c r="H1459">
        <f>CEILING((dram_access_latency+F1459/dram_bandwidth)*frequency,1)</f>
        <v>341</v>
      </c>
      <c r="I1459">
        <f>G1459+H1459</f>
        <v>2576346</v>
      </c>
      <c r="J1459">
        <f>IF(AND(D1459&lt;&gt;"dram",D1459&lt;&gt;"control"),H1459,0)</f>
        <v>0</v>
      </c>
      <c r="K1459">
        <f>IF(D1459="dram",H1459,0)</f>
        <v>341</v>
      </c>
      <c r="L1459">
        <v>16384</v>
      </c>
      <c r="M1459">
        <v>0</v>
      </c>
    </row>
    <row r="1460" spans="1:13">
      <c r="A1460">
        <v>1458</v>
      </c>
      <c r="B1460" t="s">
        <v>332</v>
      </c>
      <c r="C1460" t="s">
        <v>78</v>
      </c>
      <c r="D1460" t="s">
        <v>79</v>
      </c>
      <c r="E1460" t="s">
        <v>191</v>
      </c>
      <c r="F1460">
        <v>512</v>
      </c>
      <c r="G1460">
        <f>MAX(I1455,I1459)</f>
        <v>2576346</v>
      </c>
      <c r="H1460">
        <f>CEILING((dram_access_latency+F1460/dram_bandwidth)*frequency,1)</f>
        <v>108</v>
      </c>
      <c r="I1460">
        <f>G1460+H1460</f>
        <v>2576454</v>
      </c>
      <c r="J1460">
        <f>IF(AND(D1460&lt;&gt;"dram",D1460&lt;&gt;"control"),H1460,0)</f>
        <v>0</v>
      </c>
      <c r="K1460">
        <f>IF(D1460="dram",H1460,0)</f>
        <v>108</v>
      </c>
      <c r="L1460">
        <v>512</v>
      </c>
      <c r="M1460">
        <v>0</v>
      </c>
    </row>
    <row r="1461" spans="1:13">
      <c r="A1461">
        <v>1459</v>
      </c>
      <c r="B1461" t="s">
        <v>57</v>
      </c>
      <c r="C1461" t="s">
        <v>85</v>
      </c>
      <c r="D1461" t="s">
        <v>17</v>
      </c>
      <c r="E1461" t="s">
        <v>191</v>
      </c>
      <c r="F1461">
        <v>0</v>
      </c>
      <c r="G1461">
        <f>MAX(I1454,I1375,I1458,I1377,I1459,I1460,I1456,I1457)</f>
        <v>2584375</v>
      </c>
      <c r="H1461">
        <f>'Operations'!I24</f>
        <v>16384</v>
      </c>
      <c r="I1461">
        <f>G1461+H1461</f>
        <v>2600759</v>
      </c>
      <c r="J1461">
        <f>IF(AND(D1461&lt;&gt;"dram",D1461&lt;&gt;"control"),H1461,0)</f>
        <v>16384</v>
      </c>
      <c r="K1461">
        <f>IF(D1461="dram",H1461,0)</f>
        <v>0</v>
      </c>
      <c r="L1461">
        <v>0</v>
      </c>
      <c r="M1461">
        <v>0</v>
      </c>
    </row>
    <row r="1462" spans="1:13">
      <c r="A1462">
        <v>1460</v>
      </c>
      <c r="B1462" t="s">
        <v>333</v>
      </c>
      <c r="C1462" t="s">
        <v>82</v>
      </c>
      <c r="D1462" t="s">
        <v>83</v>
      </c>
      <c r="E1462" t="s">
        <v>191</v>
      </c>
      <c r="F1462">
        <v>0</v>
      </c>
      <c r="G1462">
        <f>MAX(I1455,I1454)</f>
        <v>2567991</v>
      </c>
      <c r="H1462">
        <f>0</f>
        <v>16384</v>
      </c>
      <c r="I1462">
        <f>G1462+H1462</f>
        <v>2584375</v>
      </c>
      <c r="J1462">
        <f>IF(AND(D1462&lt;&gt;"dram",D1462&lt;&gt;"control"),H1462,0)</f>
        <v>0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334</v>
      </c>
      <c r="C1463" t="s">
        <v>87</v>
      </c>
      <c r="D1463" t="s">
        <v>79</v>
      </c>
      <c r="E1463" t="s">
        <v>191</v>
      </c>
      <c r="F1463">
        <v>4</v>
      </c>
      <c r="G1463">
        <f>MAX(I1462,I1460)</f>
        <v>2584375</v>
      </c>
      <c r="H1463">
        <f>CEILING((dram_access_latency+F1463/dram_bandwidth)*frequency,1)</f>
        <v>101</v>
      </c>
      <c r="I1463">
        <f>G1463+H1463</f>
        <v>2584476</v>
      </c>
      <c r="J1463">
        <f>IF(AND(D1463&lt;&gt;"dram",D1463&lt;&gt;"control"),H1463,0)</f>
        <v>0</v>
      </c>
      <c r="K1463">
        <f>IF(D1463="dram",H1463,0)</f>
        <v>101</v>
      </c>
      <c r="L1463">
        <v>0</v>
      </c>
      <c r="M1463">
        <v>4</v>
      </c>
    </row>
    <row r="1464" spans="1:13">
      <c r="A1464">
        <v>1462</v>
      </c>
      <c r="B1464" t="s">
        <v>335</v>
      </c>
      <c r="C1464" t="s">
        <v>87</v>
      </c>
      <c r="D1464" t="s">
        <v>79</v>
      </c>
      <c r="E1464" t="s">
        <v>191</v>
      </c>
      <c r="F1464">
        <v>128</v>
      </c>
      <c r="G1464">
        <f>MAX(I1462,I1463)</f>
        <v>2584476</v>
      </c>
      <c r="H1464">
        <f>CEILING((dram_access_latency+F1464/dram_bandwidth)*frequency,1)</f>
        <v>102</v>
      </c>
      <c r="I1464">
        <f>G1464+H1464</f>
        <v>2584578</v>
      </c>
      <c r="J1464">
        <f>IF(AND(D1464&lt;&gt;"dram",D1464&lt;&gt;"control"),H1464,0)</f>
        <v>0</v>
      </c>
      <c r="K1464">
        <f>IF(D1464="dram",H1464,0)</f>
        <v>102</v>
      </c>
      <c r="L1464">
        <v>0</v>
      </c>
      <c r="M1464">
        <v>128</v>
      </c>
    </row>
    <row r="1465" spans="1:13">
      <c r="A1465">
        <v>1463</v>
      </c>
      <c r="B1465" t="s">
        <v>329</v>
      </c>
      <c r="C1465" t="s">
        <v>78</v>
      </c>
      <c r="D1465" t="s">
        <v>79</v>
      </c>
      <c r="E1465" t="s">
        <v>192</v>
      </c>
      <c r="F1465">
        <v>524288</v>
      </c>
      <c r="G1465">
        <f>MAX(I1462,I1464)</f>
        <v>2584578</v>
      </c>
      <c r="H1465">
        <f>CEILING((dram_access_latency+F1465/dram_bandwidth)*frequency,1)</f>
        <v>7811</v>
      </c>
      <c r="I1465">
        <f>G1465+H1465</f>
        <v>2592389</v>
      </c>
      <c r="J1465">
        <f>IF(AND(D1465&lt;&gt;"dram",D1465&lt;&gt;"control"),H1465,0)</f>
        <v>0</v>
      </c>
      <c r="K1465">
        <f>IF(D1465="dram",H1465,0)</f>
        <v>7811</v>
      </c>
      <c r="L1465">
        <v>524288</v>
      </c>
      <c r="M1465">
        <v>0</v>
      </c>
    </row>
    <row r="1466" spans="1:13">
      <c r="A1466">
        <v>1464</v>
      </c>
      <c r="B1466" t="s">
        <v>331</v>
      </c>
      <c r="C1466" t="s">
        <v>78</v>
      </c>
      <c r="D1466" t="s">
        <v>79</v>
      </c>
      <c r="E1466" t="s">
        <v>192</v>
      </c>
      <c r="F1466">
        <v>16384</v>
      </c>
      <c r="G1466">
        <f>MAX(I1462,I1465)</f>
        <v>2592389</v>
      </c>
      <c r="H1466">
        <f>CEILING((dram_access_latency+F1466/dram_bandwidth)*frequency,1)</f>
        <v>341</v>
      </c>
      <c r="I1466">
        <f>G1466+H1466</f>
        <v>2592730</v>
      </c>
      <c r="J1466">
        <f>IF(AND(D1466&lt;&gt;"dram",D1466&lt;&gt;"control"),H1466,0)</f>
        <v>0</v>
      </c>
      <c r="K1466">
        <f>IF(D1466="dram",H1466,0)</f>
        <v>341</v>
      </c>
      <c r="L1466">
        <v>16384</v>
      </c>
      <c r="M1466">
        <v>0</v>
      </c>
    </row>
    <row r="1467" spans="1:13">
      <c r="A1467">
        <v>1465</v>
      </c>
      <c r="B1467" t="s">
        <v>332</v>
      </c>
      <c r="C1467" t="s">
        <v>78</v>
      </c>
      <c r="D1467" t="s">
        <v>79</v>
      </c>
      <c r="E1467" t="s">
        <v>192</v>
      </c>
      <c r="F1467">
        <v>512</v>
      </c>
      <c r="G1467">
        <f>MAX(I1462,I1466)</f>
        <v>2592730</v>
      </c>
      <c r="H1467">
        <f>CEILING((dram_access_latency+F1467/dram_bandwidth)*frequency,1)</f>
        <v>108</v>
      </c>
      <c r="I1467">
        <f>G1467+H1467</f>
        <v>2592838</v>
      </c>
      <c r="J1467">
        <f>IF(AND(D1467&lt;&gt;"dram",D1467&lt;&gt;"control"),H1467,0)</f>
        <v>0</v>
      </c>
      <c r="K1467">
        <f>IF(D1467="dram",H1467,0)</f>
        <v>108</v>
      </c>
      <c r="L1467">
        <v>512</v>
      </c>
      <c r="M1467">
        <v>0</v>
      </c>
    </row>
    <row r="1468" spans="1:13">
      <c r="A1468">
        <v>1466</v>
      </c>
      <c r="B1468" t="s">
        <v>57</v>
      </c>
      <c r="C1468" t="s">
        <v>85</v>
      </c>
      <c r="D1468" t="s">
        <v>17</v>
      </c>
      <c r="E1468" t="s">
        <v>192</v>
      </c>
      <c r="F1468">
        <v>0</v>
      </c>
      <c r="G1468">
        <f>MAX(I1461,I1375,I1465,I1377,I1466,I1467,I1463,I1464)</f>
        <v>2600759</v>
      </c>
      <c r="H1468">
        <f>'Operations'!I24</f>
        <v>16384</v>
      </c>
      <c r="I1468">
        <f>G1468+H1468</f>
        <v>2617143</v>
      </c>
      <c r="J1468">
        <f>IF(AND(D1468&lt;&gt;"dram",D1468&lt;&gt;"control"),H1468,0)</f>
        <v>16384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333</v>
      </c>
      <c r="C1469" t="s">
        <v>82</v>
      </c>
      <c r="D1469" t="s">
        <v>83</v>
      </c>
      <c r="E1469" t="s">
        <v>192</v>
      </c>
      <c r="F1469">
        <v>0</v>
      </c>
      <c r="G1469">
        <f>MAX(I1462,I1461)</f>
        <v>2584375</v>
      </c>
      <c r="H1469">
        <f>0</f>
        <v>16384</v>
      </c>
      <c r="I1469">
        <f>G1469+H1469</f>
        <v>2600759</v>
      </c>
      <c r="J1469">
        <f>IF(AND(D1469&lt;&gt;"dram",D1469&lt;&gt;"control"),H1469,0)</f>
        <v>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334</v>
      </c>
      <c r="C1470" t="s">
        <v>87</v>
      </c>
      <c r="D1470" t="s">
        <v>79</v>
      </c>
      <c r="E1470" t="s">
        <v>192</v>
      </c>
      <c r="F1470">
        <v>4</v>
      </c>
      <c r="G1470">
        <f>MAX(I1469,I1467)</f>
        <v>2600759</v>
      </c>
      <c r="H1470">
        <f>CEILING((dram_access_latency+F1470/dram_bandwidth)*frequency,1)</f>
        <v>101</v>
      </c>
      <c r="I1470">
        <f>G1470+H1470</f>
        <v>2600860</v>
      </c>
      <c r="J1470">
        <f>IF(AND(D1470&lt;&gt;"dram",D1470&lt;&gt;"control"),H1470,0)</f>
        <v>0</v>
      </c>
      <c r="K1470">
        <f>IF(D1470="dram",H1470,0)</f>
        <v>101</v>
      </c>
      <c r="L1470">
        <v>0</v>
      </c>
      <c r="M1470">
        <v>4</v>
      </c>
    </row>
    <row r="1471" spans="1:13">
      <c r="A1471">
        <v>1469</v>
      </c>
      <c r="B1471" t="s">
        <v>335</v>
      </c>
      <c r="C1471" t="s">
        <v>87</v>
      </c>
      <c r="D1471" t="s">
        <v>79</v>
      </c>
      <c r="E1471" t="s">
        <v>192</v>
      </c>
      <c r="F1471">
        <v>128</v>
      </c>
      <c r="G1471">
        <f>MAX(I1469,I1470)</f>
        <v>2600860</v>
      </c>
      <c r="H1471">
        <f>CEILING((dram_access_latency+F1471/dram_bandwidth)*frequency,1)</f>
        <v>102</v>
      </c>
      <c r="I1471">
        <f>G1471+H1471</f>
        <v>2600962</v>
      </c>
      <c r="J1471">
        <f>IF(AND(D1471&lt;&gt;"dram",D1471&lt;&gt;"control"),H1471,0)</f>
        <v>0</v>
      </c>
      <c r="K1471">
        <f>IF(D1471="dram",H1471,0)</f>
        <v>102</v>
      </c>
      <c r="L1471">
        <v>0</v>
      </c>
      <c r="M1471">
        <v>128</v>
      </c>
    </row>
    <row r="1472" spans="1:13">
      <c r="A1472">
        <v>1470</v>
      </c>
      <c r="B1472" t="s">
        <v>329</v>
      </c>
      <c r="C1472" t="s">
        <v>78</v>
      </c>
      <c r="D1472" t="s">
        <v>79</v>
      </c>
      <c r="E1472" t="s">
        <v>193</v>
      </c>
      <c r="F1472">
        <v>524288</v>
      </c>
      <c r="G1472">
        <f>MAX(I1469,I1471)</f>
        <v>2600962</v>
      </c>
      <c r="H1472">
        <f>CEILING((dram_access_latency+F1472/dram_bandwidth)*frequency,1)</f>
        <v>7811</v>
      </c>
      <c r="I1472">
        <f>G1472+H1472</f>
        <v>2608773</v>
      </c>
      <c r="J1472">
        <f>IF(AND(D1472&lt;&gt;"dram",D1472&lt;&gt;"control"),H1472,0)</f>
        <v>0</v>
      </c>
      <c r="K1472">
        <f>IF(D1472="dram",H1472,0)</f>
        <v>7811</v>
      </c>
      <c r="L1472">
        <v>524288</v>
      </c>
      <c r="M1472">
        <v>0</v>
      </c>
    </row>
    <row r="1473" spans="1:13">
      <c r="A1473">
        <v>1471</v>
      </c>
      <c r="B1473" t="s">
        <v>331</v>
      </c>
      <c r="C1473" t="s">
        <v>78</v>
      </c>
      <c r="D1473" t="s">
        <v>79</v>
      </c>
      <c r="E1473" t="s">
        <v>193</v>
      </c>
      <c r="F1473">
        <v>16384</v>
      </c>
      <c r="G1473">
        <f>MAX(I1469,I1472)</f>
        <v>2608773</v>
      </c>
      <c r="H1473">
        <f>CEILING((dram_access_latency+F1473/dram_bandwidth)*frequency,1)</f>
        <v>341</v>
      </c>
      <c r="I1473">
        <f>G1473+H1473</f>
        <v>2609114</v>
      </c>
      <c r="J1473">
        <f>IF(AND(D1473&lt;&gt;"dram",D1473&lt;&gt;"control"),H1473,0)</f>
        <v>0</v>
      </c>
      <c r="K1473">
        <f>IF(D1473="dram",H1473,0)</f>
        <v>341</v>
      </c>
      <c r="L1473">
        <v>16384</v>
      </c>
      <c r="M1473">
        <v>0</v>
      </c>
    </row>
    <row r="1474" spans="1:13">
      <c r="A1474">
        <v>1472</v>
      </c>
      <c r="B1474" t="s">
        <v>332</v>
      </c>
      <c r="C1474" t="s">
        <v>78</v>
      </c>
      <c r="D1474" t="s">
        <v>79</v>
      </c>
      <c r="E1474" t="s">
        <v>193</v>
      </c>
      <c r="F1474">
        <v>512</v>
      </c>
      <c r="G1474">
        <f>MAX(I1469,I1473)</f>
        <v>2609114</v>
      </c>
      <c r="H1474">
        <f>CEILING((dram_access_latency+F1474/dram_bandwidth)*frequency,1)</f>
        <v>108</v>
      </c>
      <c r="I1474">
        <f>G1474+H1474</f>
        <v>2609222</v>
      </c>
      <c r="J1474">
        <f>IF(AND(D1474&lt;&gt;"dram",D1474&lt;&gt;"control"),H1474,0)</f>
        <v>0</v>
      </c>
      <c r="K1474">
        <f>IF(D1474="dram",H1474,0)</f>
        <v>108</v>
      </c>
      <c r="L1474">
        <v>512</v>
      </c>
      <c r="M1474">
        <v>0</v>
      </c>
    </row>
    <row r="1475" spans="1:13">
      <c r="A1475">
        <v>1473</v>
      </c>
      <c r="B1475" t="s">
        <v>57</v>
      </c>
      <c r="C1475" t="s">
        <v>85</v>
      </c>
      <c r="D1475" t="s">
        <v>17</v>
      </c>
      <c r="E1475" t="s">
        <v>193</v>
      </c>
      <c r="F1475">
        <v>0</v>
      </c>
      <c r="G1475">
        <f>MAX(I1468,I1375,I1472,I1377,I1473,I1474,I1470,I1471)</f>
        <v>2617143</v>
      </c>
      <c r="H1475">
        <f>'Operations'!I24</f>
        <v>16384</v>
      </c>
      <c r="I1475">
        <f>G1475+H1475</f>
        <v>2633527</v>
      </c>
      <c r="J1475">
        <f>IF(AND(D1475&lt;&gt;"dram",D1475&lt;&gt;"control"),H1475,0)</f>
        <v>16384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333</v>
      </c>
      <c r="C1476" t="s">
        <v>82</v>
      </c>
      <c r="D1476" t="s">
        <v>83</v>
      </c>
      <c r="E1476" t="s">
        <v>193</v>
      </c>
      <c r="F1476">
        <v>0</v>
      </c>
      <c r="G1476">
        <f>MAX(I1469,I1468)</f>
        <v>2600759</v>
      </c>
      <c r="H1476">
        <f>0</f>
        <v>16384</v>
      </c>
      <c r="I1476">
        <f>G1476+H1476</f>
        <v>2617143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334</v>
      </c>
      <c r="C1477" t="s">
        <v>87</v>
      </c>
      <c r="D1477" t="s">
        <v>79</v>
      </c>
      <c r="E1477" t="s">
        <v>193</v>
      </c>
      <c r="F1477">
        <v>4</v>
      </c>
      <c r="G1477">
        <f>MAX(I1476,I1474)</f>
        <v>2617143</v>
      </c>
      <c r="H1477">
        <f>CEILING((dram_access_latency+F1477/dram_bandwidth)*frequency,1)</f>
        <v>101</v>
      </c>
      <c r="I1477">
        <f>G1477+H1477</f>
        <v>2617244</v>
      </c>
      <c r="J1477">
        <f>IF(AND(D1477&lt;&gt;"dram",D1477&lt;&gt;"control"),H1477,0)</f>
        <v>0</v>
      </c>
      <c r="K1477">
        <f>IF(D1477="dram",H1477,0)</f>
        <v>101</v>
      </c>
      <c r="L1477">
        <v>0</v>
      </c>
      <c r="M1477">
        <v>4</v>
      </c>
    </row>
    <row r="1478" spans="1:13">
      <c r="A1478">
        <v>1476</v>
      </c>
      <c r="B1478" t="s">
        <v>335</v>
      </c>
      <c r="C1478" t="s">
        <v>87</v>
      </c>
      <c r="D1478" t="s">
        <v>79</v>
      </c>
      <c r="E1478" t="s">
        <v>193</v>
      </c>
      <c r="F1478">
        <v>128</v>
      </c>
      <c r="G1478">
        <f>MAX(I1476,I1477)</f>
        <v>2617244</v>
      </c>
      <c r="H1478">
        <f>CEILING((dram_access_latency+F1478/dram_bandwidth)*frequency,1)</f>
        <v>102</v>
      </c>
      <c r="I1478">
        <f>G1478+H1478</f>
        <v>2617346</v>
      </c>
      <c r="J1478">
        <f>IF(AND(D1478&lt;&gt;"dram",D1478&lt;&gt;"control"),H1478,0)</f>
        <v>0</v>
      </c>
      <c r="K1478">
        <f>IF(D1478="dram",H1478,0)</f>
        <v>102</v>
      </c>
      <c r="L1478">
        <v>0</v>
      </c>
      <c r="M1478">
        <v>128</v>
      </c>
    </row>
    <row r="1479" spans="1:13">
      <c r="A1479">
        <v>1477</v>
      </c>
      <c r="B1479" t="s">
        <v>329</v>
      </c>
      <c r="C1479" t="s">
        <v>78</v>
      </c>
      <c r="D1479" t="s">
        <v>79</v>
      </c>
      <c r="E1479" t="s">
        <v>194</v>
      </c>
      <c r="F1479">
        <v>524288</v>
      </c>
      <c r="G1479">
        <f>MAX(I1476,I1478)</f>
        <v>2617346</v>
      </c>
      <c r="H1479">
        <f>CEILING((dram_access_latency+F1479/dram_bandwidth)*frequency,1)</f>
        <v>7811</v>
      </c>
      <c r="I1479">
        <f>G1479+H1479</f>
        <v>2625157</v>
      </c>
      <c r="J1479">
        <f>IF(AND(D1479&lt;&gt;"dram",D1479&lt;&gt;"control"),H1479,0)</f>
        <v>0</v>
      </c>
      <c r="K1479">
        <f>IF(D1479="dram",H1479,0)</f>
        <v>7811</v>
      </c>
      <c r="L1479">
        <v>524288</v>
      </c>
      <c r="M1479">
        <v>0</v>
      </c>
    </row>
    <row r="1480" spans="1:13">
      <c r="A1480">
        <v>1478</v>
      </c>
      <c r="B1480" t="s">
        <v>331</v>
      </c>
      <c r="C1480" t="s">
        <v>78</v>
      </c>
      <c r="D1480" t="s">
        <v>79</v>
      </c>
      <c r="E1480" t="s">
        <v>194</v>
      </c>
      <c r="F1480">
        <v>16384</v>
      </c>
      <c r="G1480">
        <f>MAX(I1476,I1479)</f>
        <v>2625157</v>
      </c>
      <c r="H1480">
        <f>CEILING((dram_access_latency+F1480/dram_bandwidth)*frequency,1)</f>
        <v>341</v>
      </c>
      <c r="I1480">
        <f>G1480+H1480</f>
        <v>2625498</v>
      </c>
      <c r="J1480">
        <f>IF(AND(D1480&lt;&gt;"dram",D1480&lt;&gt;"control"),H1480,0)</f>
        <v>0</v>
      </c>
      <c r="K1480">
        <f>IF(D1480="dram",H1480,0)</f>
        <v>341</v>
      </c>
      <c r="L1480">
        <v>16384</v>
      </c>
      <c r="M1480">
        <v>0</v>
      </c>
    </row>
    <row r="1481" spans="1:13">
      <c r="A1481">
        <v>1479</v>
      </c>
      <c r="B1481" t="s">
        <v>332</v>
      </c>
      <c r="C1481" t="s">
        <v>78</v>
      </c>
      <c r="D1481" t="s">
        <v>79</v>
      </c>
      <c r="E1481" t="s">
        <v>194</v>
      </c>
      <c r="F1481">
        <v>512</v>
      </c>
      <c r="G1481">
        <f>MAX(I1476,I1480)</f>
        <v>2625498</v>
      </c>
      <c r="H1481">
        <f>CEILING((dram_access_latency+F1481/dram_bandwidth)*frequency,1)</f>
        <v>108</v>
      </c>
      <c r="I1481">
        <f>G1481+H1481</f>
        <v>2625606</v>
      </c>
      <c r="J1481">
        <f>IF(AND(D1481&lt;&gt;"dram",D1481&lt;&gt;"control"),H1481,0)</f>
        <v>0</v>
      </c>
      <c r="K1481">
        <f>IF(D1481="dram",H1481,0)</f>
        <v>108</v>
      </c>
      <c r="L1481">
        <v>512</v>
      </c>
      <c r="M1481">
        <v>0</v>
      </c>
    </row>
    <row r="1482" spans="1:13">
      <c r="A1482">
        <v>1480</v>
      </c>
      <c r="B1482" t="s">
        <v>57</v>
      </c>
      <c r="C1482" t="s">
        <v>85</v>
      </c>
      <c r="D1482" t="s">
        <v>17</v>
      </c>
      <c r="E1482" t="s">
        <v>194</v>
      </c>
      <c r="F1482">
        <v>0</v>
      </c>
      <c r="G1482">
        <f>MAX(I1475,I1375,I1479,I1377,I1480,I1481,I1477,I1478)</f>
        <v>2633527</v>
      </c>
      <c r="H1482">
        <f>'Operations'!I24</f>
        <v>16384</v>
      </c>
      <c r="I1482">
        <f>G1482+H1482</f>
        <v>2649911</v>
      </c>
      <c r="J1482">
        <f>IF(AND(D1482&lt;&gt;"dram",D1482&lt;&gt;"control"),H1482,0)</f>
        <v>16384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333</v>
      </c>
      <c r="C1483" t="s">
        <v>82</v>
      </c>
      <c r="D1483" t="s">
        <v>83</v>
      </c>
      <c r="E1483" t="s">
        <v>194</v>
      </c>
      <c r="F1483">
        <v>0</v>
      </c>
      <c r="G1483">
        <f>MAX(I1476,I1475)</f>
        <v>2617143</v>
      </c>
      <c r="H1483">
        <f>0</f>
        <v>16384</v>
      </c>
      <c r="I1483">
        <f>G1483+H1483</f>
        <v>2633527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334</v>
      </c>
      <c r="C1484" t="s">
        <v>87</v>
      </c>
      <c r="D1484" t="s">
        <v>79</v>
      </c>
      <c r="E1484" t="s">
        <v>194</v>
      </c>
      <c r="F1484">
        <v>4</v>
      </c>
      <c r="G1484">
        <f>MAX(I1483,I1481)</f>
        <v>2633527</v>
      </c>
      <c r="H1484">
        <f>CEILING((dram_access_latency+F1484/dram_bandwidth)*frequency,1)</f>
        <v>101</v>
      </c>
      <c r="I1484">
        <f>G1484+H1484</f>
        <v>2633628</v>
      </c>
      <c r="J1484">
        <f>IF(AND(D1484&lt;&gt;"dram",D1484&lt;&gt;"control"),H1484,0)</f>
        <v>0</v>
      </c>
      <c r="K1484">
        <f>IF(D1484="dram",H1484,0)</f>
        <v>101</v>
      </c>
      <c r="L1484">
        <v>0</v>
      </c>
      <c r="M1484">
        <v>4</v>
      </c>
    </row>
    <row r="1485" spans="1:13">
      <c r="A1485">
        <v>1483</v>
      </c>
      <c r="B1485" t="s">
        <v>335</v>
      </c>
      <c r="C1485" t="s">
        <v>87</v>
      </c>
      <c r="D1485" t="s">
        <v>79</v>
      </c>
      <c r="E1485" t="s">
        <v>194</v>
      </c>
      <c r="F1485">
        <v>128</v>
      </c>
      <c r="G1485">
        <f>MAX(I1483,I1484)</f>
        <v>2633628</v>
      </c>
      <c r="H1485">
        <f>CEILING((dram_access_latency+F1485/dram_bandwidth)*frequency,1)</f>
        <v>102</v>
      </c>
      <c r="I1485">
        <f>G1485+H1485</f>
        <v>2633730</v>
      </c>
      <c r="J1485">
        <f>IF(AND(D1485&lt;&gt;"dram",D1485&lt;&gt;"control"),H1485,0)</f>
        <v>0</v>
      </c>
      <c r="K1485">
        <f>IF(D1485="dram",H1485,0)</f>
        <v>102</v>
      </c>
      <c r="L1485">
        <v>0</v>
      </c>
      <c r="M1485">
        <v>128</v>
      </c>
    </row>
    <row r="1486" spans="1:13">
      <c r="A1486">
        <v>1484</v>
      </c>
      <c r="B1486" t="s">
        <v>329</v>
      </c>
      <c r="C1486" t="s">
        <v>78</v>
      </c>
      <c r="D1486" t="s">
        <v>79</v>
      </c>
      <c r="E1486" t="s">
        <v>206</v>
      </c>
      <c r="F1486">
        <v>524288</v>
      </c>
      <c r="G1486">
        <f>MAX(I1483,I1485)</f>
        <v>2633730</v>
      </c>
      <c r="H1486">
        <f>CEILING((dram_access_latency+F1486/dram_bandwidth)*frequency,1)</f>
        <v>7811</v>
      </c>
      <c r="I1486">
        <f>G1486+H1486</f>
        <v>2641541</v>
      </c>
      <c r="J1486">
        <f>IF(AND(D1486&lt;&gt;"dram",D1486&lt;&gt;"control"),H1486,0)</f>
        <v>0</v>
      </c>
      <c r="K1486">
        <f>IF(D1486="dram",H1486,0)</f>
        <v>7811</v>
      </c>
      <c r="L1486">
        <v>524288</v>
      </c>
      <c r="M1486">
        <v>0</v>
      </c>
    </row>
    <row r="1487" spans="1:13">
      <c r="A1487">
        <v>1485</v>
      </c>
      <c r="B1487" t="s">
        <v>331</v>
      </c>
      <c r="C1487" t="s">
        <v>78</v>
      </c>
      <c r="D1487" t="s">
        <v>79</v>
      </c>
      <c r="E1487" t="s">
        <v>206</v>
      </c>
      <c r="F1487">
        <v>16384</v>
      </c>
      <c r="G1487">
        <f>MAX(I1483,I1486)</f>
        <v>2641541</v>
      </c>
      <c r="H1487">
        <f>CEILING((dram_access_latency+F1487/dram_bandwidth)*frequency,1)</f>
        <v>341</v>
      </c>
      <c r="I1487">
        <f>G1487+H1487</f>
        <v>2641882</v>
      </c>
      <c r="J1487">
        <f>IF(AND(D1487&lt;&gt;"dram",D1487&lt;&gt;"control"),H1487,0)</f>
        <v>0</v>
      </c>
      <c r="K1487">
        <f>IF(D1487="dram",H1487,0)</f>
        <v>341</v>
      </c>
      <c r="L1487">
        <v>16384</v>
      </c>
      <c r="M1487">
        <v>0</v>
      </c>
    </row>
    <row r="1488" spans="1:13">
      <c r="A1488">
        <v>1486</v>
      </c>
      <c r="B1488" t="s">
        <v>332</v>
      </c>
      <c r="C1488" t="s">
        <v>78</v>
      </c>
      <c r="D1488" t="s">
        <v>79</v>
      </c>
      <c r="E1488" t="s">
        <v>206</v>
      </c>
      <c r="F1488">
        <v>512</v>
      </c>
      <c r="G1488">
        <f>MAX(I1483,I1487)</f>
        <v>2641882</v>
      </c>
      <c r="H1488">
        <f>CEILING((dram_access_latency+F1488/dram_bandwidth)*frequency,1)</f>
        <v>108</v>
      </c>
      <c r="I1488">
        <f>G1488+H1488</f>
        <v>2641990</v>
      </c>
      <c r="J1488">
        <f>IF(AND(D1488&lt;&gt;"dram",D1488&lt;&gt;"control"),H1488,0)</f>
        <v>0</v>
      </c>
      <c r="K1488">
        <f>IF(D1488="dram",H1488,0)</f>
        <v>108</v>
      </c>
      <c r="L1488">
        <v>512</v>
      </c>
      <c r="M1488">
        <v>0</v>
      </c>
    </row>
    <row r="1489" spans="1:13">
      <c r="A1489">
        <v>1487</v>
      </c>
      <c r="B1489" t="s">
        <v>57</v>
      </c>
      <c r="C1489" t="s">
        <v>85</v>
      </c>
      <c r="D1489" t="s">
        <v>17</v>
      </c>
      <c r="E1489" t="s">
        <v>206</v>
      </c>
      <c r="F1489">
        <v>0</v>
      </c>
      <c r="G1489">
        <f>MAX(I1482,I1375,I1486,I1377,I1487,I1488,I1484,I1485)</f>
        <v>2649911</v>
      </c>
      <c r="H1489">
        <f>'Operations'!I24</f>
        <v>16384</v>
      </c>
      <c r="I1489">
        <f>G1489+H1489</f>
        <v>2666295</v>
      </c>
      <c r="J1489">
        <f>IF(AND(D1489&lt;&gt;"dram",D1489&lt;&gt;"control"),H1489,0)</f>
        <v>16384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333</v>
      </c>
      <c r="C1490" t="s">
        <v>82</v>
      </c>
      <c r="D1490" t="s">
        <v>83</v>
      </c>
      <c r="E1490" t="s">
        <v>206</v>
      </c>
      <c r="F1490">
        <v>0</v>
      </c>
      <c r="G1490">
        <f>MAX(I1483,I1482)</f>
        <v>2633527</v>
      </c>
      <c r="H1490">
        <f>0</f>
        <v>16384</v>
      </c>
      <c r="I1490">
        <f>G1490+H1490</f>
        <v>2649911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334</v>
      </c>
      <c r="C1491" t="s">
        <v>87</v>
      </c>
      <c r="D1491" t="s">
        <v>79</v>
      </c>
      <c r="E1491" t="s">
        <v>206</v>
      </c>
      <c r="F1491">
        <v>4</v>
      </c>
      <c r="G1491">
        <f>MAX(I1490,I1488)</f>
        <v>2649911</v>
      </c>
      <c r="H1491">
        <f>CEILING((dram_access_latency+F1491/dram_bandwidth)*frequency,1)</f>
        <v>101</v>
      </c>
      <c r="I1491">
        <f>G1491+H1491</f>
        <v>2650012</v>
      </c>
      <c r="J1491">
        <f>IF(AND(D1491&lt;&gt;"dram",D1491&lt;&gt;"control"),H1491,0)</f>
        <v>0</v>
      </c>
      <c r="K1491">
        <f>IF(D1491="dram",H1491,0)</f>
        <v>101</v>
      </c>
      <c r="L1491">
        <v>0</v>
      </c>
      <c r="M1491">
        <v>4</v>
      </c>
    </row>
    <row r="1492" spans="1:13">
      <c r="A1492">
        <v>1490</v>
      </c>
      <c r="B1492" t="s">
        <v>335</v>
      </c>
      <c r="C1492" t="s">
        <v>87</v>
      </c>
      <c r="D1492" t="s">
        <v>79</v>
      </c>
      <c r="E1492" t="s">
        <v>206</v>
      </c>
      <c r="F1492">
        <v>128</v>
      </c>
      <c r="G1492">
        <f>MAX(I1490,I1491)</f>
        <v>2650012</v>
      </c>
      <c r="H1492">
        <f>CEILING((dram_access_latency+F1492/dram_bandwidth)*frequency,1)</f>
        <v>102</v>
      </c>
      <c r="I1492">
        <f>G1492+H1492</f>
        <v>2650114</v>
      </c>
      <c r="J1492">
        <f>IF(AND(D1492&lt;&gt;"dram",D1492&lt;&gt;"control"),H1492,0)</f>
        <v>0</v>
      </c>
      <c r="K1492">
        <f>IF(D1492="dram",H1492,0)</f>
        <v>102</v>
      </c>
      <c r="L1492">
        <v>0</v>
      </c>
      <c r="M1492">
        <v>128</v>
      </c>
    </row>
    <row r="1493" spans="1:13">
      <c r="A1493">
        <v>1491</v>
      </c>
      <c r="B1493" t="s">
        <v>329</v>
      </c>
      <c r="C1493" t="s">
        <v>78</v>
      </c>
      <c r="D1493" t="s">
        <v>79</v>
      </c>
      <c r="E1493" t="s">
        <v>207</v>
      </c>
      <c r="F1493">
        <v>524288</v>
      </c>
      <c r="G1493">
        <f>MAX(I1490,I1492)</f>
        <v>2650114</v>
      </c>
      <c r="H1493">
        <f>CEILING((dram_access_latency+F1493/dram_bandwidth)*frequency,1)</f>
        <v>7811</v>
      </c>
      <c r="I1493">
        <f>G1493+H1493</f>
        <v>2657925</v>
      </c>
      <c r="J1493">
        <f>IF(AND(D1493&lt;&gt;"dram",D1493&lt;&gt;"control"),H1493,0)</f>
        <v>0</v>
      </c>
      <c r="K1493">
        <f>IF(D1493="dram",H1493,0)</f>
        <v>7811</v>
      </c>
      <c r="L1493">
        <v>524288</v>
      </c>
      <c r="M1493">
        <v>0</v>
      </c>
    </row>
    <row r="1494" spans="1:13">
      <c r="A1494">
        <v>1492</v>
      </c>
      <c r="B1494" t="s">
        <v>331</v>
      </c>
      <c r="C1494" t="s">
        <v>78</v>
      </c>
      <c r="D1494" t="s">
        <v>79</v>
      </c>
      <c r="E1494" t="s">
        <v>207</v>
      </c>
      <c r="F1494">
        <v>16384</v>
      </c>
      <c r="G1494">
        <f>MAX(I1490,I1493)</f>
        <v>2657925</v>
      </c>
      <c r="H1494">
        <f>CEILING((dram_access_latency+F1494/dram_bandwidth)*frequency,1)</f>
        <v>341</v>
      </c>
      <c r="I1494">
        <f>G1494+H1494</f>
        <v>2658266</v>
      </c>
      <c r="J1494">
        <f>IF(AND(D1494&lt;&gt;"dram",D1494&lt;&gt;"control"),H1494,0)</f>
        <v>0</v>
      </c>
      <c r="K1494">
        <f>IF(D1494="dram",H1494,0)</f>
        <v>341</v>
      </c>
      <c r="L1494">
        <v>16384</v>
      </c>
      <c r="M1494">
        <v>0</v>
      </c>
    </row>
    <row r="1495" spans="1:13">
      <c r="A1495">
        <v>1493</v>
      </c>
      <c r="B1495" t="s">
        <v>332</v>
      </c>
      <c r="C1495" t="s">
        <v>78</v>
      </c>
      <c r="D1495" t="s">
        <v>79</v>
      </c>
      <c r="E1495" t="s">
        <v>207</v>
      </c>
      <c r="F1495">
        <v>512</v>
      </c>
      <c r="G1495">
        <f>MAX(I1490,I1494)</f>
        <v>2658266</v>
      </c>
      <c r="H1495">
        <f>CEILING((dram_access_latency+F1495/dram_bandwidth)*frequency,1)</f>
        <v>108</v>
      </c>
      <c r="I1495">
        <f>G1495+H1495</f>
        <v>2658374</v>
      </c>
      <c r="J1495">
        <f>IF(AND(D1495&lt;&gt;"dram",D1495&lt;&gt;"control"),H1495,0)</f>
        <v>0</v>
      </c>
      <c r="K1495">
        <f>IF(D1495="dram",H1495,0)</f>
        <v>108</v>
      </c>
      <c r="L1495">
        <v>512</v>
      </c>
      <c r="M1495">
        <v>0</v>
      </c>
    </row>
    <row r="1496" spans="1:13">
      <c r="A1496">
        <v>1494</v>
      </c>
      <c r="B1496" t="s">
        <v>57</v>
      </c>
      <c r="C1496" t="s">
        <v>85</v>
      </c>
      <c r="D1496" t="s">
        <v>17</v>
      </c>
      <c r="E1496" t="s">
        <v>207</v>
      </c>
      <c r="F1496">
        <v>0</v>
      </c>
      <c r="G1496">
        <f>MAX(I1489,I1375,I1493,I1377,I1494,I1495,I1491,I1492)</f>
        <v>2666295</v>
      </c>
      <c r="H1496">
        <f>'Operations'!I24</f>
        <v>16384</v>
      </c>
      <c r="I1496">
        <f>G1496+H1496</f>
        <v>2682679</v>
      </c>
      <c r="J1496">
        <f>IF(AND(D1496&lt;&gt;"dram",D1496&lt;&gt;"control"),H1496,0)</f>
        <v>16384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333</v>
      </c>
      <c r="C1497" t="s">
        <v>82</v>
      </c>
      <c r="D1497" t="s">
        <v>83</v>
      </c>
      <c r="E1497" t="s">
        <v>207</v>
      </c>
      <c r="F1497">
        <v>0</v>
      </c>
      <c r="G1497">
        <f>MAX(I1490,I1489)</f>
        <v>2649911</v>
      </c>
      <c r="H1497">
        <f>0</f>
        <v>16384</v>
      </c>
      <c r="I1497">
        <f>G1497+H1497</f>
        <v>2666295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334</v>
      </c>
      <c r="C1498" t="s">
        <v>87</v>
      </c>
      <c r="D1498" t="s">
        <v>79</v>
      </c>
      <c r="E1498" t="s">
        <v>207</v>
      </c>
      <c r="F1498">
        <v>4</v>
      </c>
      <c r="G1498">
        <f>MAX(I1497,I1495)</f>
        <v>2666295</v>
      </c>
      <c r="H1498">
        <f>CEILING((dram_access_latency+F1498/dram_bandwidth)*frequency,1)</f>
        <v>101</v>
      </c>
      <c r="I1498">
        <f>G1498+H1498</f>
        <v>2666396</v>
      </c>
      <c r="J1498">
        <f>IF(AND(D1498&lt;&gt;"dram",D1498&lt;&gt;"control"),H1498,0)</f>
        <v>0</v>
      </c>
      <c r="K1498">
        <f>IF(D1498="dram",H1498,0)</f>
        <v>101</v>
      </c>
      <c r="L1498">
        <v>0</v>
      </c>
      <c r="M1498">
        <v>4</v>
      </c>
    </row>
    <row r="1499" spans="1:13">
      <c r="A1499">
        <v>1497</v>
      </c>
      <c r="B1499" t="s">
        <v>335</v>
      </c>
      <c r="C1499" t="s">
        <v>87</v>
      </c>
      <c r="D1499" t="s">
        <v>79</v>
      </c>
      <c r="E1499" t="s">
        <v>207</v>
      </c>
      <c r="F1499">
        <v>128</v>
      </c>
      <c r="G1499">
        <f>MAX(I1497,I1498)</f>
        <v>2666396</v>
      </c>
      <c r="H1499">
        <f>CEILING((dram_access_latency+F1499/dram_bandwidth)*frequency,1)</f>
        <v>102</v>
      </c>
      <c r="I1499">
        <f>G1499+H1499</f>
        <v>2666498</v>
      </c>
      <c r="J1499">
        <f>IF(AND(D1499&lt;&gt;"dram",D1499&lt;&gt;"control"),H1499,0)</f>
        <v>0</v>
      </c>
      <c r="K1499">
        <f>IF(D1499="dram",H1499,0)</f>
        <v>102</v>
      </c>
      <c r="L1499">
        <v>0</v>
      </c>
      <c r="M1499">
        <v>128</v>
      </c>
    </row>
    <row r="1500" spans="1:13">
      <c r="A1500">
        <v>1498</v>
      </c>
      <c r="B1500" t="s">
        <v>329</v>
      </c>
      <c r="C1500" t="s">
        <v>78</v>
      </c>
      <c r="D1500" t="s">
        <v>79</v>
      </c>
      <c r="E1500" t="s">
        <v>208</v>
      </c>
      <c r="F1500">
        <v>524288</v>
      </c>
      <c r="G1500">
        <f>MAX(I1497,I1499)</f>
        <v>2666498</v>
      </c>
      <c r="H1500">
        <f>CEILING((dram_access_latency+F1500/dram_bandwidth)*frequency,1)</f>
        <v>7811</v>
      </c>
      <c r="I1500">
        <f>G1500+H1500</f>
        <v>2674309</v>
      </c>
      <c r="J1500">
        <f>IF(AND(D1500&lt;&gt;"dram",D1500&lt;&gt;"control"),H1500,0)</f>
        <v>0</v>
      </c>
      <c r="K1500">
        <f>IF(D1500="dram",H1500,0)</f>
        <v>7811</v>
      </c>
      <c r="L1500">
        <v>524288</v>
      </c>
      <c r="M1500">
        <v>0</v>
      </c>
    </row>
    <row r="1501" spans="1:13">
      <c r="A1501">
        <v>1499</v>
      </c>
      <c r="B1501" t="s">
        <v>331</v>
      </c>
      <c r="C1501" t="s">
        <v>78</v>
      </c>
      <c r="D1501" t="s">
        <v>79</v>
      </c>
      <c r="E1501" t="s">
        <v>208</v>
      </c>
      <c r="F1501">
        <v>16384</v>
      </c>
      <c r="G1501">
        <f>MAX(I1497,I1500)</f>
        <v>2674309</v>
      </c>
      <c r="H1501">
        <f>CEILING((dram_access_latency+F1501/dram_bandwidth)*frequency,1)</f>
        <v>341</v>
      </c>
      <c r="I1501">
        <f>G1501+H1501</f>
        <v>2674650</v>
      </c>
      <c r="J1501">
        <f>IF(AND(D1501&lt;&gt;"dram",D1501&lt;&gt;"control"),H1501,0)</f>
        <v>0</v>
      </c>
      <c r="K1501">
        <f>IF(D1501="dram",H1501,0)</f>
        <v>341</v>
      </c>
      <c r="L1501">
        <v>16384</v>
      </c>
      <c r="M1501">
        <v>0</v>
      </c>
    </row>
    <row r="1502" spans="1:13">
      <c r="A1502">
        <v>1500</v>
      </c>
      <c r="B1502" t="s">
        <v>332</v>
      </c>
      <c r="C1502" t="s">
        <v>78</v>
      </c>
      <c r="D1502" t="s">
        <v>79</v>
      </c>
      <c r="E1502" t="s">
        <v>208</v>
      </c>
      <c r="F1502">
        <v>512</v>
      </c>
      <c r="G1502">
        <f>MAX(I1497,I1501)</f>
        <v>2674650</v>
      </c>
      <c r="H1502">
        <f>CEILING((dram_access_latency+F1502/dram_bandwidth)*frequency,1)</f>
        <v>108</v>
      </c>
      <c r="I1502">
        <f>G1502+H1502</f>
        <v>2674758</v>
      </c>
      <c r="J1502">
        <f>IF(AND(D1502&lt;&gt;"dram",D1502&lt;&gt;"control"),H1502,0)</f>
        <v>0</v>
      </c>
      <c r="K1502">
        <f>IF(D1502="dram",H1502,0)</f>
        <v>108</v>
      </c>
      <c r="L1502">
        <v>512</v>
      </c>
      <c r="M1502">
        <v>0</v>
      </c>
    </row>
    <row r="1503" spans="1:13">
      <c r="A1503">
        <v>1501</v>
      </c>
      <c r="B1503" t="s">
        <v>57</v>
      </c>
      <c r="C1503" t="s">
        <v>85</v>
      </c>
      <c r="D1503" t="s">
        <v>17</v>
      </c>
      <c r="E1503" t="s">
        <v>208</v>
      </c>
      <c r="F1503">
        <v>0</v>
      </c>
      <c r="G1503">
        <f>MAX(I1496,I1375,I1500,I1377,I1501,I1502,I1498,I1499)</f>
        <v>2682679</v>
      </c>
      <c r="H1503">
        <f>'Operations'!I24</f>
        <v>16384</v>
      </c>
      <c r="I1503">
        <f>G1503+H1503</f>
        <v>2699063</v>
      </c>
      <c r="J1503">
        <f>IF(AND(D1503&lt;&gt;"dram",D1503&lt;&gt;"control"),H1503,0)</f>
        <v>16384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333</v>
      </c>
      <c r="C1504" t="s">
        <v>82</v>
      </c>
      <c r="D1504" t="s">
        <v>83</v>
      </c>
      <c r="E1504" t="s">
        <v>208</v>
      </c>
      <c r="F1504">
        <v>0</v>
      </c>
      <c r="G1504">
        <f>MAX(I1497,I1496)</f>
        <v>2666295</v>
      </c>
      <c r="H1504">
        <f>0</f>
        <v>16384</v>
      </c>
      <c r="I1504">
        <f>G1504+H1504</f>
        <v>2682679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334</v>
      </c>
      <c r="C1505" t="s">
        <v>87</v>
      </c>
      <c r="D1505" t="s">
        <v>79</v>
      </c>
      <c r="E1505" t="s">
        <v>208</v>
      </c>
      <c r="F1505">
        <v>4</v>
      </c>
      <c r="G1505">
        <f>MAX(I1504,I1502)</f>
        <v>2682679</v>
      </c>
      <c r="H1505">
        <f>CEILING((dram_access_latency+F1505/dram_bandwidth)*frequency,1)</f>
        <v>101</v>
      </c>
      <c r="I1505">
        <f>G1505+H1505</f>
        <v>2682780</v>
      </c>
      <c r="J1505">
        <f>IF(AND(D1505&lt;&gt;"dram",D1505&lt;&gt;"control"),H1505,0)</f>
        <v>0</v>
      </c>
      <c r="K1505">
        <f>IF(D1505="dram",H1505,0)</f>
        <v>101</v>
      </c>
      <c r="L1505">
        <v>0</v>
      </c>
      <c r="M1505">
        <v>4</v>
      </c>
    </row>
    <row r="1506" spans="1:13">
      <c r="A1506">
        <v>1504</v>
      </c>
      <c r="B1506" t="s">
        <v>335</v>
      </c>
      <c r="C1506" t="s">
        <v>87</v>
      </c>
      <c r="D1506" t="s">
        <v>79</v>
      </c>
      <c r="E1506" t="s">
        <v>208</v>
      </c>
      <c r="F1506">
        <v>128</v>
      </c>
      <c r="G1506">
        <f>MAX(I1504,I1505)</f>
        <v>2682780</v>
      </c>
      <c r="H1506">
        <f>CEILING((dram_access_latency+F1506/dram_bandwidth)*frequency,1)</f>
        <v>102</v>
      </c>
      <c r="I1506">
        <f>G1506+H1506</f>
        <v>2682882</v>
      </c>
      <c r="J1506">
        <f>IF(AND(D1506&lt;&gt;"dram",D1506&lt;&gt;"control"),H1506,0)</f>
        <v>0</v>
      </c>
      <c r="K1506">
        <f>IF(D1506="dram",H1506,0)</f>
        <v>102</v>
      </c>
      <c r="L1506">
        <v>0</v>
      </c>
      <c r="M1506">
        <v>128</v>
      </c>
    </row>
    <row r="1507" spans="1:13">
      <c r="A1507">
        <v>1505</v>
      </c>
      <c r="B1507" t="s">
        <v>329</v>
      </c>
      <c r="C1507" t="s">
        <v>78</v>
      </c>
      <c r="D1507" t="s">
        <v>79</v>
      </c>
      <c r="E1507" t="s">
        <v>209</v>
      </c>
      <c r="F1507">
        <v>524288</v>
      </c>
      <c r="G1507">
        <f>MAX(I1504,I1506)</f>
        <v>2682882</v>
      </c>
      <c r="H1507">
        <f>CEILING((dram_access_latency+F1507/dram_bandwidth)*frequency,1)</f>
        <v>7811</v>
      </c>
      <c r="I1507">
        <f>G1507+H1507</f>
        <v>2690693</v>
      </c>
      <c r="J1507">
        <f>IF(AND(D1507&lt;&gt;"dram",D1507&lt;&gt;"control"),H1507,0)</f>
        <v>0</v>
      </c>
      <c r="K1507">
        <f>IF(D1507="dram",H1507,0)</f>
        <v>7811</v>
      </c>
      <c r="L1507">
        <v>524288</v>
      </c>
      <c r="M1507">
        <v>0</v>
      </c>
    </row>
    <row r="1508" spans="1:13">
      <c r="A1508">
        <v>1506</v>
      </c>
      <c r="B1508" t="s">
        <v>331</v>
      </c>
      <c r="C1508" t="s">
        <v>78</v>
      </c>
      <c r="D1508" t="s">
        <v>79</v>
      </c>
      <c r="E1508" t="s">
        <v>209</v>
      </c>
      <c r="F1508">
        <v>16384</v>
      </c>
      <c r="G1508">
        <f>MAX(I1504,I1507)</f>
        <v>2690693</v>
      </c>
      <c r="H1508">
        <f>CEILING((dram_access_latency+F1508/dram_bandwidth)*frequency,1)</f>
        <v>341</v>
      </c>
      <c r="I1508">
        <f>G1508+H1508</f>
        <v>2691034</v>
      </c>
      <c r="J1508">
        <f>IF(AND(D1508&lt;&gt;"dram",D1508&lt;&gt;"control"),H1508,0)</f>
        <v>0</v>
      </c>
      <c r="K1508">
        <f>IF(D1508="dram",H1508,0)</f>
        <v>341</v>
      </c>
      <c r="L1508">
        <v>16384</v>
      </c>
      <c r="M1508">
        <v>0</v>
      </c>
    </row>
    <row r="1509" spans="1:13">
      <c r="A1509">
        <v>1507</v>
      </c>
      <c r="B1509" t="s">
        <v>332</v>
      </c>
      <c r="C1509" t="s">
        <v>78</v>
      </c>
      <c r="D1509" t="s">
        <v>79</v>
      </c>
      <c r="E1509" t="s">
        <v>209</v>
      </c>
      <c r="F1509">
        <v>512</v>
      </c>
      <c r="G1509">
        <f>MAX(I1504,I1508)</f>
        <v>2691034</v>
      </c>
      <c r="H1509">
        <f>CEILING((dram_access_latency+F1509/dram_bandwidth)*frequency,1)</f>
        <v>108</v>
      </c>
      <c r="I1509">
        <f>G1509+H1509</f>
        <v>2691142</v>
      </c>
      <c r="J1509">
        <f>IF(AND(D1509&lt;&gt;"dram",D1509&lt;&gt;"control"),H1509,0)</f>
        <v>0</v>
      </c>
      <c r="K1509">
        <f>IF(D1509="dram",H1509,0)</f>
        <v>108</v>
      </c>
      <c r="L1509">
        <v>512</v>
      </c>
      <c r="M1509">
        <v>0</v>
      </c>
    </row>
    <row r="1510" spans="1:13">
      <c r="A1510">
        <v>1508</v>
      </c>
      <c r="B1510" t="s">
        <v>57</v>
      </c>
      <c r="C1510" t="s">
        <v>85</v>
      </c>
      <c r="D1510" t="s">
        <v>17</v>
      </c>
      <c r="E1510" t="s">
        <v>209</v>
      </c>
      <c r="F1510">
        <v>0</v>
      </c>
      <c r="G1510">
        <f>MAX(I1503,I1375,I1507,I1377,I1508,I1509,I1505,I1506)</f>
        <v>2699063</v>
      </c>
      <c r="H1510">
        <f>'Operations'!I24</f>
        <v>16384</v>
      </c>
      <c r="I1510">
        <f>G1510+H1510</f>
        <v>2715447</v>
      </c>
      <c r="J1510">
        <f>IF(AND(D1510&lt;&gt;"dram",D1510&lt;&gt;"control"),H1510,0)</f>
        <v>16384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333</v>
      </c>
      <c r="C1511" t="s">
        <v>82</v>
      </c>
      <c r="D1511" t="s">
        <v>83</v>
      </c>
      <c r="E1511" t="s">
        <v>209</v>
      </c>
      <c r="F1511">
        <v>0</v>
      </c>
      <c r="G1511">
        <f>MAX(I1504,I1503)</f>
        <v>2682679</v>
      </c>
      <c r="H1511">
        <f>0</f>
        <v>16384</v>
      </c>
      <c r="I1511">
        <f>G1511+H1511</f>
        <v>2699063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334</v>
      </c>
      <c r="C1512" t="s">
        <v>87</v>
      </c>
      <c r="D1512" t="s">
        <v>79</v>
      </c>
      <c r="E1512" t="s">
        <v>209</v>
      </c>
      <c r="F1512">
        <v>4</v>
      </c>
      <c r="G1512">
        <f>MAX(I1511,I1509)</f>
        <v>2699063</v>
      </c>
      <c r="H1512">
        <f>CEILING((dram_access_latency+F1512/dram_bandwidth)*frequency,1)</f>
        <v>101</v>
      </c>
      <c r="I1512">
        <f>G1512+H1512</f>
        <v>2699164</v>
      </c>
      <c r="J1512">
        <f>IF(AND(D1512&lt;&gt;"dram",D1512&lt;&gt;"control"),H1512,0)</f>
        <v>0</v>
      </c>
      <c r="K1512">
        <f>IF(D1512="dram",H1512,0)</f>
        <v>101</v>
      </c>
      <c r="L1512">
        <v>0</v>
      </c>
      <c r="M1512">
        <v>4</v>
      </c>
    </row>
    <row r="1513" spans="1:13">
      <c r="A1513">
        <v>1511</v>
      </c>
      <c r="B1513" t="s">
        <v>335</v>
      </c>
      <c r="C1513" t="s">
        <v>87</v>
      </c>
      <c r="D1513" t="s">
        <v>79</v>
      </c>
      <c r="E1513" t="s">
        <v>209</v>
      </c>
      <c r="F1513">
        <v>128</v>
      </c>
      <c r="G1513">
        <f>MAX(I1511,I1512)</f>
        <v>2699164</v>
      </c>
      <c r="H1513">
        <f>CEILING((dram_access_latency+F1513/dram_bandwidth)*frequency,1)</f>
        <v>102</v>
      </c>
      <c r="I1513">
        <f>G1513+H1513</f>
        <v>2699266</v>
      </c>
      <c r="J1513">
        <f>IF(AND(D1513&lt;&gt;"dram",D1513&lt;&gt;"control"),H1513,0)</f>
        <v>0</v>
      </c>
      <c r="K1513">
        <f>IF(D1513="dram",H1513,0)</f>
        <v>102</v>
      </c>
      <c r="L1513">
        <v>0</v>
      </c>
      <c r="M1513">
        <v>128</v>
      </c>
    </row>
    <row r="1514" spans="1:13">
      <c r="A1514">
        <v>1512</v>
      </c>
      <c r="B1514" t="s">
        <v>329</v>
      </c>
      <c r="C1514" t="s">
        <v>78</v>
      </c>
      <c r="D1514" t="s">
        <v>79</v>
      </c>
      <c r="E1514" t="s">
        <v>210</v>
      </c>
      <c r="F1514">
        <v>524288</v>
      </c>
      <c r="G1514">
        <f>MAX(I1511,I1513)</f>
        <v>2699266</v>
      </c>
      <c r="H1514">
        <f>CEILING((dram_access_latency+F1514/dram_bandwidth)*frequency,1)</f>
        <v>7811</v>
      </c>
      <c r="I1514">
        <f>G1514+H1514</f>
        <v>2707077</v>
      </c>
      <c r="J1514">
        <f>IF(AND(D1514&lt;&gt;"dram",D1514&lt;&gt;"control"),H1514,0)</f>
        <v>0</v>
      </c>
      <c r="K1514">
        <f>IF(D1514="dram",H1514,0)</f>
        <v>7811</v>
      </c>
      <c r="L1514">
        <v>524288</v>
      </c>
      <c r="M1514">
        <v>0</v>
      </c>
    </row>
    <row r="1515" spans="1:13">
      <c r="A1515">
        <v>1513</v>
      </c>
      <c r="B1515" t="s">
        <v>331</v>
      </c>
      <c r="C1515" t="s">
        <v>78</v>
      </c>
      <c r="D1515" t="s">
        <v>79</v>
      </c>
      <c r="E1515" t="s">
        <v>210</v>
      </c>
      <c r="F1515">
        <v>16384</v>
      </c>
      <c r="G1515">
        <f>MAX(I1511,I1514)</f>
        <v>2707077</v>
      </c>
      <c r="H1515">
        <f>CEILING((dram_access_latency+F1515/dram_bandwidth)*frequency,1)</f>
        <v>341</v>
      </c>
      <c r="I1515">
        <f>G1515+H1515</f>
        <v>2707418</v>
      </c>
      <c r="J1515">
        <f>IF(AND(D1515&lt;&gt;"dram",D1515&lt;&gt;"control"),H1515,0)</f>
        <v>0</v>
      </c>
      <c r="K1515">
        <f>IF(D1515="dram",H1515,0)</f>
        <v>341</v>
      </c>
      <c r="L1515">
        <v>16384</v>
      </c>
      <c r="M1515">
        <v>0</v>
      </c>
    </row>
    <row r="1516" spans="1:13">
      <c r="A1516">
        <v>1514</v>
      </c>
      <c r="B1516" t="s">
        <v>332</v>
      </c>
      <c r="C1516" t="s">
        <v>78</v>
      </c>
      <c r="D1516" t="s">
        <v>79</v>
      </c>
      <c r="E1516" t="s">
        <v>210</v>
      </c>
      <c r="F1516">
        <v>512</v>
      </c>
      <c r="G1516">
        <f>MAX(I1511,I1515)</f>
        <v>2707418</v>
      </c>
      <c r="H1516">
        <f>CEILING((dram_access_latency+F1516/dram_bandwidth)*frequency,1)</f>
        <v>108</v>
      </c>
      <c r="I1516">
        <f>G1516+H1516</f>
        <v>2707526</v>
      </c>
      <c r="J1516">
        <f>IF(AND(D1516&lt;&gt;"dram",D1516&lt;&gt;"control"),H1516,0)</f>
        <v>0</v>
      </c>
      <c r="K1516">
        <f>IF(D1516="dram",H1516,0)</f>
        <v>108</v>
      </c>
      <c r="L1516">
        <v>512</v>
      </c>
      <c r="M1516">
        <v>0</v>
      </c>
    </row>
    <row r="1517" spans="1:13">
      <c r="A1517">
        <v>1515</v>
      </c>
      <c r="B1517" t="s">
        <v>57</v>
      </c>
      <c r="C1517" t="s">
        <v>85</v>
      </c>
      <c r="D1517" t="s">
        <v>17</v>
      </c>
      <c r="E1517" t="s">
        <v>210</v>
      </c>
      <c r="F1517">
        <v>0</v>
      </c>
      <c r="G1517">
        <f>MAX(I1510,I1375,I1514,I1377,I1515,I1516,I1512,I1513)</f>
        <v>2715447</v>
      </c>
      <c r="H1517">
        <f>'Operations'!I24</f>
        <v>16384</v>
      </c>
      <c r="I1517">
        <f>G1517+H1517</f>
        <v>2731831</v>
      </c>
      <c r="J1517">
        <f>IF(AND(D1517&lt;&gt;"dram",D1517&lt;&gt;"control"),H1517,0)</f>
        <v>16384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333</v>
      </c>
      <c r="C1518" t="s">
        <v>82</v>
      </c>
      <c r="D1518" t="s">
        <v>83</v>
      </c>
      <c r="E1518" t="s">
        <v>210</v>
      </c>
      <c r="F1518">
        <v>0</v>
      </c>
      <c r="G1518">
        <f>MAX(I1511,I1510)</f>
        <v>2699063</v>
      </c>
      <c r="H1518">
        <f>0</f>
        <v>16384</v>
      </c>
      <c r="I1518">
        <f>G1518+H1518</f>
        <v>2715447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334</v>
      </c>
      <c r="C1519" t="s">
        <v>87</v>
      </c>
      <c r="D1519" t="s">
        <v>79</v>
      </c>
      <c r="E1519" t="s">
        <v>210</v>
      </c>
      <c r="F1519">
        <v>4</v>
      </c>
      <c r="G1519">
        <f>MAX(I1518,I1516)</f>
        <v>2715447</v>
      </c>
      <c r="H1519">
        <f>CEILING((dram_access_latency+F1519/dram_bandwidth)*frequency,1)</f>
        <v>101</v>
      </c>
      <c r="I1519">
        <f>G1519+H1519</f>
        <v>2715548</v>
      </c>
      <c r="J1519">
        <f>IF(AND(D1519&lt;&gt;"dram",D1519&lt;&gt;"control"),H1519,0)</f>
        <v>0</v>
      </c>
      <c r="K1519">
        <f>IF(D1519="dram",H1519,0)</f>
        <v>101</v>
      </c>
      <c r="L1519">
        <v>0</v>
      </c>
      <c r="M1519">
        <v>4</v>
      </c>
    </row>
    <row r="1520" spans="1:13">
      <c r="A1520">
        <v>1518</v>
      </c>
      <c r="B1520" t="s">
        <v>335</v>
      </c>
      <c r="C1520" t="s">
        <v>87</v>
      </c>
      <c r="D1520" t="s">
        <v>79</v>
      </c>
      <c r="E1520" t="s">
        <v>210</v>
      </c>
      <c r="F1520">
        <v>128</v>
      </c>
      <c r="G1520">
        <f>MAX(I1518,I1519)</f>
        <v>2715548</v>
      </c>
      <c r="H1520">
        <f>CEILING((dram_access_latency+F1520/dram_bandwidth)*frequency,1)</f>
        <v>102</v>
      </c>
      <c r="I1520">
        <f>G1520+H1520</f>
        <v>2715650</v>
      </c>
      <c r="J1520">
        <f>IF(AND(D1520&lt;&gt;"dram",D1520&lt;&gt;"control"),H1520,0)</f>
        <v>0</v>
      </c>
      <c r="K1520">
        <f>IF(D1520="dram",H1520,0)</f>
        <v>102</v>
      </c>
      <c r="L1520">
        <v>0</v>
      </c>
      <c r="M1520">
        <v>128</v>
      </c>
    </row>
    <row r="1521" spans="1:13">
      <c r="A1521">
        <v>1519</v>
      </c>
      <c r="B1521" t="s">
        <v>329</v>
      </c>
      <c r="C1521" t="s">
        <v>78</v>
      </c>
      <c r="D1521" t="s">
        <v>79</v>
      </c>
      <c r="E1521" t="s">
        <v>211</v>
      </c>
      <c r="F1521">
        <v>524288</v>
      </c>
      <c r="G1521">
        <f>MAX(I1518,I1520)</f>
        <v>2715650</v>
      </c>
      <c r="H1521">
        <f>CEILING((dram_access_latency+F1521/dram_bandwidth)*frequency,1)</f>
        <v>7811</v>
      </c>
      <c r="I1521">
        <f>G1521+H1521</f>
        <v>2723461</v>
      </c>
      <c r="J1521">
        <f>IF(AND(D1521&lt;&gt;"dram",D1521&lt;&gt;"control"),H1521,0)</f>
        <v>0</v>
      </c>
      <c r="K1521">
        <f>IF(D1521="dram",H1521,0)</f>
        <v>7811</v>
      </c>
      <c r="L1521">
        <v>524288</v>
      </c>
      <c r="M1521">
        <v>0</v>
      </c>
    </row>
    <row r="1522" spans="1:13">
      <c r="A1522">
        <v>1520</v>
      </c>
      <c r="B1522" t="s">
        <v>331</v>
      </c>
      <c r="C1522" t="s">
        <v>78</v>
      </c>
      <c r="D1522" t="s">
        <v>79</v>
      </c>
      <c r="E1522" t="s">
        <v>211</v>
      </c>
      <c r="F1522">
        <v>16384</v>
      </c>
      <c r="G1522">
        <f>MAX(I1518,I1521)</f>
        <v>2723461</v>
      </c>
      <c r="H1522">
        <f>CEILING((dram_access_latency+F1522/dram_bandwidth)*frequency,1)</f>
        <v>341</v>
      </c>
      <c r="I1522">
        <f>G1522+H1522</f>
        <v>2723802</v>
      </c>
      <c r="J1522">
        <f>IF(AND(D1522&lt;&gt;"dram",D1522&lt;&gt;"control"),H1522,0)</f>
        <v>0</v>
      </c>
      <c r="K1522">
        <f>IF(D1522="dram",H1522,0)</f>
        <v>341</v>
      </c>
      <c r="L1522">
        <v>16384</v>
      </c>
      <c r="M1522">
        <v>0</v>
      </c>
    </row>
    <row r="1523" spans="1:13">
      <c r="A1523">
        <v>1521</v>
      </c>
      <c r="B1523" t="s">
        <v>332</v>
      </c>
      <c r="C1523" t="s">
        <v>78</v>
      </c>
      <c r="D1523" t="s">
        <v>79</v>
      </c>
      <c r="E1523" t="s">
        <v>211</v>
      </c>
      <c r="F1523">
        <v>512</v>
      </c>
      <c r="G1523">
        <f>MAX(I1518,I1522)</f>
        <v>2723802</v>
      </c>
      <c r="H1523">
        <f>CEILING((dram_access_latency+F1523/dram_bandwidth)*frequency,1)</f>
        <v>108</v>
      </c>
      <c r="I1523">
        <f>G1523+H1523</f>
        <v>2723910</v>
      </c>
      <c r="J1523">
        <f>IF(AND(D1523&lt;&gt;"dram",D1523&lt;&gt;"control"),H1523,0)</f>
        <v>0</v>
      </c>
      <c r="K1523">
        <f>IF(D1523="dram",H1523,0)</f>
        <v>108</v>
      </c>
      <c r="L1523">
        <v>512</v>
      </c>
      <c r="M1523">
        <v>0</v>
      </c>
    </row>
    <row r="1524" spans="1:13">
      <c r="A1524">
        <v>1522</v>
      </c>
      <c r="B1524" t="s">
        <v>57</v>
      </c>
      <c r="C1524" t="s">
        <v>85</v>
      </c>
      <c r="D1524" t="s">
        <v>17</v>
      </c>
      <c r="E1524" t="s">
        <v>211</v>
      </c>
      <c r="F1524">
        <v>0</v>
      </c>
      <c r="G1524">
        <f>MAX(I1517,I1375,I1521,I1377,I1522,I1523,I1519,I1520)</f>
        <v>2731831</v>
      </c>
      <c r="H1524">
        <f>'Operations'!I24</f>
        <v>16384</v>
      </c>
      <c r="I1524">
        <f>G1524+H1524</f>
        <v>2748215</v>
      </c>
      <c r="J1524">
        <f>IF(AND(D1524&lt;&gt;"dram",D1524&lt;&gt;"control"),H1524,0)</f>
        <v>16384</v>
      </c>
      <c r="K1524">
        <f>IF(D1524="dram",H1524,0)</f>
        <v>0</v>
      </c>
      <c r="L1524">
        <v>0</v>
      </c>
      <c r="M1524">
        <v>0</v>
      </c>
    </row>
    <row r="1525" spans="1:13">
      <c r="A1525">
        <v>1523</v>
      </c>
      <c r="B1525" t="s">
        <v>333</v>
      </c>
      <c r="C1525" t="s">
        <v>82</v>
      </c>
      <c r="D1525" t="s">
        <v>83</v>
      </c>
      <c r="E1525" t="s">
        <v>211</v>
      </c>
      <c r="F1525">
        <v>0</v>
      </c>
      <c r="G1525">
        <f>MAX(I1518,I1517)</f>
        <v>2715447</v>
      </c>
      <c r="H1525">
        <f>0</f>
        <v>16384</v>
      </c>
      <c r="I1525">
        <f>G1525+H1525</f>
        <v>2731831</v>
      </c>
      <c r="J1525">
        <f>IF(AND(D1525&lt;&gt;"dram",D1525&lt;&gt;"control"),H1525,0)</f>
        <v>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334</v>
      </c>
      <c r="C1526" t="s">
        <v>87</v>
      </c>
      <c r="D1526" t="s">
        <v>79</v>
      </c>
      <c r="E1526" t="s">
        <v>211</v>
      </c>
      <c r="F1526">
        <v>4</v>
      </c>
      <c r="G1526">
        <f>MAX(I1525,I1523)</f>
        <v>2731831</v>
      </c>
      <c r="H1526">
        <f>CEILING((dram_access_latency+F1526/dram_bandwidth)*frequency,1)</f>
        <v>101</v>
      </c>
      <c r="I1526">
        <f>G1526+H1526</f>
        <v>2731932</v>
      </c>
      <c r="J1526">
        <f>IF(AND(D1526&lt;&gt;"dram",D1526&lt;&gt;"control"),H1526,0)</f>
        <v>0</v>
      </c>
      <c r="K1526">
        <f>IF(D1526="dram",H1526,0)</f>
        <v>101</v>
      </c>
      <c r="L1526">
        <v>0</v>
      </c>
      <c r="M1526">
        <v>4</v>
      </c>
    </row>
    <row r="1527" spans="1:13">
      <c r="A1527">
        <v>1525</v>
      </c>
      <c r="B1527" t="s">
        <v>335</v>
      </c>
      <c r="C1527" t="s">
        <v>87</v>
      </c>
      <c r="D1527" t="s">
        <v>79</v>
      </c>
      <c r="E1527" t="s">
        <v>211</v>
      </c>
      <c r="F1527">
        <v>128</v>
      </c>
      <c r="G1527">
        <f>MAX(I1525,I1526)</f>
        <v>2731932</v>
      </c>
      <c r="H1527">
        <f>CEILING((dram_access_latency+F1527/dram_bandwidth)*frequency,1)</f>
        <v>102</v>
      </c>
      <c r="I1527">
        <f>G1527+H1527</f>
        <v>2732034</v>
      </c>
      <c r="J1527">
        <f>IF(AND(D1527&lt;&gt;"dram",D1527&lt;&gt;"control"),H1527,0)</f>
        <v>0</v>
      </c>
      <c r="K1527">
        <f>IF(D1527="dram",H1527,0)</f>
        <v>102</v>
      </c>
      <c r="L1527">
        <v>0</v>
      </c>
      <c r="M1527">
        <v>128</v>
      </c>
    </row>
    <row r="1528" spans="1:13">
      <c r="A1528">
        <v>1526</v>
      </c>
      <c r="B1528" t="s">
        <v>329</v>
      </c>
      <c r="C1528" t="s">
        <v>78</v>
      </c>
      <c r="D1528" t="s">
        <v>79</v>
      </c>
      <c r="E1528" t="s">
        <v>212</v>
      </c>
      <c r="F1528">
        <v>524288</v>
      </c>
      <c r="G1528">
        <f>MAX(I1525,I1527)</f>
        <v>2732034</v>
      </c>
      <c r="H1528">
        <f>CEILING((dram_access_latency+F1528/dram_bandwidth)*frequency,1)</f>
        <v>7811</v>
      </c>
      <c r="I1528">
        <f>G1528+H1528</f>
        <v>2739845</v>
      </c>
      <c r="J1528">
        <f>IF(AND(D1528&lt;&gt;"dram",D1528&lt;&gt;"control"),H1528,0)</f>
        <v>0</v>
      </c>
      <c r="K1528">
        <f>IF(D1528="dram",H1528,0)</f>
        <v>7811</v>
      </c>
      <c r="L1528">
        <v>524288</v>
      </c>
      <c r="M1528">
        <v>0</v>
      </c>
    </row>
    <row r="1529" spans="1:13">
      <c r="A1529">
        <v>1527</v>
      </c>
      <c r="B1529" t="s">
        <v>331</v>
      </c>
      <c r="C1529" t="s">
        <v>78</v>
      </c>
      <c r="D1529" t="s">
        <v>79</v>
      </c>
      <c r="E1529" t="s">
        <v>212</v>
      </c>
      <c r="F1529">
        <v>16384</v>
      </c>
      <c r="G1529">
        <f>MAX(I1525,I1528)</f>
        <v>2739845</v>
      </c>
      <c r="H1529">
        <f>CEILING((dram_access_latency+F1529/dram_bandwidth)*frequency,1)</f>
        <v>341</v>
      </c>
      <c r="I1529">
        <f>G1529+H1529</f>
        <v>2740186</v>
      </c>
      <c r="J1529">
        <f>IF(AND(D1529&lt;&gt;"dram",D1529&lt;&gt;"control"),H1529,0)</f>
        <v>0</v>
      </c>
      <c r="K1529">
        <f>IF(D1529="dram",H1529,0)</f>
        <v>341</v>
      </c>
      <c r="L1529">
        <v>16384</v>
      </c>
      <c r="M1529">
        <v>0</v>
      </c>
    </row>
    <row r="1530" spans="1:13">
      <c r="A1530">
        <v>1528</v>
      </c>
      <c r="B1530" t="s">
        <v>332</v>
      </c>
      <c r="C1530" t="s">
        <v>78</v>
      </c>
      <c r="D1530" t="s">
        <v>79</v>
      </c>
      <c r="E1530" t="s">
        <v>212</v>
      </c>
      <c r="F1530">
        <v>512</v>
      </c>
      <c r="G1530">
        <f>MAX(I1525,I1529)</f>
        <v>2740186</v>
      </c>
      <c r="H1530">
        <f>CEILING((dram_access_latency+F1530/dram_bandwidth)*frequency,1)</f>
        <v>108</v>
      </c>
      <c r="I1530">
        <f>G1530+H1530</f>
        <v>2740294</v>
      </c>
      <c r="J1530">
        <f>IF(AND(D1530&lt;&gt;"dram",D1530&lt;&gt;"control"),H1530,0)</f>
        <v>0</v>
      </c>
      <c r="K1530">
        <f>IF(D1530="dram",H1530,0)</f>
        <v>108</v>
      </c>
      <c r="L1530">
        <v>512</v>
      </c>
      <c r="M1530">
        <v>0</v>
      </c>
    </row>
    <row r="1531" spans="1:13">
      <c r="A1531">
        <v>1529</v>
      </c>
      <c r="B1531" t="s">
        <v>57</v>
      </c>
      <c r="C1531" t="s">
        <v>85</v>
      </c>
      <c r="D1531" t="s">
        <v>17</v>
      </c>
      <c r="E1531" t="s">
        <v>212</v>
      </c>
      <c r="F1531">
        <v>0</v>
      </c>
      <c r="G1531">
        <f>MAX(I1524,I1375,I1528,I1377,I1529,I1530,I1526,I1527)</f>
        <v>2748215</v>
      </c>
      <c r="H1531">
        <f>'Operations'!I24</f>
        <v>16384</v>
      </c>
      <c r="I1531">
        <f>G1531+H1531</f>
        <v>2764599</v>
      </c>
      <c r="J1531">
        <f>IF(AND(D1531&lt;&gt;"dram",D1531&lt;&gt;"control"),H1531,0)</f>
        <v>16384</v>
      </c>
      <c r="K1531">
        <f>IF(D1531="dram",H1531,0)</f>
        <v>0</v>
      </c>
      <c r="L1531">
        <v>0</v>
      </c>
      <c r="M1531">
        <v>0</v>
      </c>
    </row>
    <row r="1532" spans="1:13">
      <c r="A1532">
        <v>1530</v>
      </c>
      <c r="B1532" t="s">
        <v>333</v>
      </c>
      <c r="C1532" t="s">
        <v>82</v>
      </c>
      <c r="D1532" t="s">
        <v>83</v>
      </c>
      <c r="E1532" t="s">
        <v>212</v>
      </c>
      <c r="F1532">
        <v>0</v>
      </c>
      <c r="G1532">
        <f>MAX(I1525,I1524)</f>
        <v>2731831</v>
      </c>
      <c r="H1532">
        <f>0</f>
        <v>16384</v>
      </c>
      <c r="I1532">
        <f>G1532+H1532</f>
        <v>2748215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334</v>
      </c>
      <c r="C1533" t="s">
        <v>87</v>
      </c>
      <c r="D1533" t="s">
        <v>79</v>
      </c>
      <c r="E1533" t="s">
        <v>212</v>
      </c>
      <c r="F1533">
        <v>4</v>
      </c>
      <c r="G1533">
        <f>MAX(I1532,I1530)</f>
        <v>2748215</v>
      </c>
      <c r="H1533">
        <f>CEILING((dram_access_latency+F1533/dram_bandwidth)*frequency,1)</f>
        <v>101</v>
      </c>
      <c r="I1533">
        <f>G1533+H1533</f>
        <v>2748316</v>
      </c>
      <c r="J1533">
        <f>IF(AND(D1533&lt;&gt;"dram",D1533&lt;&gt;"control"),H1533,0)</f>
        <v>0</v>
      </c>
      <c r="K1533">
        <f>IF(D1533="dram",H1533,0)</f>
        <v>101</v>
      </c>
      <c r="L1533">
        <v>0</v>
      </c>
      <c r="M1533">
        <v>4</v>
      </c>
    </row>
    <row r="1534" spans="1:13">
      <c r="A1534">
        <v>1532</v>
      </c>
      <c r="B1534" t="s">
        <v>335</v>
      </c>
      <c r="C1534" t="s">
        <v>87</v>
      </c>
      <c r="D1534" t="s">
        <v>79</v>
      </c>
      <c r="E1534" t="s">
        <v>212</v>
      </c>
      <c r="F1534">
        <v>128</v>
      </c>
      <c r="G1534">
        <f>MAX(I1532,I1533)</f>
        <v>2748316</v>
      </c>
      <c r="H1534">
        <f>CEILING((dram_access_latency+F1534/dram_bandwidth)*frequency,1)</f>
        <v>102</v>
      </c>
      <c r="I1534">
        <f>G1534+H1534</f>
        <v>2748418</v>
      </c>
      <c r="J1534">
        <f>IF(AND(D1534&lt;&gt;"dram",D1534&lt;&gt;"control"),H1534,0)</f>
        <v>0</v>
      </c>
      <c r="K1534">
        <f>IF(D1534="dram",H1534,0)</f>
        <v>102</v>
      </c>
      <c r="L1534">
        <v>0</v>
      </c>
      <c r="M1534">
        <v>128</v>
      </c>
    </row>
    <row r="1535" spans="1:13">
      <c r="A1535">
        <v>1533</v>
      </c>
      <c r="B1535" t="s">
        <v>329</v>
      </c>
      <c r="C1535" t="s">
        <v>78</v>
      </c>
      <c r="D1535" t="s">
        <v>79</v>
      </c>
      <c r="E1535" t="s">
        <v>213</v>
      </c>
      <c r="F1535">
        <v>524288</v>
      </c>
      <c r="G1535">
        <f>MAX(I1532,I1534)</f>
        <v>2748418</v>
      </c>
      <c r="H1535">
        <f>CEILING((dram_access_latency+F1535/dram_bandwidth)*frequency,1)</f>
        <v>7811</v>
      </c>
      <c r="I1535">
        <f>G1535+H1535</f>
        <v>2756229</v>
      </c>
      <c r="J1535">
        <f>IF(AND(D1535&lt;&gt;"dram",D1535&lt;&gt;"control"),H1535,0)</f>
        <v>0</v>
      </c>
      <c r="K1535">
        <f>IF(D1535="dram",H1535,0)</f>
        <v>7811</v>
      </c>
      <c r="L1535">
        <v>524288</v>
      </c>
      <c r="M1535">
        <v>0</v>
      </c>
    </row>
    <row r="1536" spans="1:13">
      <c r="A1536">
        <v>1534</v>
      </c>
      <c r="B1536" t="s">
        <v>331</v>
      </c>
      <c r="C1536" t="s">
        <v>78</v>
      </c>
      <c r="D1536" t="s">
        <v>79</v>
      </c>
      <c r="E1536" t="s">
        <v>213</v>
      </c>
      <c r="F1536">
        <v>16384</v>
      </c>
      <c r="G1536">
        <f>MAX(I1532,I1535)</f>
        <v>2756229</v>
      </c>
      <c r="H1536">
        <f>CEILING((dram_access_latency+F1536/dram_bandwidth)*frequency,1)</f>
        <v>341</v>
      </c>
      <c r="I1536">
        <f>G1536+H1536</f>
        <v>2756570</v>
      </c>
      <c r="J1536">
        <f>IF(AND(D1536&lt;&gt;"dram",D1536&lt;&gt;"control"),H1536,0)</f>
        <v>0</v>
      </c>
      <c r="K1536">
        <f>IF(D1536="dram",H1536,0)</f>
        <v>341</v>
      </c>
      <c r="L1536">
        <v>16384</v>
      </c>
      <c r="M1536">
        <v>0</v>
      </c>
    </row>
    <row r="1537" spans="1:13">
      <c r="A1537">
        <v>1535</v>
      </c>
      <c r="B1537" t="s">
        <v>332</v>
      </c>
      <c r="C1537" t="s">
        <v>78</v>
      </c>
      <c r="D1537" t="s">
        <v>79</v>
      </c>
      <c r="E1537" t="s">
        <v>213</v>
      </c>
      <c r="F1537">
        <v>512</v>
      </c>
      <c r="G1537">
        <f>MAX(I1532,I1536)</f>
        <v>2756570</v>
      </c>
      <c r="H1537">
        <f>CEILING((dram_access_latency+F1537/dram_bandwidth)*frequency,1)</f>
        <v>108</v>
      </c>
      <c r="I1537">
        <f>G1537+H1537</f>
        <v>2756678</v>
      </c>
      <c r="J1537">
        <f>IF(AND(D1537&lt;&gt;"dram",D1537&lt;&gt;"control"),H1537,0)</f>
        <v>0</v>
      </c>
      <c r="K1537">
        <f>IF(D1537="dram",H1537,0)</f>
        <v>108</v>
      </c>
      <c r="L1537">
        <v>512</v>
      </c>
      <c r="M1537">
        <v>0</v>
      </c>
    </row>
    <row r="1538" spans="1:13">
      <c r="A1538">
        <v>1536</v>
      </c>
      <c r="B1538" t="s">
        <v>57</v>
      </c>
      <c r="C1538" t="s">
        <v>85</v>
      </c>
      <c r="D1538" t="s">
        <v>17</v>
      </c>
      <c r="E1538" t="s">
        <v>213</v>
      </c>
      <c r="F1538">
        <v>0</v>
      </c>
      <c r="G1538">
        <f>MAX(I1531,I1375,I1535,I1377,I1536,I1537,I1533,I1534)</f>
        <v>2764599</v>
      </c>
      <c r="H1538">
        <f>'Operations'!I24</f>
        <v>16384</v>
      </c>
      <c r="I1538">
        <f>G1538+H1538</f>
        <v>2780983</v>
      </c>
      <c r="J1538">
        <f>IF(AND(D1538&lt;&gt;"dram",D1538&lt;&gt;"control"),H1538,0)</f>
        <v>16384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333</v>
      </c>
      <c r="C1539" t="s">
        <v>82</v>
      </c>
      <c r="D1539" t="s">
        <v>83</v>
      </c>
      <c r="E1539" t="s">
        <v>213</v>
      </c>
      <c r="F1539">
        <v>0</v>
      </c>
      <c r="G1539">
        <f>MAX(I1532,I1531)</f>
        <v>2748215</v>
      </c>
      <c r="H1539">
        <f>0</f>
        <v>16384</v>
      </c>
      <c r="I1539">
        <f>G1539+H1539</f>
        <v>2764599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334</v>
      </c>
      <c r="C1540" t="s">
        <v>87</v>
      </c>
      <c r="D1540" t="s">
        <v>79</v>
      </c>
      <c r="E1540" t="s">
        <v>213</v>
      </c>
      <c r="F1540">
        <v>4</v>
      </c>
      <c r="G1540">
        <f>MAX(I1539,I1537)</f>
        <v>2764599</v>
      </c>
      <c r="H1540">
        <f>CEILING((dram_access_latency+F1540/dram_bandwidth)*frequency,1)</f>
        <v>101</v>
      </c>
      <c r="I1540">
        <f>G1540+H1540</f>
        <v>2764700</v>
      </c>
      <c r="J1540">
        <f>IF(AND(D1540&lt;&gt;"dram",D1540&lt;&gt;"control"),H1540,0)</f>
        <v>0</v>
      </c>
      <c r="K1540">
        <f>IF(D1540="dram",H1540,0)</f>
        <v>101</v>
      </c>
      <c r="L1540">
        <v>0</v>
      </c>
      <c r="M1540">
        <v>4</v>
      </c>
    </row>
    <row r="1541" spans="1:13">
      <c r="A1541">
        <v>1539</v>
      </c>
      <c r="B1541" t="s">
        <v>335</v>
      </c>
      <c r="C1541" t="s">
        <v>87</v>
      </c>
      <c r="D1541" t="s">
        <v>79</v>
      </c>
      <c r="E1541" t="s">
        <v>213</v>
      </c>
      <c r="F1541">
        <v>128</v>
      </c>
      <c r="G1541">
        <f>MAX(I1539,I1540)</f>
        <v>2764700</v>
      </c>
      <c r="H1541">
        <f>CEILING((dram_access_latency+F1541/dram_bandwidth)*frequency,1)</f>
        <v>102</v>
      </c>
      <c r="I1541">
        <f>G1541+H1541</f>
        <v>2764802</v>
      </c>
      <c r="J1541">
        <f>IF(AND(D1541&lt;&gt;"dram",D1541&lt;&gt;"control"),H1541,0)</f>
        <v>0</v>
      </c>
      <c r="K1541">
        <f>IF(D1541="dram",H1541,0)</f>
        <v>102</v>
      </c>
      <c r="L1541">
        <v>0</v>
      </c>
      <c r="M1541">
        <v>128</v>
      </c>
    </row>
    <row r="1542" spans="1:13">
      <c r="A1542">
        <v>1540</v>
      </c>
      <c r="B1542" t="s">
        <v>329</v>
      </c>
      <c r="C1542" t="s">
        <v>78</v>
      </c>
      <c r="D1542" t="s">
        <v>79</v>
      </c>
      <c r="E1542" t="s">
        <v>214</v>
      </c>
      <c r="F1542">
        <v>524288</v>
      </c>
      <c r="G1542">
        <f>MAX(I1539,I1541)</f>
        <v>2764802</v>
      </c>
      <c r="H1542">
        <f>CEILING((dram_access_latency+F1542/dram_bandwidth)*frequency,1)</f>
        <v>7811</v>
      </c>
      <c r="I1542">
        <f>G1542+H1542</f>
        <v>2772613</v>
      </c>
      <c r="J1542">
        <f>IF(AND(D1542&lt;&gt;"dram",D1542&lt;&gt;"control"),H1542,0)</f>
        <v>0</v>
      </c>
      <c r="K1542">
        <f>IF(D1542="dram",H1542,0)</f>
        <v>7811</v>
      </c>
      <c r="L1542">
        <v>524288</v>
      </c>
      <c r="M1542">
        <v>0</v>
      </c>
    </row>
    <row r="1543" spans="1:13">
      <c r="A1543">
        <v>1541</v>
      </c>
      <c r="B1543" t="s">
        <v>331</v>
      </c>
      <c r="C1543" t="s">
        <v>78</v>
      </c>
      <c r="D1543" t="s">
        <v>79</v>
      </c>
      <c r="E1543" t="s">
        <v>214</v>
      </c>
      <c r="F1543">
        <v>16384</v>
      </c>
      <c r="G1543">
        <f>MAX(I1539,I1542)</f>
        <v>2772613</v>
      </c>
      <c r="H1543">
        <f>CEILING((dram_access_latency+F1543/dram_bandwidth)*frequency,1)</f>
        <v>341</v>
      </c>
      <c r="I1543">
        <f>G1543+H1543</f>
        <v>2772954</v>
      </c>
      <c r="J1543">
        <f>IF(AND(D1543&lt;&gt;"dram",D1543&lt;&gt;"control"),H1543,0)</f>
        <v>0</v>
      </c>
      <c r="K1543">
        <f>IF(D1543="dram",H1543,0)</f>
        <v>341</v>
      </c>
      <c r="L1543">
        <v>16384</v>
      </c>
      <c r="M1543">
        <v>0</v>
      </c>
    </row>
    <row r="1544" spans="1:13">
      <c r="A1544">
        <v>1542</v>
      </c>
      <c r="B1544" t="s">
        <v>332</v>
      </c>
      <c r="C1544" t="s">
        <v>78</v>
      </c>
      <c r="D1544" t="s">
        <v>79</v>
      </c>
      <c r="E1544" t="s">
        <v>214</v>
      </c>
      <c r="F1544">
        <v>512</v>
      </c>
      <c r="G1544">
        <f>MAX(I1539,I1543)</f>
        <v>2772954</v>
      </c>
      <c r="H1544">
        <f>CEILING((dram_access_latency+F1544/dram_bandwidth)*frequency,1)</f>
        <v>108</v>
      </c>
      <c r="I1544">
        <f>G1544+H1544</f>
        <v>2773062</v>
      </c>
      <c r="J1544">
        <f>IF(AND(D1544&lt;&gt;"dram",D1544&lt;&gt;"control"),H1544,0)</f>
        <v>0</v>
      </c>
      <c r="K1544">
        <f>IF(D1544="dram",H1544,0)</f>
        <v>108</v>
      </c>
      <c r="L1544">
        <v>512</v>
      </c>
      <c r="M1544">
        <v>0</v>
      </c>
    </row>
    <row r="1545" spans="1:13">
      <c r="A1545">
        <v>1543</v>
      </c>
      <c r="B1545" t="s">
        <v>57</v>
      </c>
      <c r="C1545" t="s">
        <v>85</v>
      </c>
      <c r="D1545" t="s">
        <v>17</v>
      </c>
      <c r="E1545" t="s">
        <v>214</v>
      </c>
      <c r="F1545">
        <v>0</v>
      </c>
      <c r="G1545">
        <f>MAX(I1538,I1375,I1542,I1377,I1543,I1544,I1540,I1541)</f>
        <v>2780983</v>
      </c>
      <c r="H1545">
        <f>'Operations'!I24</f>
        <v>16384</v>
      </c>
      <c r="I1545">
        <f>G1545+H1545</f>
        <v>2797367</v>
      </c>
      <c r="J1545">
        <f>IF(AND(D1545&lt;&gt;"dram",D1545&lt;&gt;"control"),H1545,0)</f>
        <v>16384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333</v>
      </c>
      <c r="C1546" t="s">
        <v>82</v>
      </c>
      <c r="D1546" t="s">
        <v>83</v>
      </c>
      <c r="E1546" t="s">
        <v>214</v>
      </c>
      <c r="F1546">
        <v>0</v>
      </c>
      <c r="G1546">
        <f>MAX(I1539,I1538)</f>
        <v>2764599</v>
      </c>
      <c r="H1546">
        <f>0</f>
        <v>16384</v>
      </c>
      <c r="I1546">
        <f>G1546+H1546</f>
        <v>2780983</v>
      </c>
      <c r="J1546">
        <f>IF(AND(D1546&lt;&gt;"dram",D1546&lt;&gt;"control"),H1546,0)</f>
        <v>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334</v>
      </c>
      <c r="C1547" t="s">
        <v>87</v>
      </c>
      <c r="D1547" t="s">
        <v>79</v>
      </c>
      <c r="E1547" t="s">
        <v>214</v>
      </c>
      <c r="F1547">
        <v>4</v>
      </c>
      <c r="G1547">
        <f>MAX(I1546,I1544)</f>
        <v>2780983</v>
      </c>
      <c r="H1547">
        <f>CEILING((dram_access_latency+F1547/dram_bandwidth)*frequency,1)</f>
        <v>101</v>
      </c>
      <c r="I1547">
        <f>G1547+H1547</f>
        <v>2781084</v>
      </c>
      <c r="J1547">
        <f>IF(AND(D1547&lt;&gt;"dram",D1547&lt;&gt;"control"),H1547,0)</f>
        <v>0</v>
      </c>
      <c r="K1547">
        <f>IF(D1547="dram",H1547,0)</f>
        <v>101</v>
      </c>
      <c r="L1547">
        <v>0</v>
      </c>
      <c r="M1547">
        <v>4</v>
      </c>
    </row>
    <row r="1548" spans="1:13">
      <c r="A1548">
        <v>1546</v>
      </c>
      <c r="B1548" t="s">
        <v>335</v>
      </c>
      <c r="C1548" t="s">
        <v>87</v>
      </c>
      <c r="D1548" t="s">
        <v>79</v>
      </c>
      <c r="E1548" t="s">
        <v>214</v>
      </c>
      <c r="F1548">
        <v>128</v>
      </c>
      <c r="G1548">
        <f>MAX(I1546,I1547)</f>
        <v>2781084</v>
      </c>
      <c r="H1548">
        <f>CEILING((dram_access_latency+F1548/dram_bandwidth)*frequency,1)</f>
        <v>102</v>
      </c>
      <c r="I1548">
        <f>G1548+H1548</f>
        <v>2781186</v>
      </c>
      <c r="J1548">
        <f>IF(AND(D1548&lt;&gt;"dram",D1548&lt;&gt;"control"),H1548,0)</f>
        <v>0</v>
      </c>
      <c r="K1548">
        <f>IF(D1548="dram",H1548,0)</f>
        <v>102</v>
      </c>
      <c r="L1548">
        <v>0</v>
      </c>
      <c r="M1548">
        <v>128</v>
      </c>
    </row>
    <row r="1549" spans="1:13">
      <c r="A1549">
        <v>1547</v>
      </c>
      <c r="B1549" t="s">
        <v>329</v>
      </c>
      <c r="C1549" t="s">
        <v>78</v>
      </c>
      <c r="D1549" t="s">
        <v>79</v>
      </c>
      <c r="E1549" t="s">
        <v>215</v>
      </c>
      <c r="F1549">
        <v>524288</v>
      </c>
      <c r="G1549">
        <f>MAX(I1546,I1548)</f>
        <v>2781186</v>
      </c>
      <c r="H1549">
        <f>CEILING((dram_access_latency+F1549/dram_bandwidth)*frequency,1)</f>
        <v>7811</v>
      </c>
      <c r="I1549">
        <f>G1549+H1549</f>
        <v>2788997</v>
      </c>
      <c r="J1549">
        <f>IF(AND(D1549&lt;&gt;"dram",D1549&lt;&gt;"control"),H1549,0)</f>
        <v>0</v>
      </c>
      <c r="K1549">
        <f>IF(D1549="dram",H1549,0)</f>
        <v>7811</v>
      </c>
      <c r="L1549">
        <v>524288</v>
      </c>
      <c r="M1549">
        <v>0</v>
      </c>
    </row>
    <row r="1550" spans="1:13">
      <c r="A1550">
        <v>1548</v>
      </c>
      <c r="B1550" t="s">
        <v>331</v>
      </c>
      <c r="C1550" t="s">
        <v>78</v>
      </c>
      <c r="D1550" t="s">
        <v>79</v>
      </c>
      <c r="E1550" t="s">
        <v>215</v>
      </c>
      <c r="F1550">
        <v>16384</v>
      </c>
      <c r="G1550">
        <f>MAX(I1546,I1549)</f>
        <v>2788997</v>
      </c>
      <c r="H1550">
        <f>CEILING((dram_access_latency+F1550/dram_bandwidth)*frequency,1)</f>
        <v>341</v>
      </c>
      <c r="I1550">
        <f>G1550+H1550</f>
        <v>2789338</v>
      </c>
      <c r="J1550">
        <f>IF(AND(D1550&lt;&gt;"dram",D1550&lt;&gt;"control"),H1550,0)</f>
        <v>0</v>
      </c>
      <c r="K1550">
        <f>IF(D1550="dram",H1550,0)</f>
        <v>341</v>
      </c>
      <c r="L1550">
        <v>16384</v>
      </c>
      <c r="M1550">
        <v>0</v>
      </c>
    </row>
    <row r="1551" spans="1:13">
      <c r="A1551">
        <v>1549</v>
      </c>
      <c r="B1551" t="s">
        <v>332</v>
      </c>
      <c r="C1551" t="s">
        <v>78</v>
      </c>
      <c r="D1551" t="s">
        <v>79</v>
      </c>
      <c r="E1551" t="s">
        <v>215</v>
      </c>
      <c r="F1551">
        <v>512</v>
      </c>
      <c r="G1551">
        <f>MAX(I1546,I1550)</f>
        <v>2789338</v>
      </c>
      <c r="H1551">
        <f>CEILING((dram_access_latency+F1551/dram_bandwidth)*frequency,1)</f>
        <v>108</v>
      </c>
      <c r="I1551">
        <f>G1551+H1551</f>
        <v>2789446</v>
      </c>
      <c r="J1551">
        <f>IF(AND(D1551&lt;&gt;"dram",D1551&lt;&gt;"control"),H1551,0)</f>
        <v>0</v>
      </c>
      <c r="K1551">
        <f>IF(D1551="dram",H1551,0)</f>
        <v>108</v>
      </c>
      <c r="L1551">
        <v>512</v>
      </c>
      <c r="M1551">
        <v>0</v>
      </c>
    </row>
    <row r="1552" spans="1:13">
      <c r="A1552">
        <v>1550</v>
      </c>
      <c r="B1552" t="s">
        <v>57</v>
      </c>
      <c r="C1552" t="s">
        <v>85</v>
      </c>
      <c r="D1552" t="s">
        <v>17</v>
      </c>
      <c r="E1552" t="s">
        <v>215</v>
      </c>
      <c r="F1552">
        <v>0</v>
      </c>
      <c r="G1552">
        <f>MAX(I1545,I1375,I1549,I1377,I1550,I1551,I1547,I1548)</f>
        <v>2797367</v>
      </c>
      <c r="H1552">
        <f>'Operations'!I24</f>
        <v>16384</v>
      </c>
      <c r="I1552">
        <f>G1552+H1552</f>
        <v>2813751</v>
      </c>
      <c r="J1552">
        <f>IF(AND(D1552&lt;&gt;"dram",D1552&lt;&gt;"control"),H1552,0)</f>
        <v>16384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333</v>
      </c>
      <c r="C1553" t="s">
        <v>82</v>
      </c>
      <c r="D1553" t="s">
        <v>83</v>
      </c>
      <c r="E1553" t="s">
        <v>215</v>
      </c>
      <c r="F1553">
        <v>0</v>
      </c>
      <c r="G1553">
        <f>MAX(I1546,I1545)</f>
        <v>2780983</v>
      </c>
      <c r="H1553">
        <f>0</f>
        <v>16384</v>
      </c>
      <c r="I1553">
        <f>G1553+H1553</f>
        <v>2797367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334</v>
      </c>
      <c r="C1554" t="s">
        <v>87</v>
      </c>
      <c r="D1554" t="s">
        <v>79</v>
      </c>
      <c r="E1554" t="s">
        <v>215</v>
      </c>
      <c r="F1554">
        <v>4</v>
      </c>
      <c r="G1554">
        <f>MAX(I1553,I1551)</f>
        <v>2797367</v>
      </c>
      <c r="H1554">
        <f>CEILING((dram_access_latency+F1554/dram_bandwidth)*frequency,1)</f>
        <v>101</v>
      </c>
      <c r="I1554">
        <f>G1554+H1554</f>
        <v>2797468</v>
      </c>
      <c r="J1554">
        <f>IF(AND(D1554&lt;&gt;"dram",D1554&lt;&gt;"control"),H1554,0)</f>
        <v>0</v>
      </c>
      <c r="K1554">
        <f>IF(D1554="dram",H1554,0)</f>
        <v>101</v>
      </c>
      <c r="L1554">
        <v>0</v>
      </c>
      <c r="M1554">
        <v>4</v>
      </c>
    </row>
    <row r="1555" spans="1:13">
      <c r="A1555">
        <v>1553</v>
      </c>
      <c r="B1555" t="s">
        <v>335</v>
      </c>
      <c r="C1555" t="s">
        <v>87</v>
      </c>
      <c r="D1555" t="s">
        <v>79</v>
      </c>
      <c r="E1555" t="s">
        <v>215</v>
      </c>
      <c r="F1555">
        <v>128</v>
      </c>
      <c r="G1555">
        <f>MAX(I1553,I1554)</f>
        <v>2797468</v>
      </c>
      <c r="H1555">
        <f>CEILING((dram_access_latency+F1555/dram_bandwidth)*frequency,1)</f>
        <v>102</v>
      </c>
      <c r="I1555">
        <f>G1555+H1555</f>
        <v>2797570</v>
      </c>
      <c r="J1555">
        <f>IF(AND(D1555&lt;&gt;"dram",D1555&lt;&gt;"control"),H1555,0)</f>
        <v>0</v>
      </c>
      <c r="K1555">
        <f>IF(D1555="dram",H1555,0)</f>
        <v>102</v>
      </c>
      <c r="L1555">
        <v>0</v>
      </c>
      <c r="M1555">
        <v>128</v>
      </c>
    </row>
    <row r="1556" spans="1:13">
      <c r="A1556">
        <v>1554</v>
      </c>
      <c r="B1556" t="s">
        <v>329</v>
      </c>
      <c r="C1556" t="s">
        <v>78</v>
      </c>
      <c r="D1556" t="s">
        <v>79</v>
      </c>
      <c r="E1556" t="s">
        <v>216</v>
      </c>
      <c r="F1556">
        <v>524288</v>
      </c>
      <c r="G1556">
        <f>MAX(I1553,I1555)</f>
        <v>2797570</v>
      </c>
      <c r="H1556">
        <f>CEILING((dram_access_latency+F1556/dram_bandwidth)*frequency,1)</f>
        <v>7811</v>
      </c>
      <c r="I1556">
        <f>G1556+H1556</f>
        <v>2805381</v>
      </c>
      <c r="J1556">
        <f>IF(AND(D1556&lt;&gt;"dram",D1556&lt;&gt;"control"),H1556,0)</f>
        <v>0</v>
      </c>
      <c r="K1556">
        <f>IF(D1556="dram",H1556,0)</f>
        <v>7811</v>
      </c>
      <c r="L1556">
        <v>524288</v>
      </c>
      <c r="M1556">
        <v>0</v>
      </c>
    </row>
    <row r="1557" spans="1:13">
      <c r="A1557">
        <v>1555</v>
      </c>
      <c r="B1557" t="s">
        <v>331</v>
      </c>
      <c r="C1557" t="s">
        <v>78</v>
      </c>
      <c r="D1557" t="s">
        <v>79</v>
      </c>
      <c r="E1557" t="s">
        <v>216</v>
      </c>
      <c r="F1557">
        <v>16384</v>
      </c>
      <c r="G1557">
        <f>MAX(I1553,I1556)</f>
        <v>2805381</v>
      </c>
      <c r="H1557">
        <f>CEILING((dram_access_latency+F1557/dram_bandwidth)*frequency,1)</f>
        <v>341</v>
      </c>
      <c r="I1557">
        <f>G1557+H1557</f>
        <v>2805722</v>
      </c>
      <c r="J1557">
        <f>IF(AND(D1557&lt;&gt;"dram",D1557&lt;&gt;"control"),H1557,0)</f>
        <v>0</v>
      </c>
      <c r="K1557">
        <f>IF(D1557="dram",H1557,0)</f>
        <v>341</v>
      </c>
      <c r="L1557">
        <v>16384</v>
      </c>
      <c r="M1557">
        <v>0</v>
      </c>
    </row>
    <row r="1558" spans="1:13">
      <c r="A1558">
        <v>1556</v>
      </c>
      <c r="B1558" t="s">
        <v>332</v>
      </c>
      <c r="C1558" t="s">
        <v>78</v>
      </c>
      <c r="D1558" t="s">
        <v>79</v>
      </c>
      <c r="E1558" t="s">
        <v>216</v>
      </c>
      <c r="F1558">
        <v>512</v>
      </c>
      <c r="G1558">
        <f>MAX(I1553,I1557)</f>
        <v>2805722</v>
      </c>
      <c r="H1558">
        <f>CEILING((dram_access_latency+F1558/dram_bandwidth)*frequency,1)</f>
        <v>108</v>
      </c>
      <c r="I1558">
        <f>G1558+H1558</f>
        <v>2805830</v>
      </c>
      <c r="J1558">
        <f>IF(AND(D1558&lt;&gt;"dram",D1558&lt;&gt;"control"),H1558,0)</f>
        <v>0</v>
      </c>
      <c r="K1558">
        <f>IF(D1558="dram",H1558,0)</f>
        <v>108</v>
      </c>
      <c r="L1558">
        <v>512</v>
      </c>
      <c r="M1558">
        <v>0</v>
      </c>
    </row>
    <row r="1559" spans="1:13">
      <c r="A1559">
        <v>1557</v>
      </c>
      <c r="B1559" t="s">
        <v>57</v>
      </c>
      <c r="C1559" t="s">
        <v>85</v>
      </c>
      <c r="D1559" t="s">
        <v>17</v>
      </c>
      <c r="E1559" t="s">
        <v>216</v>
      </c>
      <c r="F1559">
        <v>0</v>
      </c>
      <c r="G1559">
        <f>MAX(I1552,I1375,I1556,I1377,I1557,I1558,I1554,I1555)</f>
        <v>2813751</v>
      </c>
      <c r="H1559">
        <f>'Operations'!I24</f>
        <v>16384</v>
      </c>
      <c r="I1559">
        <f>G1559+H1559</f>
        <v>2830135</v>
      </c>
      <c r="J1559">
        <f>IF(AND(D1559&lt;&gt;"dram",D1559&lt;&gt;"control"),H1559,0)</f>
        <v>16384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333</v>
      </c>
      <c r="C1560" t="s">
        <v>82</v>
      </c>
      <c r="D1560" t="s">
        <v>83</v>
      </c>
      <c r="E1560" t="s">
        <v>216</v>
      </c>
      <c r="F1560">
        <v>0</v>
      </c>
      <c r="G1560">
        <f>MAX(I1553,I1552)</f>
        <v>2797367</v>
      </c>
      <c r="H1560">
        <f>0</f>
        <v>16384</v>
      </c>
      <c r="I1560">
        <f>G1560+H1560</f>
        <v>2813751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334</v>
      </c>
      <c r="C1561" t="s">
        <v>87</v>
      </c>
      <c r="D1561" t="s">
        <v>79</v>
      </c>
      <c r="E1561" t="s">
        <v>216</v>
      </c>
      <c r="F1561">
        <v>4</v>
      </c>
      <c r="G1561">
        <f>MAX(I1560,I1558)</f>
        <v>2813751</v>
      </c>
      <c r="H1561">
        <f>CEILING((dram_access_latency+F1561/dram_bandwidth)*frequency,1)</f>
        <v>101</v>
      </c>
      <c r="I1561">
        <f>G1561+H1561</f>
        <v>2813852</v>
      </c>
      <c r="J1561">
        <f>IF(AND(D1561&lt;&gt;"dram",D1561&lt;&gt;"control"),H1561,0)</f>
        <v>0</v>
      </c>
      <c r="K1561">
        <f>IF(D1561="dram",H1561,0)</f>
        <v>101</v>
      </c>
      <c r="L1561">
        <v>0</v>
      </c>
      <c r="M1561">
        <v>4</v>
      </c>
    </row>
    <row r="1562" spans="1:13">
      <c r="A1562">
        <v>1560</v>
      </c>
      <c r="B1562" t="s">
        <v>335</v>
      </c>
      <c r="C1562" t="s">
        <v>87</v>
      </c>
      <c r="D1562" t="s">
        <v>79</v>
      </c>
      <c r="E1562" t="s">
        <v>216</v>
      </c>
      <c r="F1562">
        <v>128</v>
      </c>
      <c r="G1562">
        <f>MAX(I1560,I1561)</f>
        <v>2813852</v>
      </c>
      <c r="H1562">
        <f>CEILING((dram_access_latency+F1562/dram_bandwidth)*frequency,1)</f>
        <v>102</v>
      </c>
      <c r="I1562">
        <f>G1562+H1562</f>
        <v>2813954</v>
      </c>
      <c r="J1562">
        <f>IF(AND(D1562&lt;&gt;"dram",D1562&lt;&gt;"control"),H1562,0)</f>
        <v>0</v>
      </c>
      <c r="K1562">
        <f>IF(D1562="dram",H1562,0)</f>
        <v>102</v>
      </c>
      <c r="L1562">
        <v>0</v>
      </c>
      <c r="M1562">
        <v>128</v>
      </c>
    </row>
    <row r="1563" spans="1:13">
      <c r="A1563">
        <v>1561</v>
      </c>
      <c r="B1563" t="s">
        <v>329</v>
      </c>
      <c r="C1563" t="s">
        <v>78</v>
      </c>
      <c r="D1563" t="s">
        <v>79</v>
      </c>
      <c r="E1563" t="s">
        <v>217</v>
      </c>
      <c r="F1563">
        <v>524288</v>
      </c>
      <c r="G1563">
        <f>MAX(I1560,I1562)</f>
        <v>2813954</v>
      </c>
      <c r="H1563">
        <f>CEILING((dram_access_latency+F1563/dram_bandwidth)*frequency,1)</f>
        <v>7811</v>
      </c>
      <c r="I1563">
        <f>G1563+H1563</f>
        <v>2821765</v>
      </c>
      <c r="J1563">
        <f>IF(AND(D1563&lt;&gt;"dram",D1563&lt;&gt;"control"),H1563,0)</f>
        <v>0</v>
      </c>
      <c r="K1563">
        <f>IF(D1563="dram",H1563,0)</f>
        <v>7811</v>
      </c>
      <c r="L1563">
        <v>524288</v>
      </c>
      <c r="M1563">
        <v>0</v>
      </c>
    </row>
    <row r="1564" spans="1:13">
      <c r="A1564">
        <v>1562</v>
      </c>
      <c r="B1564" t="s">
        <v>331</v>
      </c>
      <c r="C1564" t="s">
        <v>78</v>
      </c>
      <c r="D1564" t="s">
        <v>79</v>
      </c>
      <c r="E1564" t="s">
        <v>217</v>
      </c>
      <c r="F1564">
        <v>16384</v>
      </c>
      <c r="G1564">
        <f>MAX(I1560,I1563)</f>
        <v>2821765</v>
      </c>
      <c r="H1564">
        <f>CEILING((dram_access_latency+F1564/dram_bandwidth)*frequency,1)</f>
        <v>341</v>
      </c>
      <c r="I1564">
        <f>G1564+H1564</f>
        <v>2822106</v>
      </c>
      <c r="J1564">
        <f>IF(AND(D1564&lt;&gt;"dram",D1564&lt;&gt;"control"),H1564,0)</f>
        <v>0</v>
      </c>
      <c r="K1564">
        <f>IF(D1564="dram",H1564,0)</f>
        <v>341</v>
      </c>
      <c r="L1564">
        <v>16384</v>
      </c>
      <c r="M1564">
        <v>0</v>
      </c>
    </row>
    <row r="1565" spans="1:13">
      <c r="A1565">
        <v>1563</v>
      </c>
      <c r="B1565" t="s">
        <v>332</v>
      </c>
      <c r="C1565" t="s">
        <v>78</v>
      </c>
      <c r="D1565" t="s">
        <v>79</v>
      </c>
      <c r="E1565" t="s">
        <v>217</v>
      </c>
      <c r="F1565">
        <v>512</v>
      </c>
      <c r="G1565">
        <f>MAX(I1560,I1564)</f>
        <v>2822106</v>
      </c>
      <c r="H1565">
        <f>CEILING((dram_access_latency+F1565/dram_bandwidth)*frequency,1)</f>
        <v>108</v>
      </c>
      <c r="I1565">
        <f>G1565+H1565</f>
        <v>2822214</v>
      </c>
      <c r="J1565">
        <f>IF(AND(D1565&lt;&gt;"dram",D1565&lt;&gt;"control"),H1565,0)</f>
        <v>0</v>
      </c>
      <c r="K1565">
        <f>IF(D1565="dram",H1565,0)</f>
        <v>108</v>
      </c>
      <c r="L1565">
        <v>512</v>
      </c>
      <c r="M1565">
        <v>0</v>
      </c>
    </row>
    <row r="1566" spans="1:13">
      <c r="A1566">
        <v>1564</v>
      </c>
      <c r="B1566" t="s">
        <v>57</v>
      </c>
      <c r="C1566" t="s">
        <v>85</v>
      </c>
      <c r="D1566" t="s">
        <v>17</v>
      </c>
      <c r="E1566" t="s">
        <v>217</v>
      </c>
      <c r="F1566">
        <v>0</v>
      </c>
      <c r="G1566">
        <f>MAX(I1559,I1375,I1563,I1377,I1564,I1565,I1561,I1562)</f>
        <v>2830135</v>
      </c>
      <c r="H1566">
        <f>'Operations'!I24</f>
        <v>16384</v>
      </c>
      <c r="I1566">
        <f>G1566+H1566</f>
        <v>2846519</v>
      </c>
      <c r="J1566">
        <f>IF(AND(D1566&lt;&gt;"dram",D1566&lt;&gt;"control"),H1566,0)</f>
        <v>16384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333</v>
      </c>
      <c r="C1567" t="s">
        <v>82</v>
      </c>
      <c r="D1567" t="s">
        <v>83</v>
      </c>
      <c r="E1567" t="s">
        <v>217</v>
      </c>
      <c r="F1567">
        <v>0</v>
      </c>
      <c r="G1567">
        <f>MAX(I1560,I1559)</f>
        <v>2813751</v>
      </c>
      <c r="H1567">
        <f>0</f>
        <v>16384</v>
      </c>
      <c r="I1567">
        <f>G1567+H1567</f>
        <v>2830135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334</v>
      </c>
      <c r="C1568" t="s">
        <v>87</v>
      </c>
      <c r="D1568" t="s">
        <v>79</v>
      </c>
      <c r="E1568" t="s">
        <v>217</v>
      </c>
      <c r="F1568">
        <v>4</v>
      </c>
      <c r="G1568">
        <f>MAX(I1567,I1565)</f>
        <v>2830135</v>
      </c>
      <c r="H1568">
        <f>CEILING((dram_access_latency+F1568/dram_bandwidth)*frequency,1)</f>
        <v>101</v>
      </c>
      <c r="I1568">
        <f>G1568+H1568</f>
        <v>2830236</v>
      </c>
      <c r="J1568">
        <f>IF(AND(D1568&lt;&gt;"dram",D1568&lt;&gt;"control"),H1568,0)</f>
        <v>0</v>
      </c>
      <c r="K1568">
        <f>IF(D1568="dram",H1568,0)</f>
        <v>101</v>
      </c>
      <c r="L1568">
        <v>0</v>
      </c>
      <c r="M1568">
        <v>4</v>
      </c>
    </row>
    <row r="1569" spans="1:13">
      <c r="A1569">
        <v>1567</v>
      </c>
      <c r="B1569" t="s">
        <v>335</v>
      </c>
      <c r="C1569" t="s">
        <v>87</v>
      </c>
      <c r="D1569" t="s">
        <v>79</v>
      </c>
      <c r="E1569" t="s">
        <v>217</v>
      </c>
      <c r="F1569">
        <v>128</v>
      </c>
      <c r="G1569">
        <f>MAX(I1567,I1568)</f>
        <v>2830236</v>
      </c>
      <c r="H1569">
        <f>CEILING((dram_access_latency+F1569/dram_bandwidth)*frequency,1)</f>
        <v>102</v>
      </c>
      <c r="I1569">
        <f>G1569+H1569</f>
        <v>2830338</v>
      </c>
      <c r="J1569">
        <f>IF(AND(D1569&lt;&gt;"dram",D1569&lt;&gt;"control"),H1569,0)</f>
        <v>0</v>
      </c>
      <c r="K1569">
        <f>IF(D1569="dram",H1569,0)</f>
        <v>102</v>
      </c>
      <c r="L1569">
        <v>0</v>
      </c>
      <c r="M1569">
        <v>128</v>
      </c>
    </row>
    <row r="1570" spans="1:13">
      <c r="A1570">
        <v>1568</v>
      </c>
      <c r="B1570" t="s">
        <v>329</v>
      </c>
      <c r="C1570" t="s">
        <v>78</v>
      </c>
      <c r="D1570" t="s">
        <v>79</v>
      </c>
      <c r="E1570" t="s">
        <v>218</v>
      </c>
      <c r="F1570">
        <v>524288</v>
      </c>
      <c r="G1570">
        <f>MAX(I1567,I1569)</f>
        <v>2830338</v>
      </c>
      <c r="H1570">
        <f>CEILING((dram_access_latency+F1570/dram_bandwidth)*frequency,1)</f>
        <v>7811</v>
      </c>
      <c r="I1570">
        <f>G1570+H1570</f>
        <v>2838149</v>
      </c>
      <c r="J1570">
        <f>IF(AND(D1570&lt;&gt;"dram",D1570&lt;&gt;"control"),H1570,0)</f>
        <v>0</v>
      </c>
      <c r="K1570">
        <f>IF(D1570="dram",H1570,0)</f>
        <v>7811</v>
      </c>
      <c r="L1570">
        <v>524288</v>
      </c>
      <c r="M1570">
        <v>0</v>
      </c>
    </row>
    <row r="1571" spans="1:13">
      <c r="A1571">
        <v>1569</v>
      </c>
      <c r="B1571" t="s">
        <v>331</v>
      </c>
      <c r="C1571" t="s">
        <v>78</v>
      </c>
      <c r="D1571" t="s">
        <v>79</v>
      </c>
      <c r="E1571" t="s">
        <v>218</v>
      </c>
      <c r="F1571">
        <v>16384</v>
      </c>
      <c r="G1571">
        <f>MAX(I1567,I1570)</f>
        <v>2838149</v>
      </c>
      <c r="H1571">
        <f>CEILING((dram_access_latency+F1571/dram_bandwidth)*frequency,1)</f>
        <v>341</v>
      </c>
      <c r="I1571">
        <f>G1571+H1571</f>
        <v>2838490</v>
      </c>
      <c r="J1571">
        <f>IF(AND(D1571&lt;&gt;"dram",D1571&lt;&gt;"control"),H1571,0)</f>
        <v>0</v>
      </c>
      <c r="K1571">
        <f>IF(D1571="dram",H1571,0)</f>
        <v>341</v>
      </c>
      <c r="L1571">
        <v>16384</v>
      </c>
      <c r="M1571">
        <v>0</v>
      </c>
    </row>
    <row r="1572" spans="1:13">
      <c r="A1572">
        <v>1570</v>
      </c>
      <c r="B1572" t="s">
        <v>332</v>
      </c>
      <c r="C1572" t="s">
        <v>78</v>
      </c>
      <c r="D1572" t="s">
        <v>79</v>
      </c>
      <c r="E1572" t="s">
        <v>218</v>
      </c>
      <c r="F1572">
        <v>512</v>
      </c>
      <c r="G1572">
        <f>MAX(I1567,I1571)</f>
        <v>2838490</v>
      </c>
      <c r="H1572">
        <f>CEILING((dram_access_latency+F1572/dram_bandwidth)*frequency,1)</f>
        <v>108</v>
      </c>
      <c r="I1572">
        <f>G1572+H1572</f>
        <v>2838598</v>
      </c>
      <c r="J1572">
        <f>IF(AND(D1572&lt;&gt;"dram",D1572&lt;&gt;"control"),H1572,0)</f>
        <v>0</v>
      </c>
      <c r="K1572">
        <f>IF(D1572="dram",H1572,0)</f>
        <v>108</v>
      </c>
      <c r="L1572">
        <v>512</v>
      </c>
      <c r="M1572">
        <v>0</v>
      </c>
    </row>
    <row r="1573" spans="1:13">
      <c r="A1573">
        <v>1571</v>
      </c>
      <c r="B1573" t="s">
        <v>57</v>
      </c>
      <c r="C1573" t="s">
        <v>85</v>
      </c>
      <c r="D1573" t="s">
        <v>17</v>
      </c>
      <c r="E1573" t="s">
        <v>218</v>
      </c>
      <c r="F1573">
        <v>0</v>
      </c>
      <c r="G1573">
        <f>MAX(I1566,I1375,I1570,I1377,I1571,I1572,I1568,I1569)</f>
        <v>2846519</v>
      </c>
      <c r="H1573">
        <f>'Operations'!I24</f>
        <v>16384</v>
      </c>
      <c r="I1573">
        <f>G1573+H1573</f>
        <v>2862903</v>
      </c>
      <c r="J1573">
        <f>IF(AND(D1573&lt;&gt;"dram",D1573&lt;&gt;"control"),H1573,0)</f>
        <v>16384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333</v>
      </c>
      <c r="C1574" t="s">
        <v>82</v>
      </c>
      <c r="D1574" t="s">
        <v>83</v>
      </c>
      <c r="E1574" t="s">
        <v>218</v>
      </c>
      <c r="F1574">
        <v>0</v>
      </c>
      <c r="G1574">
        <f>MAX(I1567,I1566)</f>
        <v>2830135</v>
      </c>
      <c r="H1574">
        <f>0</f>
        <v>16384</v>
      </c>
      <c r="I1574">
        <f>G1574+H1574</f>
        <v>2846519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334</v>
      </c>
      <c r="C1575" t="s">
        <v>87</v>
      </c>
      <c r="D1575" t="s">
        <v>79</v>
      </c>
      <c r="E1575" t="s">
        <v>218</v>
      </c>
      <c r="F1575">
        <v>4</v>
      </c>
      <c r="G1575">
        <f>MAX(I1574,I1572)</f>
        <v>2846519</v>
      </c>
      <c r="H1575">
        <f>CEILING((dram_access_latency+F1575/dram_bandwidth)*frequency,1)</f>
        <v>101</v>
      </c>
      <c r="I1575">
        <f>G1575+H1575</f>
        <v>2846620</v>
      </c>
      <c r="J1575">
        <f>IF(AND(D1575&lt;&gt;"dram",D1575&lt;&gt;"control"),H1575,0)</f>
        <v>0</v>
      </c>
      <c r="K1575">
        <f>IF(D1575="dram",H1575,0)</f>
        <v>101</v>
      </c>
      <c r="L1575">
        <v>0</v>
      </c>
      <c r="M1575">
        <v>4</v>
      </c>
    </row>
    <row r="1576" spans="1:13">
      <c r="A1576">
        <v>1574</v>
      </c>
      <c r="B1576" t="s">
        <v>335</v>
      </c>
      <c r="C1576" t="s">
        <v>87</v>
      </c>
      <c r="D1576" t="s">
        <v>79</v>
      </c>
      <c r="E1576" t="s">
        <v>218</v>
      </c>
      <c r="F1576">
        <v>128</v>
      </c>
      <c r="G1576">
        <f>MAX(I1574,I1575)</f>
        <v>2846620</v>
      </c>
      <c r="H1576">
        <f>CEILING((dram_access_latency+F1576/dram_bandwidth)*frequency,1)</f>
        <v>102</v>
      </c>
      <c r="I1576">
        <f>G1576+H1576</f>
        <v>2846722</v>
      </c>
      <c r="J1576">
        <f>IF(AND(D1576&lt;&gt;"dram",D1576&lt;&gt;"control"),H1576,0)</f>
        <v>0</v>
      </c>
      <c r="K1576">
        <f>IF(D1576="dram",H1576,0)</f>
        <v>102</v>
      </c>
      <c r="L1576">
        <v>0</v>
      </c>
      <c r="M1576">
        <v>128</v>
      </c>
    </row>
    <row r="1577" spans="1:13">
      <c r="A1577">
        <v>1575</v>
      </c>
      <c r="B1577" t="s">
        <v>329</v>
      </c>
      <c r="C1577" t="s">
        <v>78</v>
      </c>
      <c r="D1577" t="s">
        <v>79</v>
      </c>
      <c r="E1577" t="s">
        <v>219</v>
      </c>
      <c r="F1577">
        <v>524288</v>
      </c>
      <c r="G1577">
        <f>MAX(I1574,I1576)</f>
        <v>2846722</v>
      </c>
      <c r="H1577">
        <f>CEILING((dram_access_latency+F1577/dram_bandwidth)*frequency,1)</f>
        <v>7811</v>
      </c>
      <c r="I1577">
        <f>G1577+H1577</f>
        <v>2854533</v>
      </c>
      <c r="J1577">
        <f>IF(AND(D1577&lt;&gt;"dram",D1577&lt;&gt;"control"),H1577,0)</f>
        <v>0</v>
      </c>
      <c r="K1577">
        <f>IF(D1577="dram",H1577,0)</f>
        <v>7811</v>
      </c>
      <c r="L1577">
        <v>524288</v>
      </c>
      <c r="M1577">
        <v>0</v>
      </c>
    </row>
    <row r="1578" spans="1:13">
      <c r="A1578">
        <v>1576</v>
      </c>
      <c r="B1578" t="s">
        <v>331</v>
      </c>
      <c r="C1578" t="s">
        <v>78</v>
      </c>
      <c r="D1578" t="s">
        <v>79</v>
      </c>
      <c r="E1578" t="s">
        <v>219</v>
      </c>
      <c r="F1578">
        <v>16384</v>
      </c>
      <c r="G1578">
        <f>MAX(I1574,I1577)</f>
        <v>2854533</v>
      </c>
      <c r="H1578">
        <f>CEILING((dram_access_latency+F1578/dram_bandwidth)*frequency,1)</f>
        <v>341</v>
      </c>
      <c r="I1578">
        <f>G1578+H1578</f>
        <v>2854874</v>
      </c>
      <c r="J1578">
        <f>IF(AND(D1578&lt;&gt;"dram",D1578&lt;&gt;"control"),H1578,0)</f>
        <v>0</v>
      </c>
      <c r="K1578">
        <f>IF(D1578="dram",H1578,0)</f>
        <v>341</v>
      </c>
      <c r="L1578">
        <v>16384</v>
      </c>
      <c r="M1578">
        <v>0</v>
      </c>
    </row>
    <row r="1579" spans="1:13">
      <c r="A1579">
        <v>1577</v>
      </c>
      <c r="B1579" t="s">
        <v>332</v>
      </c>
      <c r="C1579" t="s">
        <v>78</v>
      </c>
      <c r="D1579" t="s">
        <v>79</v>
      </c>
      <c r="E1579" t="s">
        <v>219</v>
      </c>
      <c r="F1579">
        <v>512</v>
      </c>
      <c r="G1579">
        <f>MAX(I1574,I1578)</f>
        <v>2854874</v>
      </c>
      <c r="H1579">
        <f>CEILING((dram_access_latency+F1579/dram_bandwidth)*frequency,1)</f>
        <v>108</v>
      </c>
      <c r="I1579">
        <f>G1579+H1579</f>
        <v>2854982</v>
      </c>
      <c r="J1579">
        <f>IF(AND(D1579&lt;&gt;"dram",D1579&lt;&gt;"control"),H1579,0)</f>
        <v>0</v>
      </c>
      <c r="K1579">
        <f>IF(D1579="dram",H1579,0)</f>
        <v>108</v>
      </c>
      <c r="L1579">
        <v>512</v>
      </c>
      <c r="M1579">
        <v>0</v>
      </c>
    </row>
    <row r="1580" spans="1:13">
      <c r="A1580">
        <v>1578</v>
      </c>
      <c r="B1580" t="s">
        <v>57</v>
      </c>
      <c r="C1580" t="s">
        <v>85</v>
      </c>
      <c r="D1580" t="s">
        <v>17</v>
      </c>
      <c r="E1580" t="s">
        <v>219</v>
      </c>
      <c r="F1580">
        <v>0</v>
      </c>
      <c r="G1580">
        <f>MAX(I1573,I1375,I1577,I1377,I1578,I1579,I1575,I1576)</f>
        <v>2862903</v>
      </c>
      <c r="H1580">
        <f>'Operations'!I24</f>
        <v>16384</v>
      </c>
      <c r="I1580">
        <f>G1580+H1580</f>
        <v>2879287</v>
      </c>
      <c r="J1580">
        <f>IF(AND(D1580&lt;&gt;"dram",D1580&lt;&gt;"control"),H1580,0)</f>
        <v>16384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333</v>
      </c>
      <c r="C1581" t="s">
        <v>82</v>
      </c>
      <c r="D1581" t="s">
        <v>83</v>
      </c>
      <c r="E1581" t="s">
        <v>219</v>
      </c>
      <c r="F1581">
        <v>0</v>
      </c>
      <c r="G1581">
        <f>MAX(I1574,I1573)</f>
        <v>2846519</v>
      </c>
      <c r="H1581">
        <f>0</f>
        <v>16384</v>
      </c>
      <c r="I1581">
        <f>G1581+H1581</f>
        <v>2862903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334</v>
      </c>
      <c r="C1582" t="s">
        <v>87</v>
      </c>
      <c r="D1582" t="s">
        <v>79</v>
      </c>
      <c r="E1582" t="s">
        <v>219</v>
      </c>
      <c r="F1582">
        <v>4</v>
      </c>
      <c r="G1582">
        <f>MAX(I1581,I1579)</f>
        <v>2862903</v>
      </c>
      <c r="H1582">
        <f>CEILING((dram_access_latency+F1582/dram_bandwidth)*frequency,1)</f>
        <v>101</v>
      </c>
      <c r="I1582">
        <f>G1582+H1582</f>
        <v>2863004</v>
      </c>
      <c r="J1582">
        <f>IF(AND(D1582&lt;&gt;"dram",D1582&lt;&gt;"control"),H1582,0)</f>
        <v>0</v>
      </c>
      <c r="K1582">
        <f>IF(D1582="dram",H1582,0)</f>
        <v>101</v>
      </c>
      <c r="L1582">
        <v>0</v>
      </c>
      <c r="M1582">
        <v>4</v>
      </c>
    </row>
    <row r="1583" spans="1:13">
      <c r="A1583">
        <v>1581</v>
      </c>
      <c r="B1583" t="s">
        <v>335</v>
      </c>
      <c r="C1583" t="s">
        <v>87</v>
      </c>
      <c r="D1583" t="s">
        <v>79</v>
      </c>
      <c r="E1583" t="s">
        <v>219</v>
      </c>
      <c r="F1583">
        <v>128</v>
      </c>
      <c r="G1583">
        <f>MAX(I1581,I1582)</f>
        <v>2863004</v>
      </c>
      <c r="H1583">
        <f>CEILING((dram_access_latency+F1583/dram_bandwidth)*frequency,1)</f>
        <v>102</v>
      </c>
      <c r="I1583">
        <f>G1583+H1583</f>
        <v>2863106</v>
      </c>
      <c r="J1583">
        <f>IF(AND(D1583&lt;&gt;"dram",D1583&lt;&gt;"control"),H1583,0)</f>
        <v>0</v>
      </c>
      <c r="K1583">
        <f>IF(D1583="dram",H1583,0)</f>
        <v>102</v>
      </c>
      <c r="L1583">
        <v>0</v>
      </c>
      <c r="M1583">
        <v>128</v>
      </c>
    </row>
    <row r="1584" spans="1:13">
      <c r="A1584">
        <v>1582</v>
      </c>
      <c r="B1584" t="s">
        <v>329</v>
      </c>
      <c r="C1584" t="s">
        <v>78</v>
      </c>
      <c r="D1584" t="s">
        <v>79</v>
      </c>
      <c r="E1584" t="s">
        <v>220</v>
      </c>
      <c r="F1584">
        <v>524288</v>
      </c>
      <c r="G1584">
        <f>MAX(I1581,I1583)</f>
        <v>2863106</v>
      </c>
      <c r="H1584">
        <f>CEILING((dram_access_latency+F1584/dram_bandwidth)*frequency,1)</f>
        <v>7811</v>
      </c>
      <c r="I1584">
        <f>G1584+H1584</f>
        <v>2870917</v>
      </c>
      <c r="J1584">
        <f>IF(AND(D1584&lt;&gt;"dram",D1584&lt;&gt;"control"),H1584,0)</f>
        <v>0</v>
      </c>
      <c r="K1584">
        <f>IF(D1584="dram",H1584,0)</f>
        <v>7811</v>
      </c>
      <c r="L1584">
        <v>524288</v>
      </c>
      <c r="M1584">
        <v>0</v>
      </c>
    </row>
    <row r="1585" spans="1:13">
      <c r="A1585">
        <v>1583</v>
      </c>
      <c r="B1585" t="s">
        <v>331</v>
      </c>
      <c r="C1585" t="s">
        <v>78</v>
      </c>
      <c r="D1585" t="s">
        <v>79</v>
      </c>
      <c r="E1585" t="s">
        <v>220</v>
      </c>
      <c r="F1585">
        <v>16384</v>
      </c>
      <c r="G1585">
        <f>MAX(I1581,I1584)</f>
        <v>2870917</v>
      </c>
      <c r="H1585">
        <f>CEILING((dram_access_latency+F1585/dram_bandwidth)*frequency,1)</f>
        <v>341</v>
      </c>
      <c r="I1585">
        <f>G1585+H1585</f>
        <v>2871258</v>
      </c>
      <c r="J1585">
        <f>IF(AND(D1585&lt;&gt;"dram",D1585&lt;&gt;"control"),H1585,0)</f>
        <v>0</v>
      </c>
      <c r="K1585">
        <f>IF(D1585="dram",H1585,0)</f>
        <v>341</v>
      </c>
      <c r="L1585">
        <v>16384</v>
      </c>
      <c r="M1585">
        <v>0</v>
      </c>
    </row>
    <row r="1586" spans="1:13">
      <c r="A1586">
        <v>1584</v>
      </c>
      <c r="B1586" t="s">
        <v>332</v>
      </c>
      <c r="C1586" t="s">
        <v>78</v>
      </c>
      <c r="D1586" t="s">
        <v>79</v>
      </c>
      <c r="E1586" t="s">
        <v>220</v>
      </c>
      <c r="F1586">
        <v>512</v>
      </c>
      <c r="G1586">
        <f>MAX(I1581,I1585)</f>
        <v>2871258</v>
      </c>
      <c r="H1586">
        <f>CEILING((dram_access_latency+F1586/dram_bandwidth)*frequency,1)</f>
        <v>108</v>
      </c>
      <c r="I1586">
        <f>G1586+H1586</f>
        <v>2871366</v>
      </c>
      <c r="J1586">
        <f>IF(AND(D1586&lt;&gt;"dram",D1586&lt;&gt;"control"),H1586,0)</f>
        <v>0</v>
      </c>
      <c r="K1586">
        <f>IF(D1586="dram",H1586,0)</f>
        <v>108</v>
      </c>
      <c r="L1586">
        <v>512</v>
      </c>
      <c r="M1586">
        <v>0</v>
      </c>
    </row>
    <row r="1587" spans="1:13">
      <c r="A1587">
        <v>1585</v>
      </c>
      <c r="B1587" t="s">
        <v>57</v>
      </c>
      <c r="C1587" t="s">
        <v>85</v>
      </c>
      <c r="D1587" t="s">
        <v>17</v>
      </c>
      <c r="E1587" t="s">
        <v>220</v>
      </c>
      <c r="F1587">
        <v>0</v>
      </c>
      <c r="G1587">
        <f>MAX(I1580,I1375,I1584,I1377,I1585,I1586,I1582,I1583)</f>
        <v>2879287</v>
      </c>
      <c r="H1587">
        <f>'Operations'!I24</f>
        <v>16384</v>
      </c>
      <c r="I1587">
        <f>G1587+H1587</f>
        <v>2895671</v>
      </c>
      <c r="J1587">
        <f>IF(AND(D1587&lt;&gt;"dram",D1587&lt;&gt;"control"),H1587,0)</f>
        <v>16384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333</v>
      </c>
      <c r="C1588" t="s">
        <v>82</v>
      </c>
      <c r="D1588" t="s">
        <v>83</v>
      </c>
      <c r="E1588" t="s">
        <v>220</v>
      </c>
      <c r="F1588">
        <v>0</v>
      </c>
      <c r="G1588">
        <f>MAX(I1581,I1580)</f>
        <v>2862903</v>
      </c>
      <c r="H1588">
        <f>0</f>
        <v>16384</v>
      </c>
      <c r="I1588">
        <f>G1588+H1588</f>
        <v>2879287</v>
      </c>
      <c r="J1588">
        <f>IF(AND(D1588&lt;&gt;"dram",D1588&lt;&gt;"control"),H1588,0)</f>
        <v>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334</v>
      </c>
      <c r="C1589" t="s">
        <v>87</v>
      </c>
      <c r="D1589" t="s">
        <v>79</v>
      </c>
      <c r="E1589" t="s">
        <v>220</v>
      </c>
      <c r="F1589">
        <v>4</v>
      </c>
      <c r="G1589">
        <f>MAX(I1588,I1586)</f>
        <v>2879287</v>
      </c>
      <c r="H1589">
        <f>CEILING((dram_access_latency+F1589/dram_bandwidth)*frequency,1)</f>
        <v>101</v>
      </c>
      <c r="I1589">
        <f>G1589+H1589</f>
        <v>2879388</v>
      </c>
      <c r="J1589">
        <f>IF(AND(D1589&lt;&gt;"dram",D1589&lt;&gt;"control"),H1589,0)</f>
        <v>0</v>
      </c>
      <c r="K1589">
        <f>IF(D1589="dram",H1589,0)</f>
        <v>101</v>
      </c>
      <c r="L1589">
        <v>0</v>
      </c>
      <c r="M1589">
        <v>4</v>
      </c>
    </row>
    <row r="1590" spans="1:13">
      <c r="A1590">
        <v>1588</v>
      </c>
      <c r="B1590" t="s">
        <v>335</v>
      </c>
      <c r="C1590" t="s">
        <v>87</v>
      </c>
      <c r="D1590" t="s">
        <v>79</v>
      </c>
      <c r="E1590" t="s">
        <v>220</v>
      </c>
      <c r="F1590">
        <v>128</v>
      </c>
      <c r="G1590">
        <f>MAX(I1588,I1589)</f>
        <v>2879388</v>
      </c>
      <c r="H1590">
        <f>CEILING((dram_access_latency+F1590/dram_bandwidth)*frequency,1)</f>
        <v>102</v>
      </c>
      <c r="I1590">
        <f>G1590+H1590</f>
        <v>2879490</v>
      </c>
      <c r="J1590">
        <f>IF(AND(D1590&lt;&gt;"dram",D1590&lt;&gt;"control"),H1590,0)</f>
        <v>0</v>
      </c>
      <c r="K1590">
        <f>IF(D1590="dram",H1590,0)</f>
        <v>102</v>
      </c>
      <c r="L1590">
        <v>0</v>
      </c>
      <c r="M1590">
        <v>128</v>
      </c>
    </row>
    <row r="1591" spans="1:13">
      <c r="A1591">
        <v>1589</v>
      </c>
      <c r="B1591" t="s">
        <v>329</v>
      </c>
      <c r="C1591" t="s">
        <v>78</v>
      </c>
      <c r="D1591" t="s">
        <v>79</v>
      </c>
      <c r="E1591" t="s">
        <v>221</v>
      </c>
      <c r="F1591">
        <v>524288</v>
      </c>
      <c r="G1591">
        <f>MAX(I1588,I1590)</f>
        <v>2879490</v>
      </c>
      <c r="H1591">
        <f>CEILING((dram_access_latency+F1591/dram_bandwidth)*frequency,1)</f>
        <v>7811</v>
      </c>
      <c r="I1591">
        <f>G1591+H1591</f>
        <v>2887301</v>
      </c>
      <c r="J1591">
        <f>IF(AND(D1591&lt;&gt;"dram",D1591&lt;&gt;"control"),H1591,0)</f>
        <v>0</v>
      </c>
      <c r="K1591">
        <f>IF(D1591="dram",H1591,0)</f>
        <v>7811</v>
      </c>
      <c r="L1591">
        <v>524288</v>
      </c>
      <c r="M1591">
        <v>0</v>
      </c>
    </row>
    <row r="1592" spans="1:13">
      <c r="A1592">
        <v>1590</v>
      </c>
      <c r="B1592" t="s">
        <v>331</v>
      </c>
      <c r="C1592" t="s">
        <v>78</v>
      </c>
      <c r="D1592" t="s">
        <v>79</v>
      </c>
      <c r="E1592" t="s">
        <v>221</v>
      </c>
      <c r="F1592">
        <v>16384</v>
      </c>
      <c r="G1592">
        <f>MAX(I1588,I1591)</f>
        <v>2887301</v>
      </c>
      <c r="H1592">
        <f>CEILING((dram_access_latency+F1592/dram_bandwidth)*frequency,1)</f>
        <v>341</v>
      </c>
      <c r="I1592">
        <f>G1592+H1592</f>
        <v>2887642</v>
      </c>
      <c r="J1592">
        <f>IF(AND(D1592&lt;&gt;"dram",D1592&lt;&gt;"control"),H1592,0)</f>
        <v>0</v>
      </c>
      <c r="K1592">
        <f>IF(D1592="dram",H1592,0)</f>
        <v>341</v>
      </c>
      <c r="L1592">
        <v>16384</v>
      </c>
      <c r="M1592">
        <v>0</v>
      </c>
    </row>
    <row r="1593" spans="1:13">
      <c r="A1593">
        <v>1591</v>
      </c>
      <c r="B1593" t="s">
        <v>332</v>
      </c>
      <c r="C1593" t="s">
        <v>78</v>
      </c>
      <c r="D1593" t="s">
        <v>79</v>
      </c>
      <c r="E1593" t="s">
        <v>221</v>
      </c>
      <c r="F1593">
        <v>512</v>
      </c>
      <c r="G1593">
        <f>MAX(I1588,I1592)</f>
        <v>2887642</v>
      </c>
      <c r="H1593">
        <f>CEILING((dram_access_latency+F1593/dram_bandwidth)*frequency,1)</f>
        <v>108</v>
      </c>
      <c r="I1593">
        <f>G1593+H1593</f>
        <v>2887750</v>
      </c>
      <c r="J1593">
        <f>IF(AND(D1593&lt;&gt;"dram",D1593&lt;&gt;"control"),H1593,0)</f>
        <v>0</v>
      </c>
      <c r="K1593">
        <f>IF(D1593="dram",H1593,0)</f>
        <v>108</v>
      </c>
      <c r="L1593">
        <v>512</v>
      </c>
      <c r="M1593">
        <v>0</v>
      </c>
    </row>
    <row r="1594" spans="1:13">
      <c r="A1594">
        <v>1592</v>
      </c>
      <c r="B1594" t="s">
        <v>57</v>
      </c>
      <c r="C1594" t="s">
        <v>85</v>
      </c>
      <c r="D1594" t="s">
        <v>17</v>
      </c>
      <c r="E1594" t="s">
        <v>221</v>
      </c>
      <c r="F1594">
        <v>0</v>
      </c>
      <c r="G1594">
        <f>MAX(I1587,I1375,I1591,I1377,I1592,I1593,I1589,I1590)</f>
        <v>2895671</v>
      </c>
      <c r="H1594">
        <f>'Operations'!I24</f>
        <v>16384</v>
      </c>
      <c r="I1594">
        <f>G1594+H1594</f>
        <v>2912055</v>
      </c>
      <c r="J1594">
        <f>IF(AND(D1594&lt;&gt;"dram",D1594&lt;&gt;"control"),H1594,0)</f>
        <v>16384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333</v>
      </c>
      <c r="C1595" t="s">
        <v>82</v>
      </c>
      <c r="D1595" t="s">
        <v>83</v>
      </c>
      <c r="E1595" t="s">
        <v>221</v>
      </c>
      <c r="F1595">
        <v>0</v>
      </c>
      <c r="G1595">
        <f>MAX(I1588,I1587)</f>
        <v>2879287</v>
      </c>
      <c r="H1595">
        <f>0</f>
        <v>16384</v>
      </c>
      <c r="I1595">
        <f>G1595+H1595</f>
        <v>2895671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334</v>
      </c>
      <c r="C1596" t="s">
        <v>87</v>
      </c>
      <c r="D1596" t="s">
        <v>79</v>
      </c>
      <c r="E1596" t="s">
        <v>221</v>
      </c>
      <c r="F1596">
        <v>4</v>
      </c>
      <c r="G1596">
        <f>MAX(I1595,I1593)</f>
        <v>2895671</v>
      </c>
      <c r="H1596">
        <f>CEILING((dram_access_latency+F1596/dram_bandwidth)*frequency,1)</f>
        <v>101</v>
      </c>
      <c r="I1596">
        <f>G1596+H1596</f>
        <v>2895772</v>
      </c>
      <c r="J1596">
        <f>IF(AND(D1596&lt;&gt;"dram",D1596&lt;&gt;"control"),H1596,0)</f>
        <v>0</v>
      </c>
      <c r="K1596">
        <f>IF(D1596="dram",H1596,0)</f>
        <v>101</v>
      </c>
      <c r="L1596">
        <v>0</v>
      </c>
      <c r="M1596">
        <v>4</v>
      </c>
    </row>
    <row r="1597" spans="1:13">
      <c r="A1597">
        <v>1595</v>
      </c>
      <c r="B1597" t="s">
        <v>335</v>
      </c>
      <c r="C1597" t="s">
        <v>87</v>
      </c>
      <c r="D1597" t="s">
        <v>79</v>
      </c>
      <c r="E1597" t="s">
        <v>221</v>
      </c>
      <c r="F1597">
        <v>128</v>
      </c>
      <c r="G1597">
        <f>MAX(I1595,I1596)</f>
        <v>2895772</v>
      </c>
      <c r="H1597">
        <f>CEILING((dram_access_latency+F1597/dram_bandwidth)*frequency,1)</f>
        <v>102</v>
      </c>
      <c r="I1597">
        <f>G1597+H1597</f>
        <v>2895874</v>
      </c>
      <c r="J1597">
        <f>IF(AND(D1597&lt;&gt;"dram",D1597&lt;&gt;"control"),H1597,0)</f>
        <v>0</v>
      </c>
      <c r="K1597">
        <f>IF(D1597="dram",H1597,0)</f>
        <v>102</v>
      </c>
      <c r="L1597">
        <v>0</v>
      </c>
      <c r="M1597">
        <v>128</v>
      </c>
    </row>
    <row r="1598" spans="1:13">
      <c r="A1598">
        <v>1596</v>
      </c>
      <c r="B1598" t="s">
        <v>329</v>
      </c>
      <c r="C1598" t="s">
        <v>78</v>
      </c>
      <c r="D1598" t="s">
        <v>79</v>
      </c>
      <c r="E1598" t="s">
        <v>313</v>
      </c>
      <c r="F1598">
        <v>524288</v>
      </c>
      <c r="G1598">
        <f>MAX(I1595,I1597)</f>
        <v>2895874</v>
      </c>
      <c r="H1598">
        <f>CEILING((dram_access_latency+F1598/dram_bandwidth)*frequency,1)</f>
        <v>7811</v>
      </c>
      <c r="I1598">
        <f>G1598+H1598</f>
        <v>2903685</v>
      </c>
      <c r="J1598">
        <f>IF(AND(D1598&lt;&gt;"dram",D1598&lt;&gt;"control"),H1598,0)</f>
        <v>0</v>
      </c>
      <c r="K1598">
        <f>IF(D1598="dram",H1598,0)</f>
        <v>7811</v>
      </c>
      <c r="L1598">
        <v>524288</v>
      </c>
      <c r="M1598">
        <v>0</v>
      </c>
    </row>
    <row r="1599" spans="1:13">
      <c r="A1599">
        <v>1597</v>
      </c>
      <c r="B1599" t="s">
        <v>331</v>
      </c>
      <c r="C1599" t="s">
        <v>78</v>
      </c>
      <c r="D1599" t="s">
        <v>79</v>
      </c>
      <c r="E1599" t="s">
        <v>313</v>
      </c>
      <c r="F1599">
        <v>16384</v>
      </c>
      <c r="G1599">
        <f>MAX(I1595,I1598)</f>
        <v>2903685</v>
      </c>
      <c r="H1599">
        <f>CEILING((dram_access_latency+F1599/dram_bandwidth)*frequency,1)</f>
        <v>341</v>
      </c>
      <c r="I1599">
        <f>G1599+H1599</f>
        <v>2904026</v>
      </c>
      <c r="J1599">
        <f>IF(AND(D1599&lt;&gt;"dram",D1599&lt;&gt;"control"),H1599,0)</f>
        <v>0</v>
      </c>
      <c r="K1599">
        <f>IF(D1599="dram",H1599,0)</f>
        <v>341</v>
      </c>
      <c r="L1599">
        <v>16384</v>
      </c>
      <c r="M1599">
        <v>0</v>
      </c>
    </row>
    <row r="1600" spans="1:13">
      <c r="A1600">
        <v>1598</v>
      </c>
      <c r="B1600" t="s">
        <v>332</v>
      </c>
      <c r="C1600" t="s">
        <v>78</v>
      </c>
      <c r="D1600" t="s">
        <v>79</v>
      </c>
      <c r="E1600" t="s">
        <v>313</v>
      </c>
      <c r="F1600">
        <v>512</v>
      </c>
      <c r="G1600">
        <f>MAX(I1595,I1599)</f>
        <v>2904026</v>
      </c>
      <c r="H1600">
        <f>CEILING((dram_access_latency+F1600/dram_bandwidth)*frequency,1)</f>
        <v>108</v>
      </c>
      <c r="I1600">
        <f>G1600+H1600</f>
        <v>2904134</v>
      </c>
      <c r="J1600">
        <f>IF(AND(D1600&lt;&gt;"dram",D1600&lt;&gt;"control"),H1600,0)</f>
        <v>0</v>
      </c>
      <c r="K1600">
        <f>IF(D1600="dram",H1600,0)</f>
        <v>108</v>
      </c>
      <c r="L1600">
        <v>512</v>
      </c>
      <c r="M1600">
        <v>0</v>
      </c>
    </row>
    <row r="1601" spans="1:13">
      <c r="A1601">
        <v>1599</v>
      </c>
      <c r="B1601" t="s">
        <v>57</v>
      </c>
      <c r="C1601" t="s">
        <v>85</v>
      </c>
      <c r="D1601" t="s">
        <v>17</v>
      </c>
      <c r="E1601" t="s">
        <v>313</v>
      </c>
      <c r="F1601">
        <v>0</v>
      </c>
      <c r="G1601">
        <f>MAX(I1594,I1375,I1598,I1377,I1599,I1600,I1596,I1597)</f>
        <v>2912055</v>
      </c>
      <c r="H1601">
        <f>'Operations'!I24</f>
        <v>16384</v>
      </c>
      <c r="I1601">
        <f>G1601+H1601</f>
        <v>2928439</v>
      </c>
      <c r="J1601">
        <f>IF(AND(D1601&lt;&gt;"dram",D1601&lt;&gt;"control"),H1601,0)</f>
        <v>16384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333</v>
      </c>
      <c r="C1602" t="s">
        <v>82</v>
      </c>
      <c r="D1602" t="s">
        <v>83</v>
      </c>
      <c r="E1602" t="s">
        <v>313</v>
      </c>
      <c r="F1602">
        <v>0</v>
      </c>
      <c r="G1602">
        <f>MAX(I1595,I1594)</f>
        <v>2895671</v>
      </c>
      <c r="H1602">
        <f>0</f>
        <v>16384</v>
      </c>
      <c r="I1602">
        <f>G1602+H1602</f>
        <v>2912055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334</v>
      </c>
      <c r="C1603" t="s">
        <v>87</v>
      </c>
      <c r="D1603" t="s">
        <v>79</v>
      </c>
      <c r="E1603" t="s">
        <v>313</v>
      </c>
      <c r="F1603">
        <v>4</v>
      </c>
      <c r="G1603">
        <f>MAX(I1602,I1600)</f>
        <v>2912055</v>
      </c>
      <c r="H1603">
        <f>CEILING((dram_access_latency+F1603/dram_bandwidth)*frequency,1)</f>
        <v>101</v>
      </c>
      <c r="I1603">
        <f>G1603+H1603</f>
        <v>2912156</v>
      </c>
      <c r="J1603">
        <f>IF(AND(D1603&lt;&gt;"dram",D1603&lt;&gt;"control"),H1603,0)</f>
        <v>0</v>
      </c>
      <c r="K1603">
        <f>IF(D1603="dram",H1603,0)</f>
        <v>101</v>
      </c>
      <c r="L1603">
        <v>0</v>
      </c>
      <c r="M1603">
        <v>4</v>
      </c>
    </row>
    <row r="1604" spans="1:13">
      <c r="A1604">
        <v>1602</v>
      </c>
      <c r="B1604" t="s">
        <v>335</v>
      </c>
      <c r="C1604" t="s">
        <v>87</v>
      </c>
      <c r="D1604" t="s">
        <v>79</v>
      </c>
      <c r="E1604" t="s">
        <v>313</v>
      </c>
      <c r="F1604">
        <v>128</v>
      </c>
      <c r="G1604">
        <f>MAX(I1602,I1603)</f>
        <v>2912156</v>
      </c>
      <c r="H1604">
        <f>CEILING((dram_access_latency+F1604/dram_bandwidth)*frequency,1)</f>
        <v>102</v>
      </c>
      <c r="I1604">
        <f>G1604+H1604</f>
        <v>2912258</v>
      </c>
      <c r="J1604">
        <f>IF(AND(D1604&lt;&gt;"dram",D1604&lt;&gt;"control"),H1604,0)</f>
        <v>0</v>
      </c>
      <c r="K1604">
        <f>IF(D1604="dram",H1604,0)</f>
        <v>102</v>
      </c>
      <c r="L1604">
        <v>0</v>
      </c>
      <c r="M1604">
        <v>128</v>
      </c>
    </row>
    <row r="1605" spans="1:13">
      <c r="A1605">
        <v>1603</v>
      </c>
      <c r="B1605" t="s">
        <v>329</v>
      </c>
      <c r="C1605" t="s">
        <v>78</v>
      </c>
      <c r="D1605" t="s">
        <v>79</v>
      </c>
      <c r="E1605" t="s">
        <v>314</v>
      </c>
      <c r="F1605">
        <v>524288</v>
      </c>
      <c r="G1605">
        <f>MAX(I1602,I1604)</f>
        <v>2912258</v>
      </c>
      <c r="H1605">
        <f>CEILING((dram_access_latency+F1605/dram_bandwidth)*frequency,1)</f>
        <v>7811</v>
      </c>
      <c r="I1605">
        <f>G1605+H1605</f>
        <v>2920069</v>
      </c>
      <c r="J1605">
        <f>IF(AND(D1605&lt;&gt;"dram",D1605&lt;&gt;"control"),H1605,0)</f>
        <v>0</v>
      </c>
      <c r="K1605">
        <f>IF(D1605="dram",H1605,0)</f>
        <v>7811</v>
      </c>
      <c r="L1605">
        <v>524288</v>
      </c>
      <c r="M1605">
        <v>0</v>
      </c>
    </row>
    <row r="1606" spans="1:13">
      <c r="A1606">
        <v>1604</v>
      </c>
      <c r="B1606" t="s">
        <v>331</v>
      </c>
      <c r="C1606" t="s">
        <v>78</v>
      </c>
      <c r="D1606" t="s">
        <v>79</v>
      </c>
      <c r="E1606" t="s">
        <v>314</v>
      </c>
      <c r="F1606">
        <v>16384</v>
      </c>
      <c r="G1606">
        <f>MAX(I1602,I1605)</f>
        <v>2920069</v>
      </c>
      <c r="H1606">
        <f>CEILING((dram_access_latency+F1606/dram_bandwidth)*frequency,1)</f>
        <v>341</v>
      </c>
      <c r="I1606">
        <f>G1606+H1606</f>
        <v>2920410</v>
      </c>
      <c r="J1606">
        <f>IF(AND(D1606&lt;&gt;"dram",D1606&lt;&gt;"control"),H1606,0)</f>
        <v>0</v>
      </c>
      <c r="K1606">
        <f>IF(D1606="dram",H1606,0)</f>
        <v>341</v>
      </c>
      <c r="L1606">
        <v>16384</v>
      </c>
      <c r="M1606">
        <v>0</v>
      </c>
    </row>
    <row r="1607" spans="1:13">
      <c r="A1607">
        <v>1605</v>
      </c>
      <c r="B1607" t="s">
        <v>332</v>
      </c>
      <c r="C1607" t="s">
        <v>78</v>
      </c>
      <c r="D1607" t="s">
        <v>79</v>
      </c>
      <c r="E1607" t="s">
        <v>314</v>
      </c>
      <c r="F1607">
        <v>512</v>
      </c>
      <c r="G1607">
        <f>MAX(I1602,I1606)</f>
        <v>2920410</v>
      </c>
      <c r="H1607">
        <f>CEILING((dram_access_latency+F1607/dram_bandwidth)*frequency,1)</f>
        <v>108</v>
      </c>
      <c r="I1607">
        <f>G1607+H1607</f>
        <v>2920518</v>
      </c>
      <c r="J1607">
        <f>IF(AND(D1607&lt;&gt;"dram",D1607&lt;&gt;"control"),H1607,0)</f>
        <v>0</v>
      </c>
      <c r="K1607">
        <f>IF(D1607="dram",H1607,0)</f>
        <v>108</v>
      </c>
      <c r="L1607">
        <v>512</v>
      </c>
      <c r="M1607">
        <v>0</v>
      </c>
    </row>
    <row r="1608" spans="1:13">
      <c r="A1608">
        <v>1606</v>
      </c>
      <c r="B1608" t="s">
        <v>57</v>
      </c>
      <c r="C1608" t="s">
        <v>85</v>
      </c>
      <c r="D1608" t="s">
        <v>17</v>
      </c>
      <c r="E1608" t="s">
        <v>314</v>
      </c>
      <c r="F1608">
        <v>0</v>
      </c>
      <c r="G1608">
        <f>MAX(I1601,I1375,I1605,I1377,I1606,I1607,I1603,I1604)</f>
        <v>2928439</v>
      </c>
      <c r="H1608">
        <f>'Operations'!I24</f>
        <v>16384</v>
      </c>
      <c r="I1608">
        <f>G1608+H1608</f>
        <v>2944823</v>
      </c>
      <c r="J1608">
        <f>IF(AND(D1608&lt;&gt;"dram",D1608&lt;&gt;"control"),H1608,0)</f>
        <v>16384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333</v>
      </c>
      <c r="C1609" t="s">
        <v>82</v>
      </c>
      <c r="D1609" t="s">
        <v>83</v>
      </c>
      <c r="E1609" t="s">
        <v>314</v>
      </c>
      <c r="F1609">
        <v>0</v>
      </c>
      <c r="G1609">
        <f>MAX(I1602,I1601)</f>
        <v>2912055</v>
      </c>
      <c r="H1609">
        <f>0</f>
        <v>16384</v>
      </c>
      <c r="I1609">
        <f>G1609+H1609</f>
        <v>2928439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334</v>
      </c>
      <c r="C1610" t="s">
        <v>87</v>
      </c>
      <c r="D1610" t="s">
        <v>79</v>
      </c>
      <c r="E1610" t="s">
        <v>314</v>
      </c>
      <c r="F1610">
        <v>4</v>
      </c>
      <c r="G1610">
        <f>MAX(I1609,I1607)</f>
        <v>2928439</v>
      </c>
      <c r="H1610">
        <f>CEILING((dram_access_latency+F1610/dram_bandwidth)*frequency,1)</f>
        <v>101</v>
      </c>
      <c r="I1610">
        <f>G1610+H1610</f>
        <v>2928540</v>
      </c>
      <c r="J1610">
        <f>IF(AND(D1610&lt;&gt;"dram",D1610&lt;&gt;"control"),H1610,0)</f>
        <v>0</v>
      </c>
      <c r="K1610">
        <f>IF(D1610="dram",H1610,0)</f>
        <v>101</v>
      </c>
      <c r="L1610">
        <v>0</v>
      </c>
      <c r="M1610">
        <v>4</v>
      </c>
    </row>
    <row r="1611" spans="1:13">
      <c r="A1611">
        <v>1609</v>
      </c>
      <c r="B1611" t="s">
        <v>335</v>
      </c>
      <c r="C1611" t="s">
        <v>87</v>
      </c>
      <c r="D1611" t="s">
        <v>79</v>
      </c>
      <c r="E1611" t="s">
        <v>314</v>
      </c>
      <c r="F1611">
        <v>128</v>
      </c>
      <c r="G1611">
        <f>MAX(I1609,I1610)</f>
        <v>2928540</v>
      </c>
      <c r="H1611">
        <f>CEILING((dram_access_latency+F1611/dram_bandwidth)*frequency,1)</f>
        <v>102</v>
      </c>
      <c r="I1611">
        <f>G1611+H1611</f>
        <v>2928642</v>
      </c>
      <c r="J1611">
        <f>IF(AND(D1611&lt;&gt;"dram",D1611&lt;&gt;"control"),H1611,0)</f>
        <v>0</v>
      </c>
      <c r="K1611">
        <f>IF(D1611="dram",H1611,0)</f>
        <v>102</v>
      </c>
      <c r="L1611">
        <v>0</v>
      </c>
      <c r="M1611">
        <v>128</v>
      </c>
    </row>
    <row r="1612" spans="1:13">
      <c r="A1612">
        <v>1610</v>
      </c>
      <c r="B1612" t="s">
        <v>329</v>
      </c>
      <c r="C1612" t="s">
        <v>78</v>
      </c>
      <c r="D1612" t="s">
        <v>79</v>
      </c>
      <c r="E1612" t="s">
        <v>315</v>
      </c>
      <c r="F1612">
        <v>524288</v>
      </c>
      <c r="G1612">
        <f>MAX(I1609,I1611)</f>
        <v>2928642</v>
      </c>
      <c r="H1612">
        <f>CEILING((dram_access_latency+F1612/dram_bandwidth)*frequency,1)</f>
        <v>7811</v>
      </c>
      <c r="I1612">
        <f>G1612+H1612</f>
        <v>2936453</v>
      </c>
      <c r="J1612">
        <f>IF(AND(D1612&lt;&gt;"dram",D1612&lt;&gt;"control"),H1612,0)</f>
        <v>0</v>
      </c>
      <c r="K1612">
        <f>IF(D1612="dram",H1612,0)</f>
        <v>7811</v>
      </c>
      <c r="L1612">
        <v>524288</v>
      </c>
      <c r="M1612">
        <v>0</v>
      </c>
    </row>
    <row r="1613" spans="1:13">
      <c r="A1613">
        <v>1611</v>
      </c>
      <c r="B1613" t="s">
        <v>331</v>
      </c>
      <c r="C1613" t="s">
        <v>78</v>
      </c>
      <c r="D1613" t="s">
        <v>79</v>
      </c>
      <c r="E1613" t="s">
        <v>315</v>
      </c>
      <c r="F1613">
        <v>16384</v>
      </c>
      <c r="G1613">
        <f>MAX(I1609,I1612)</f>
        <v>2936453</v>
      </c>
      <c r="H1613">
        <f>CEILING((dram_access_latency+F1613/dram_bandwidth)*frequency,1)</f>
        <v>341</v>
      </c>
      <c r="I1613">
        <f>G1613+H1613</f>
        <v>2936794</v>
      </c>
      <c r="J1613">
        <f>IF(AND(D1613&lt;&gt;"dram",D1613&lt;&gt;"control"),H1613,0)</f>
        <v>0</v>
      </c>
      <c r="K1613">
        <f>IF(D1613="dram",H1613,0)</f>
        <v>341</v>
      </c>
      <c r="L1613">
        <v>16384</v>
      </c>
      <c r="M1613">
        <v>0</v>
      </c>
    </row>
    <row r="1614" spans="1:13">
      <c r="A1614">
        <v>1612</v>
      </c>
      <c r="B1614" t="s">
        <v>332</v>
      </c>
      <c r="C1614" t="s">
        <v>78</v>
      </c>
      <c r="D1614" t="s">
        <v>79</v>
      </c>
      <c r="E1614" t="s">
        <v>315</v>
      </c>
      <c r="F1614">
        <v>512</v>
      </c>
      <c r="G1614">
        <f>MAX(I1609,I1613)</f>
        <v>2936794</v>
      </c>
      <c r="H1614">
        <f>CEILING((dram_access_latency+F1614/dram_bandwidth)*frequency,1)</f>
        <v>108</v>
      </c>
      <c r="I1614">
        <f>G1614+H1614</f>
        <v>2936902</v>
      </c>
      <c r="J1614">
        <f>IF(AND(D1614&lt;&gt;"dram",D1614&lt;&gt;"control"),H1614,0)</f>
        <v>0</v>
      </c>
      <c r="K1614">
        <f>IF(D1614="dram",H1614,0)</f>
        <v>108</v>
      </c>
      <c r="L1614">
        <v>512</v>
      </c>
      <c r="M1614">
        <v>0</v>
      </c>
    </row>
    <row r="1615" spans="1:13">
      <c r="A1615">
        <v>1613</v>
      </c>
      <c r="B1615" t="s">
        <v>57</v>
      </c>
      <c r="C1615" t="s">
        <v>85</v>
      </c>
      <c r="D1615" t="s">
        <v>17</v>
      </c>
      <c r="E1615" t="s">
        <v>315</v>
      </c>
      <c r="F1615">
        <v>0</v>
      </c>
      <c r="G1615">
        <f>MAX(I1608,I1375,I1612,I1377,I1613,I1614,I1610,I1611)</f>
        <v>2944823</v>
      </c>
      <c r="H1615">
        <f>'Operations'!I24</f>
        <v>16384</v>
      </c>
      <c r="I1615">
        <f>G1615+H1615</f>
        <v>2961207</v>
      </c>
      <c r="J1615">
        <f>IF(AND(D1615&lt;&gt;"dram",D1615&lt;&gt;"control"),H1615,0)</f>
        <v>16384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333</v>
      </c>
      <c r="C1616" t="s">
        <v>82</v>
      </c>
      <c r="D1616" t="s">
        <v>83</v>
      </c>
      <c r="E1616" t="s">
        <v>315</v>
      </c>
      <c r="F1616">
        <v>0</v>
      </c>
      <c r="G1616">
        <f>MAX(I1609,I1608)</f>
        <v>2928439</v>
      </c>
      <c r="H1616">
        <f>0</f>
        <v>16384</v>
      </c>
      <c r="I1616">
        <f>G1616+H1616</f>
        <v>2944823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334</v>
      </c>
      <c r="C1617" t="s">
        <v>87</v>
      </c>
      <c r="D1617" t="s">
        <v>79</v>
      </c>
      <c r="E1617" t="s">
        <v>315</v>
      </c>
      <c r="F1617">
        <v>4</v>
      </c>
      <c r="G1617">
        <f>MAX(I1616,I1614)</f>
        <v>2944823</v>
      </c>
      <c r="H1617">
        <f>CEILING((dram_access_latency+F1617/dram_bandwidth)*frequency,1)</f>
        <v>101</v>
      </c>
      <c r="I1617">
        <f>G1617+H1617</f>
        <v>2944924</v>
      </c>
      <c r="J1617">
        <f>IF(AND(D1617&lt;&gt;"dram",D1617&lt;&gt;"control"),H1617,0)</f>
        <v>0</v>
      </c>
      <c r="K1617">
        <f>IF(D1617="dram",H1617,0)</f>
        <v>101</v>
      </c>
      <c r="L1617">
        <v>0</v>
      </c>
      <c r="M1617">
        <v>4</v>
      </c>
    </row>
    <row r="1618" spans="1:13">
      <c r="A1618">
        <v>1616</v>
      </c>
      <c r="B1618" t="s">
        <v>335</v>
      </c>
      <c r="C1618" t="s">
        <v>87</v>
      </c>
      <c r="D1618" t="s">
        <v>79</v>
      </c>
      <c r="E1618" t="s">
        <v>315</v>
      </c>
      <c r="F1618">
        <v>128</v>
      </c>
      <c r="G1618">
        <f>MAX(I1616,I1617)</f>
        <v>2944924</v>
      </c>
      <c r="H1618">
        <f>CEILING((dram_access_latency+F1618/dram_bandwidth)*frequency,1)</f>
        <v>102</v>
      </c>
      <c r="I1618">
        <f>G1618+H1618</f>
        <v>2945026</v>
      </c>
      <c r="J1618">
        <f>IF(AND(D1618&lt;&gt;"dram",D1618&lt;&gt;"control"),H1618,0)</f>
        <v>0</v>
      </c>
      <c r="K1618">
        <f>IF(D1618="dram",H1618,0)</f>
        <v>102</v>
      </c>
      <c r="L1618">
        <v>0</v>
      </c>
      <c r="M1618">
        <v>128</v>
      </c>
    </row>
    <row r="1619" spans="1:13">
      <c r="A1619">
        <v>1617</v>
      </c>
      <c r="B1619" t="s">
        <v>329</v>
      </c>
      <c r="C1619" t="s">
        <v>78</v>
      </c>
      <c r="D1619" t="s">
        <v>79</v>
      </c>
      <c r="E1619" t="s">
        <v>316</v>
      </c>
      <c r="F1619">
        <v>524288</v>
      </c>
      <c r="G1619">
        <f>MAX(I1616,I1618)</f>
        <v>2945026</v>
      </c>
      <c r="H1619">
        <f>CEILING((dram_access_latency+F1619/dram_bandwidth)*frequency,1)</f>
        <v>7811</v>
      </c>
      <c r="I1619">
        <f>G1619+H1619</f>
        <v>2952837</v>
      </c>
      <c r="J1619">
        <f>IF(AND(D1619&lt;&gt;"dram",D1619&lt;&gt;"control"),H1619,0)</f>
        <v>0</v>
      </c>
      <c r="K1619">
        <f>IF(D1619="dram",H1619,0)</f>
        <v>7811</v>
      </c>
      <c r="L1619">
        <v>524288</v>
      </c>
      <c r="M1619">
        <v>0</v>
      </c>
    </row>
    <row r="1620" spans="1:13">
      <c r="A1620">
        <v>1618</v>
      </c>
      <c r="B1620" t="s">
        <v>331</v>
      </c>
      <c r="C1620" t="s">
        <v>78</v>
      </c>
      <c r="D1620" t="s">
        <v>79</v>
      </c>
      <c r="E1620" t="s">
        <v>316</v>
      </c>
      <c r="F1620">
        <v>16384</v>
      </c>
      <c r="G1620">
        <f>MAX(I1616,I1619)</f>
        <v>2952837</v>
      </c>
      <c r="H1620">
        <f>CEILING((dram_access_latency+F1620/dram_bandwidth)*frequency,1)</f>
        <v>341</v>
      </c>
      <c r="I1620">
        <f>G1620+H1620</f>
        <v>2953178</v>
      </c>
      <c r="J1620">
        <f>IF(AND(D1620&lt;&gt;"dram",D1620&lt;&gt;"control"),H1620,0)</f>
        <v>0</v>
      </c>
      <c r="K1620">
        <f>IF(D1620="dram",H1620,0)</f>
        <v>341</v>
      </c>
      <c r="L1620">
        <v>16384</v>
      </c>
      <c r="M1620">
        <v>0</v>
      </c>
    </row>
    <row r="1621" spans="1:13">
      <c r="A1621">
        <v>1619</v>
      </c>
      <c r="B1621" t="s">
        <v>332</v>
      </c>
      <c r="C1621" t="s">
        <v>78</v>
      </c>
      <c r="D1621" t="s">
        <v>79</v>
      </c>
      <c r="E1621" t="s">
        <v>316</v>
      </c>
      <c r="F1621">
        <v>512</v>
      </c>
      <c r="G1621">
        <f>MAX(I1616,I1620)</f>
        <v>2953178</v>
      </c>
      <c r="H1621">
        <f>CEILING((dram_access_latency+F1621/dram_bandwidth)*frequency,1)</f>
        <v>108</v>
      </c>
      <c r="I1621">
        <f>G1621+H1621</f>
        <v>2953286</v>
      </c>
      <c r="J1621">
        <f>IF(AND(D1621&lt;&gt;"dram",D1621&lt;&gt;"control"),H1621,0)</f>
        <v>0</v>
      </c>
      <c r="K1621">
        <f>IF(D1621="dram",H1621,0)</f>
        <v>108</v>
      </c>
      <c r="L1621">
        <v>512</v>
      </c>
      <c r="M1621">
        <v>0</v>
      </c>
    </row>
    <row r="1622" spans="1:13">
      <c r="A1622">
        <v>1620</v>
      </c>
      <c r="B1622" t="s">
        <v>57</v>
      </c>
      <c r="C1622" t="s">
        <v>85</v>
      </c>
      <c r="D1622" t="s">
        <v>17</v>
      </c>
      <c r="E1622" t="s">
        <v>316</v>
      </c>
      <c r="F1622">
        <v>0</v>
      </c>
      <c r="G1622">
        <f>MAX(I1615,I1375,I1619,I1377,I1620,I1621,I1617,I1618)</f>
        <v>2961207</v>
      </c>
      <c r="H1622">
        <f>'Operations'!I24</f>
        <v>16384</v>
      </c>
      <c r="I1622">
        <f>G1622+H1622</f>
        <v>2977591</v>
      </c>
      <c r="J1622">
        <f>IF(AND(D1622&lt;&gt;"dram",D1622&lt;&gt;"control"),H1622,0)</f>
        <v>16384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333</v>
      </c>
      <c r="C1623" t="s">
        <v>82</v>
      </c>
      <c r="D1623" t="s">
        <v>83</v>
      </c>
      <c r="E1623" t="s">
        <v>316</v>
      </c>
      <c r="F1623">
        <v>0</v>
      </c>
      <c r="G1623">
        <f>MAX(I1616,I1615)</f>
        <v>2944823</v>
      </c>
      <c r="H1623">
        <f>0</f>
        <v>16384</v>
      </c>
      <c r="I1623">
        <f>G1623+H1623</f>
        <v>2961207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334</v>
      </c>
      <c r="C1624" t="s">
        <v>87</v>
      </c>
      <c r="D1624" t="s">
        <v>79</v>
      </c>
      <c r="E1624" t="s">
        <v>316</v>
      </c>
      <c r="F1624">
        <v>4</v>
      </c>
      <c r="G1624">
        <f>MAX(I1623,I1621)</f>
        <v>2961207</v>
      </c>
      <c r="H1624">
        <f>CEILING((dram_access_latency+F1624/dram_bandwidth)*frequency,1)</f>
        <v>101</v>
      </c>
      <c r="I1624">
        <f>G1624+H1624</f>
        <v>2961308</v>
      </c>
      <c r="J1624">
        <f>IF(AND(D1624&lt;&gt;"dram",D1624&lt;&gt;"control"),H1624,0)</f>
        <v>0</v>
      </c>
      <c r="K1624">
        <f>IF(D1624="dram",H1624,0)</f>
        <v>101</v>
      </c>
      <c r="L1624">
        <v>0</v>
      </c>
      <c r="M1624">
        <v>4</v>
      </c>
    </row>
    <row r="1625" spans="1:13">
      <c r="A1625">
        <v>1623</v>
      </c>
      <c r="B1625" t="s">
        <v>335</v>
      </c>
      <c r="C1625" t="s">
        <v>87</v>
      </c>
      <c r="D1625" t="s">
        <v>79</v>
      </c>
      <c r="E1625" t="s">
        <v>316</v>
      </c>
      <c r="F1625">
        <v>128</v>
      </c>
      <c r="G1625">
        <f>MAX(I1623,I1624)</f>
        <v>2961308</v>
      </c>
      <c r="H1625">
        <f>CEILING((dram_access_latency+F1625/dram_bandwidth)*frequency,1)</f>
        <v>102</v>
      </c>
      <c r="I1625">
        <f>G1625+H1625</f>
        <v>2961410</v>
      </c>
      <c r="J1625">
        <f>IF(AND(D1625&lt;&gt;"dram",D1625&lt;&gt;"control"),H1625,0)</f>
        <v>0</v>
      </c>
      <c r="K1625">
        <f>IF(D1625="dram",H1625,0)</f>
        <v>102</v>
      </c>
      <c r="L1625">
        <v>0</v>
      </c>
      <c r="M1625">
        <v>128</v>
      </c>
    </row>
    <row r="1626" spans="1:13">
      <c r="A1626">
        <v>1624</v>
      </c>
      <c r="B1626" t="s">
        <v>329</v>
      </c>
      <c r="C1626" t="s">
        <v>78</v>
      </c>
      <c r="D1626" t="s">
        <v>79</v>
      </c>
      <c r="E1626" t="s">
        <v>317</v>
      </c>
      <c r="F1626">
        <v>524288</v>
      </c>
      <c r="G1626">
        <f>MAX(I1623,I1625)</f>
        <v>2961410</v>
      </c>
      <c r="H1626">
        <f>CEILING((dram_access_latency+F1626/dram_bandwidth)*frequency,1)</f>
        <v>7811</v>
      </c>
      <c r="I1626">
        <f>G1626+H1626</f>
        <v>2969221</v>
      </c>
      <c r="J1626">
        <f>IF(AND(D1626&lt;&gt;"dram",D1626&lt;&gt;"control"),H1626,0)</f>
        <v>0</v>
      </c>
      <c r="K1626">
        <f>IF(D1626="dram",H1626,0)</f>
        <v>7811</v>
      </c>
      <c r="L1626">
        <v>524288</v>
      </c>
      <c r="M1626">
        <v>0</v>
      </c>
    </row>
    <row r="1627" spans="1:13">
      <c r="A1627">
        <v>1625</v>
      </c>
      <c r="B1627" t="s">
        <v>331</v>
      </c>
      <c r="C1627" t="s">
        <v>78</v>
      </c>
      <c r="D1627" t="s">
        <v>79</v>
      </c>
      <c r="E1627" t="s">
        <v>317</v>
      </c>
      <c r="F1627">
        <v>16384</v>
      </c>
      <c r="G1627">
        <f>MAX(I1623,I1626)</f>
        <v>2969221</v>
      </c>
      <c r="H1627">
        <f>CEILING((dram_access_latency+F1627/dram_bandwidth)*frequency,1)</f>
        <v>341</v>
      </c>
      <c r="I1627">
        <f>G1627+H1627</f>
        <v>2969562</v>
      </c>
      <c r="J1627">
        <f>IF(AND(D1627&lt;&gt;"dram",D1627&lt;&gt;"control"),H1627,0)</f>
        <v>0</v>
      </c>
      <c r="K1627">
        <f>IF(D1627="dram",H1627,0)</f>
        <v>341</v>
      </c>
      <c r="L1627">
        <v>16384</v>
      </c>
      <c r="M1627">
        <v>0</v>
      </c>
    </row>
    <row r="1628" spans="1:13">
      <c r="A1628">
        <v>1626</v>
      </c>
      <c r="B1628" t="s">
        <v>332</v>
      </c>
      <c r="C1628" t="s">
        <v>78</v>
      </c>
      <c r="D1628" t="s">
        <v>79</v>
      </c>
      <c r="E1628" t="s">
        <v>317</v>
      </c>
      <c r="F1628">
        <v>512</v>
      </c>
      <c r="G1628">
        <f>MAX(I1623,I1627)</f>
        <v>2969562</v>
      </c>
      <c r="H1628">
        <f>CEILING((dram_access_latency+F1628/dram_bandwidth)*frequency,1)</f>
        <v>108</v>
      </c>
      <c r="I1628">
        <f>G1628+H1628</f>
        <v>2969670</v>
      </c>
      <c r="J1628">
        <f>IF(AND(D1628&lt;&gt;"dram",D1628&lt;&gt;"control"),H1628,0)</f>
        <v>0</v>
      </c>
      <c r="K1628">
        <f>IF(D1628="dram",H1628,0)</f>
        <v>108</v>
      </c>
      <c r="L1628">
        <v>512</v>
      </c>
      <c r="M1628">
        <v>0</v>
      </c>
    </row>
    <row r="1629" spans="1:13">
      <c r="A1629">
        <v>1627</v>
      </c>
      <c r="B1629" t="s">
        <v>57</v>
      </c>
      <c r="C1629" t="s">
        <v>85</v>
      </c>
      <c r="D1629" t="s">
        <v>17</v>
      </c>
      <c r="E1629" t="s">
        <v>317</v>
      </c>
      <c r="F1629">
        <v>0</v>
      </c>
      <c r="G1629">
        <f>MAX(I1622,I1375,I1626,I1377,I1627,I1628,I1624,I1625)</f>
        <v>2977591</v>
      </c>
      <c r="H1629">
        <f>'Operations'!I24</f>
        <v>16384</v>
      </c>
      <c r="I1629">
        <f>G1629+H1629</f>
        <v>2993975</v>
      </c>
      <c r="J1629">
        <f>IF(AND(D1629&lt;&gt;"dram",D1629&lt;&gt;"control"),H1629,0)</f>
        <v>16384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333</v>
      </c>
      <c r="C1630" t="s">
        <v>82</v>
      </c>
      <c r="D1630" t="s">
        <v>83</v>
      </c>
      <c r="E1630" t="s">
        <v>317</v>
      </c>
      <c r="F1630">
        <v>0</v>
      </c>
      <c r="G1630">
        <f>MAX(I1623,I1622)</f>
        <v>2961207</v>
      </c>
      <c r="H1630">
        <f>0</f>
        <v>16384</v>
      </c>
      <c r="I1630">
        <f>G1630+H1630</f>
        <v>2977591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334</v>
      </c>
      <c r="C1631" t="s">
        <v>87</v>
      </c>
      <c r="D1631" t="s">
        <v>79</v>
      </c>
      <c r="E1631" t="s">
        <v>317</v>
      </c>
      <c r="F1631">
        <v>4</v>
      </c>
      <c r="G1631">
        <f>MAX(I1630,I1628)</f>
        <v>2977591</v>
      </c>
      <c r="H1631">
        <f>CEILING((dram_access_latency+F1631/dram_bandwidth)*frequency,1)</f>
        <v>101</v>
      </c>
      <c r="I1631">
        <f>G1631+H1631</f>
        <v>2977692</v>
      </c>
      <c r="J1631">
        <f>IF(AND(D1631&lt;&gt;"dram",D1631&lt;&gt;"control"),H1631,0)</f>
        <v>0</v>
      </c>
      <c r="K1631">
        <f>IF(D1631="dram",H1631,0)</f>
        <v>101</v>
      </c>
      <c r="L1631">
        <v>0</v>
      </c>
      <c r="M1631">
        <v>4</v>
      </c>
    </row>
    <row r="1632" spans="1:13">
      <c r="A1632">
        <v>1630</v>
      </c>
      <c r="B1632" t="s">
        <v>335</v>
      </c>
      <c r="C1632" t="s">
        <v>87</v>
      </c>
      <c r="D1632" t="s">
        <v>79</v>
      </c>
      <c r="E1632" t="s">
        <v>317</v>
      </c>
      <c r="F1632">
        <v>128</v>
      </c>
      <c r="G1632">
        <f>MAX(I1630,I1631)</f>
        <v>2977692</v>
      </c>
      <c r="H1632">
        <f>CEILING((dram_access_latency+F1632/dram_bandwidth)*frequency,1)</f>
        <v>102</v>
      </c>
      <c r="I1632">
        <f>G1632+H1632</f>
        <v>2977794</v>
      </c>
      <c r="J1632">
        <f>IF(AND(D1632&lt;&gt;"dram",D1632&lt;&gt;"control"),H1632,0)</f>
        <v>0</v>
      </c>
      <c r="K1632">
        <f>IF(D1632="dram",H1632,0)</f>
        <v>102</v>
      </c>
      <c r="L1632">
        <v>0</v>
      </c>
      <c r="M1632">
        <v>128</v>
      </c>
    </row>
    <row r="1633" spans="1:13">
      <c r="A1633">
        <v>1631</v>
      </c>
      <c r="B1633" t="s">
        <v>329</v>
      </c>
      <c r="C1633" t="s">
        <v>78</v>
      </c>
      <c r="D1633" t="s">
        <v>79</v>
      </c>
      <c r="E1633" t="s">
        <v>318</v>
      </c>
      <c r="F1633">
        <v>524288</v>
      </c>
      <c r="G1633">
        <f>MAX(I1630,I1632)</f>
        <v>2977794</v>
      </c>
      <c r="H1633">
        <f>CEILING((dram_access_latency+F1633/dram_bandwidth)*frequency,1)</f>
        <v>7811</v>
      </c>
      <c r="I1633">
        <f>G1633+H1633</f>
        <v>2985605</v>
      </c>
      <c r="J1633">
        <f>IF(AND(D1633&lt;&gt;"dram",D1633&lt;&gt;"control"),H1633,0)</f>
        <v>0</v>
      </c>
      <c r="K1633">
        <f>IF(D1633="dram",H1633,0)</f>
        <v>7811</v>
      </c>
      <c r="L1633">
        <v>524288</v>
      </c>
      <c r="M1633">
        <v>0</v>
      </c>
    </row>
    <row r="1634" spans="1:13">
      <c r="A1634">
        <v>1632</v>
      </c>
      <c r="B1634" t="s">
        <v>331</v>
      </c>
      <c r="C1634" t="s">
        <v>78</v>
      </c>
      <c r="D1634" t="s">
        <v>79</v>
      </c>
      <c r="E1634" t="s">
        <v>318</v>
      </c>
      <c r="F1634">
        <v>16384</v>
      </c>
      <c r="G1634">
        <f>MAX(I1630,I1633)</f>
        <v>2985605</v>
      </c>
      <c r="H1634">
        <f>CEILING((dram_access_latency+F1634/dram_bandwidth)*frequency,1)</f>
        <v>341</v>
      </c>
      <c r="I1634">
        <f>G1634+H1634</f>
        <v>2985946</v>
      </c>
      <c r="J1634">
        <f>IF(AND(D1634&lt;&gt;"dram",D1634&lt;&gt;"control"),H1634,0)</f>
        <v>0</v>
      </c>
      <c r="K1634">
        <f>IF(D1634="dram",H1634,0)</f>
        <v>341</v>
      </c>
      <c r="L1634">
        <v>16384</v>
      </c>
      <c r="M1634">
        <v>0</v>
      </c>
    </row>
    <row r="1635" spans="1:13">
      <c r="A1635">
        <v>1633</v>
      </c>
      <c r="B1635" t="s">
        <v>332</v>
      </c>
      <c r="C1635" t="s">
        <v>78</v>
      </c>
      <c r="D1635" t="s">
        <v>79</v>
      </c>
      <c r="E1635" t="s">
        <v>318</v>
      </c>
      <c r="F1635">
        <v>512</v>
      </c>
      <c r="G1635">
        <f>MAX(I1630,I1634)</f>
        <v>2985946</v>
      </c>
      <c r="H1635">
        <f>CEILING((dram_access_latency+F1635/dram_bandwidth)*frequency,1)</f>
        <v>108</v>
      </c>
      <c r="I1635">
        <f>G1635+H1635</f>
        <v>2986054</v>
      </c>
      <c r="J1635">
        <f>IF(AND(D1635&lt;&gt;"dram",D1635&lt;&gt;"control"),H1635,0)</f>
        <v>0</v>
      </c>
      <c r="K1635">
        <f>IF(D1635="dram",H1635,0)</f>
        <v>108</v>
      </c>
      <c r="L1635">
        <v>512</v>
      </c>
      <c r="M1635">
        <v>0</v>
      </c>
    </row>
    <row r="1636" spans="1:13">
      <c r="A1636">
        <v>1634</v>
      </c>
      <c r="B1636" t="s">
        <v>57</v>
      </c>
      <c r="C1636" t="s">
        <v>85</v>
      </c>
      <c r="D1636" t="s">
        <v>17</v>
      </c>
      <c r="E1636" t="s">
        <v>318</v>
      </c>
      <c r="F1636">
        <v>0</v>
      </c>
      <c r="G1636">
        <f>MAX(I1629,I1375,I1633,I1377,I1634,I1635,I1631,I1632)</f>
        <v>2993975</v>
      </c>
      <c r="H1636">
        <f>'Operations'!I24</f>
        <v>16384</v>
      </c>
      <c r="I1636">
        <f>G1636+H1636</f>
        <v>3010359</v>
      </c>
      <c r="J1636">
        <f>IF(AND(D1636&lt;&gt;"dram",D1636&lt;&gt;"control"),H1636,0)</f>
        <v>16384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333</v>
      </c>
      <c r="C1637" t="s">
        <v>82</v>
      </c>
      <c r="D1637" t="s">
        <v>83</v>
      </c>
      <c r="E1637" t="s">
        <v>318</v>
      </c>
      <c r="F1637">
        <v>0</v>
      </c>
      <c r="G1637">
        <f>MAX(I1630,I1629)</f>
        <v>2977591</v>
      </c>
      <c r="H1637">
        <f>0</f>
        <v>16384</v>
      </c>
      <c r="I1637">
        <f>G1637+H1637</f>
        <v>2993975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334</v>
      </c>
      <c r="C1638" t="s">
        <v>87</v>
      </c>
      <c r="D1638" t="s">
        <v>79</v>
      </c>
      <c r="E1638" t="s">
        <v>318</v>
      </c>
      <c r="F1638">
        <v>4</v>
      </c>
      <c r="G1638">
        <f>MAX(I1637,I1635)</f>
        <v>2993975</v>
      </c>
      <c r="H1638">
        <f>CEILING((dram_access_latency+F1638/dram_bandwidth)*frequency,1)</f>
        <v>101</v>
      </c>
      <c r="I1638">
        <f>G1638+H1638</f>
        <v>2994076</v>
      </c>
      <c r="J1638">
        <f>IF(AND(D1638&lt;&gt;"dram",D1638&lt;&gt;"control"),H1638,0)</f>
        <v>0</v>
      </c>
      <c r="K1638">
        <f>IF(D1638="dram",H1638,0)</f>
        <v>101</v>
      </c>
      <c r="L1638">
        <v>0</v>
      </c>
      <c r="M1638">
        <v>4</v>
      </c>
    </row>
    <row r="1639" spans="1:13">
      <c r="A1639">
        <v>1637</v>
      </c>
      <c r="B1639" t="s">
        <v>335</v>
      </c>
      <c r="C1639" t="s">
        <v>87</v>
      </c>
      <c r="D1639" t="s">
        <v>79</v>
      </c>
      <c r="E1639" t="s">
        <v>318</v>
      </c>
      <c r="F1639">
        <v>128</v>
      </c>
      <c r="G1639">
        <f>MAX(I1637,I1638)</f>
        <v>2994076</v>
      </c>
      <c r="H1639">
        <f>CEILING((dram_access_latency+F1639/dram_bandwidth)*frequency,1)</f>
        <v>102</v>
      </c>
      <c r="I1639">
        <f>G1639+H1639</f>
        <v>2994178</v>
      </c>
      <c r="J1639">
        <f>IF(AND(D1639&lt;&gt;"dram",D1639&lt;&gt;"control"),H1639,0)</f>
        <v>0</v>
      </c>
      <c r="K1639">
        <f>IF(D1639="dram",H1639,0)</f>
        <v>102</v>
      </c>
      <c r="L1639">
        <v>0</v>
      </c>
      <c r="M1639">
        <v>128</v>
      </c>
    </row>
    <row r="1640" spans="1:13">
      <c r="A1640">
        <v>1638</v>
      </c>
      <c r="B1640" t="s">
        <v>329</v>
      </c>
      <c r="C1640" t="s">
        <v>78</v>
      </c>
      <c r="D1640" t="s">
        <v>79</v>
      </c>
      <c r="E1640" t="s">
        <v>319</v>
      </c>
      <c r="F1640">
        <v>524288</v>
      </c>
      <c r="G1640">
        <f>MAX(I1637,I1639)</f>
        <v>2994178</v>
      </c>
      <c r="H1640">
        <f>CEILING((dram_access_latency+F1640/dram_bandwidth)*frequency,1)</f>
        <v>7811</v>
      </c>
      <c r="I1640">
        <f>G1640+H1640</f>
        <v>3001989</v>
      </c>
      <c r="J1640">
        <f>IF(AND(D1640&lt;&gt;"dram",D1640&lt;&gt;"control"),H1640,0)</f>
        <v>0</v>
      </c>
      <c r="K1640">
        <f>IF(D1640="dram",H1640,0)</f>
        <v>7811</v>
      </c>
      <c r="L1640">
        <v>524288</v>
      </c>
      <c r="M1640">
        <v>0</v>
      </c>
    </row>
    <row r="1641" spans="1:13">
      <c r="A1641">
        <v>1639</v>
      </c>
      <c r="B1641" t="s">
        <v>331</v>
      </c>
      <c r="C1641" t="s">
        <v>78</v>
      </c>
      <c r="D1641" t="s">
        <v>79</v>
      </c>
      <c r="E1641" t="s">
        <v>319</v>
      </c>
      <c r="F1641">
        <v>16384</v>
      </c>
      <c r="G1641">
        <f>MAX(I1637,I1640)</f>
        <v>3001989</v>
      </c>
      <c r="H1641">
        <f>CEILING((dram_access_latency+F1641/dram_bandwidth)*frequency,1)</f>
        <v>341</v>
      </c>
      <c r="I1641">
        <f>G1641+H1641</f>
        <v>3002330</v>
      </c>
      <c r="J1641">
        <f>IF(AND(D1641&lt;&gt;"dram",D1641&lt;&gt;"control"),H1641,0)</f>
        <v>0</v>
      </c>
      <c r="K1641">
        <f>IF(D1641="dram",H1641,0)</f>
        <v>341</v>
      </c>
      <c r="L1641">
        <v>16384</v>
      </c>
      <c r="M1641">
        <v>0</v>
      </c>
    </row>
    <row r="1642" spans="1:13">
      <c r="A1642">
        <v>1640</v>
      </c>
      <c r="B1642" t="s">
        <v>332</v>
      </c>
      <c r="C1642" t="s">
        <v>78</v>
      </c>
      <c r="D1642" t="s">
        <v>79</v>
      </c>
      <c r="E1642" t="s">
        <v>319</v>
      </c>
      <c r="F1642">
        <v>512</v>
      </c>
      <c r="G1642">
        <f>MAX(I1637,I1641)</f>
        <v>3002330</v>
      </c>
      <c r="H1642">
        <f>CEILING((dram_access_latency+F1642/dram_bandwidth)*frequency,1)</f>
        <v>108</v>
      </c>
      <c r="I1642">
        <f>G1642+H1642</f>
        <v>3002438</v>
      </c>
      <c r="J1642">
        <f>IF(AND(D1642&lt;&gt;"dram",D1642&lt;&gt;"control"),H1642,0)</f>
        <v>0</v>
      </c>
      <c r="K1642">
        <f>IF(D1642="dram",H1642,0)</f>
        <v>108</v>
      </c>
      <c r="L1642">
        <v>512</v>
      </c>
      <c r="M1642">
        <v>0</v>
      </c>
    </row>
    <row r="1643" spans="1:13">
      <c r="A1643">
        <v>1641</v>
      </c>
      <c r="B1643" t="s">
        <v>57</v>
      </c>
      <c r="C1643" t="s">
        <v>85</v>
      </c>
      <c r="D1643" t="s">
        <v>17</v>
      </c>
      <c r="E1643" t="s">
        <v>319</v>
      </c>
      <c r="F1643">
        <v>0</v>
      </c>
      <c r="G1643">
        <f>MAX(I1636,I1375,I1640,I1377,I1641,I1642,I1638,I1639)</f>
        <v>3010359</v>
      </c>
      <c r="H1643">
        <f>'Operations'!I24</f>
        <v>16384</v>
      </c>
      <c r="I1643">
        <f>G1643+H1643</f>
        <v>3026743</v>
      </c>
      <c r="J1643">
        <f>IF(AND(D1643&lt;&gt;"dram",D1643&lt;&gt;"control"),H1643,0)</f>
        <v>16384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333</v>
      </c>
      <c r="C1644" t="s">
        <v>82</v>
      </c>
      <c r="D1644" t="s">
        <v>83</v>
      </c>
      <c r="E1644" t="s">
        <v>319</v>
      </c>
      <c r="F1644">
        <v>0</v>
      </c>
      <c r="G1644">
        <f>MAX(I1637,I1636)</f>
        <v>2993975</v>
      </c>
      <c r="H1644">
        <f>0</f>
        <v>16384</v>
      </c>
      <c r="I1644">
        <f>G1644+H1644</f>
        <v>3010359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334</v>
      </c>
      <c r="C1645" t="s">
        <v>87</v>
      </c>
      <c r="D1645" t="s">
        <v>79</v>
      </c>
      <c r="E1645" t="s">
        <v>319</v>
      </c>
      <c r="F1645">
        <v>4</v>
      </c>
      <c r="G1645">
        <f>MAX(I1644,I1642)</f>
        <v>3010359</v>
      </c>
      <c r="H1645">
        <f>CEILING((dram_access_latency+F1645/dram_bandwidth)*frequency,1)</f>
        <v>101</v>
      </c>
      <c r="I1645">
        <f>G1645+H1645</f>
        <v>3010460</v>
      </c>
      <c r="J1645">
        <f>IF(AND(D1645&lt;&gt;"dram",D1645&lt;&gt;"control"),H1645,0)</f>
        <v>0</v>
      </c>
      <c r="K1645">
        <f>IF(D1645="dram",H1645,0)</f>
        <v>101</v>
      </c>
      <c r="L1645">
        <v>0</v>
      </c>
      <c r="M1645">
        <v>4</v>
      </c>
    </row>
    <row r="1646" spans="1:13">
      <c r="A1646">
        <v>1644</v>
      </c>
      <c r="B1646" t="s">
        <v>335</v>
      </c>
      <c r="C1646" t="s">
        <v>87</v>
      </c>
      <c r="D1646" t="s">
        <v>79</v>
      </c>
      <c r="E1646" t="s">
        <v>319</v>
      </c>
      <c r="F1646">
        <v>128</v>
      </c>
      <c r="G1646">
        <f>MAX(I1644,I1645)</f>
        <v>3010460</v>
      </c>
      <c r="H1646">
        <f>CEILING((dram_access_latency+F1646/dram_bandwidth)*frequency,1)</f>
        <v>102</v>
      </c>
      <c r="I1646">
        <f>G1646+H1646</f>
        <v>3010562</v>
      </c>
      <c r="J1646">
        <f>IF(AND(D1646&lt;&gt;"dram",D1646&lt;&gt;"control"),H1646,0)</f>
        <v>0</v>
      </c>
      <c r="K1646">
        <f>IF(D1646="dram",H1646,0)</f>
        <v>102</v>
      </c>
      <c r="L1646">
        <v>0</v>
      </c>
      <c r="M1646">
        <v>128</v>
      </c>
    </row>
    <row r="1647" spans="1:13">
      <c r="A1647">
        <v>1645</v>
      </c>
      <c r="B1647" t="s">
        <v>329</v>
      </c>
      <c r="C1647" t="s">
        <v>78</v>
      </c>
      <c r="D1647" t="s">
        <v>79</v>
      </c>
      <c r="E1647" t="s">
        <v>320</v>
      </c>
      <c r="F1647">
        <v>524288</v>
      </c>
      <c r="G1647">
        <f>MAX(I1644,I1646)</f>
        <v>3010562</v>
      </c>
      <c r="H1647">
        <f>CEILING((dram_access_latency+F1647/dram_bandwidth)*frequency,1)</f>
        <v>7811</v>
      </c>
      <c r="I1647">
        <f>G1647+H1647</f>
        <v>3018373</v>
      </c>
      <c r="J1647">
        <f>IF(AND(D1647&lt;&gt;"dram",D1647&lt;&gt;"control"),H1647,0)</f>
        <v>0</v>
      </c>
      <c r="K1647">
        <f>IF(D1647="dram",H1647,0)</f>
        <v>7811</v>
      </c>
      <c r="L1647">
        <v>524288</v>
      </c>
      <c r="M1647">
        <v>0</v>
      </c>
    </row>
    <row r="1648" spans="1:13">
      <c r="A1648">
        <v>1646</v>
      </c>
      <c r="B1648" t="s">
        <v>331</v>
      </c>
      <c r="C1648" t="s">
        <v>78</v>
      </c>
      <c r="D1648" t="s">
        <v>79</v>
      </c>
      <c r="E1648" t="s">
        <v>320</v>
      </c>
      <c r="F1648">
        <v>16384</v>
      </c>
      <c r="G1648">
        <f>MAX(I1644,I1647)</f>
        <v>3018373</v>
      </c>
      <c r="H1648">
        <f>CEILING((dram_access_latency+F1648/dram_bandwidth)*frequency,1)</f>
        <v>341</v>
      </c>
      <c r="I1648">
        <f>G1648+H1648</f>
        <v>3018714</v>
      </c>
      <c r="J1648">
        <f>IF(AND(D1648&lt;&gt;"dram",D1648&lt;&gt;"control"),H1648,0)</f>
        <v>0</v>
      </c>
      <c r="K1648">
        <f>IF(D1648="dram",H1648,0)</f>
        <v>341</v>
      </c>
      <c r="L1648">
        <v>16384</v>
      </c>
      <c r="M1648">
        <v>0</v>
      </c>
    </row>
    <row r="1649" spans="1:13">
      <c r="A1649">
        <v>1647</v>
      </c>
      <c r="B1649" t="s">
        <v>332</v>
      </c>
      <c r="C1649" t="s">
        <v>78</v>
      </c>
      <c r="D1649" t="s">
        <v>79</v>
      </c>
      <c r="E1649" t="s">
        <v>320</v>
      </c>
      <c r="F1649">
        <v>512</v>
      </c>
      <c r="G1649">
        <f>MAX(I1644,I1648)</f>
        <v>3018714</v>
      </c>
      <c r="H1649">
        <f>CEILING((dram_access_latency+F1649/dram_bandwidth)*frequency,1)</f>
        <v>108</v>
      </c>
      <c r="I1649">
        <f>G1649+H1649</f>
        <v>3018822</v>
      </c>
      <c r="J1649">
        <f>IF(AND(D1649&lt;&gt;"dram",D1649&lt;&gt;"control"),H1649,0)</f>
        <v>0</v>
      </c>
      <c r="K1649">
        <f>IF(D1649="dram",H1649,0)</f>
        <v>108</v>
      </c>
      <c r="L1649">
        <v>512</v>
      </c>
      <c r="M1649">
        <v>0</v>
      </c>
    </row>
    <row r="1650" spans="1:13">
      <c r="A1650">
        <v>1648</v>
      </c>
      <c r="B1650" t="s">
        <v>57</v>
      </c>
      <c r="C1650" t="s">
        <v>85</v>
      </c>
      <c r="D1650" t="s">
        <v>17</v>
      </c>
      <c r="E1650" t="s">
        <v>320</v>
      </c>
      <c r="F1650">
        <v>0</v>
      </c>
      <c r="G1650">
        <f>MAX(I1643,I1375,I1647,I1377,I1648,I1649,I1645,I1646)</f>
        <v>3026743</v>
      </c>
      <c r="H1650">
        <f>'Operations'!I24</f>
        <v>16384</v>
      </c>
      <c r="I1650">
        <f>G1650+H1650</f>
        <v>3043127</v>
      </c>
      <c r="J1650">
        <f>IF(AND(D1650&lt;&gt;"dram",D1650&lt;&gt;"control"),H1650,0)</f>
        <v>16384</v>
      </c>
      <c r="K1650">
        <f>IF(D1650="dram",H1650,0)</f>
        <v>0</v>
      </c>
      <c r="L1650">
        <v>0</v>
      </c>
      <c r="M1650">
        <v>0</v>
      </c>
    </row>
    <row r="1651" spans="1:13">
      <c r="A1651">
        <v>1649</v>
      </c>
      <c r="B1651" t="s">
        <v>333</v>
      </c>
      <c r="C1651" t="s">
        <v>82</v>
      </c>
      <c r="D1651" t="s">
        <v>83</v>
      </c>
      <c r="E1651" t="s">
        <v>320</v>
      </c>
      <c r="F1651">
        <v>0</v>
      </c>
      <c r="G1651">
        <f>MAX(I1644,I1643)</f>
        <v>3010359</v>
      </c>
      <c r="H1651">
        <f>0</f>
        <v>16384</v>
      </c>
      <c r="I1651">
        <f>G1651+H1651</f>
        <v>3026743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334</v>
      </c>
      <c r="C1652" t="s">
        <v>87</v>
      </c>
      <c r="D1652" t="s">
        <v>79</v>
      </c>
      <c r="E1652" t="s">
        <v>320</v>
      </c>
      <c r="F1652">
        <v>4</v>
      </c>
      <c r="G1652">
        <f>MAX(I1651,I1649)</f>
        <v>3026743</v>
      </c>
      <c r="H1652">
        <f>CEILING((dram_access_latency+F1652/dram_bandwidth)*frequency,1)</f>
        <v>101</v>
      </c>
      <c r="I1652">
        <f>G1652+H1652</f>
        <v>3026844</v>
      </c>
      <c r="J1652">
        <f>IF(AND(D1652&lt;&gt;"dram",D1652&lt;&gt;"control"),H1652,0)</f>
        <v>0</v>
      </c>
      <c r="K1652">
        <f>IF(D1652="dram",H1652,0)</f>
        <v>101</v>
      </c>
      <c r="L1652">
        <v>0</v>
      </c>
      <c r="M1652">
        <v>4</v>
      </c>
    </row>
    <row r="1653" spans="1:13">
      <c r="A1653">
        <v>1651</v>
      </c>
      <c r="B1653" t="s">
        <v>335</v>
      </c>
      <c r="C1653" t="s">
        <v>87</v>
      </c>
      <c r="D1653" t="s">
        <v>79</v>
      </c>
      <c r="E1653" t="s">
        <v>320</v>
      </c>
      <c r="F1653">
        <v>128</v>
      </c>
      <c r="G1653">
        <f>MAX(I1651,I1652)</f>
        <v>3026844</v>
      </c>
      <c r="H1653">
        <f>CEILING((dram_access_latency+F1653/dram_bandwidth)*frequency,1)</f>
        <v>102</v>
      </c>
      <c r="I1653">
        <f>G1653+H1653</f>
        <v>3026946</v>
      </c>
      <c r="J1653">
        <f>IF(AND(D1653&lt;&gt;"dram",D1653&lt;&gt;"control"),H1653,0)</f>
        <v>0</v>
      </c>
      <c r="K1653">
        <f>IF(D1653="dram",H1653,0)</f>
        <v>102</v>
      </c>
      <c r="L1653">
        <v>0</v>
      </c>
      <c r="M1653">
        <v>128</v>
      </c>
    </row>
    <row r="1654" spans="1:13">
      <c r="A1654">
        <v>1652</v>
      </c>
      <c r="B1654" t="s">
        <v>329</v>
      </c>
      <c r="C1654" t="s">
        <v>78</v>
      </c>
      <c r="D1654" t="s">
        <v>79</v>
      </c>
      <c r="E1654" t="s">
        <v>321</v>
      </c>
      <c r="F1654">
        <v>524288</v>
      </c>
      <c r="G1654">
        <f>MAX(I1651,I1653)</f>
        <v>3026946</v>
      </c>
      <c r="H1654">
        <f>CEILING((dram_access_latency+F1654/dram_bandwidth)*frequency,1)</f>
        <v>7811</v>
      </c>
      <c r="I1654">
        <f>G1654+H1654</f>
        <v>3034757</v>
      </c>
      <c r="J1654">
        <f>IF(AND(D1654&lt;&gt;"dram",D1654&lt;&gt;"control"),H1654,0)</f>
        <v>0</v>
      </c>
      <c r="K1654">
        <f>IF(D1654="dram",H1654,0)</f>
        <v>7811</v>
      </c>
      <c r="L1654">
        <v>524288</v>
      </c>
      <c r="M1654">
        <v>0</v>
      </c>
    </row>
    <row r="1655" spans="1:13">
      <c r="A1655">
        <v>1653</v>
      </c>
      <c r="B1655" t="s">
        <v>331</v>
      </c>
      <c r="C1655" t="s">
        <v>78</v>
      </c>
      <c r="D1655" t="s">
        <v>79</v>
      </c>
      <c r="E1655" t="s">
        <v>321</v>
      </c>
      <c r="F1655">
        <v>16384</v>
      </c>
      <c r="G1655">
        <f>MAX(I1651,I1654)</f>
        <v>3034757</v>
      </c>
      <c r="H1655">
        <f>CEILING((dram_access_latency+F1655/dram_bandwidth)*frequency,1)</f>
        <v>341</v>
      </c>
      <c r="I1655">
        <f>G1655+H1655</f>
        <v>3035098</v>
      </c>
      <c r="J1655">
        <f>IF(AND(D1655&lt;&gt;"dram",D1655&lt;&gt;"control"),H1655,0)</f>
        <v>0</v>
      </c>
      <c r="K1655">
        <f>IF(D1655="dram",H1655,0)</f>
        <v>341</v>
      </c>
      <c r="L1655">
        <v>16384</v>
      </c>
      <c r="M1655">
        <v>0</v>
      </c>
    </row>
    <row r="1656" spans="1:13">
      <c r="A1656">
        <v>1654</v>
      </c>
      <c r="B1656" t="s">
        <v>332</v>
      </c>
      <c r="C1656" t="s">
        <v>78</v>
      </c>
      <c r="D1656" t="s">
        <v>79</v>
      </c>
      <c r="E1656" t="s">
        <v>321</v>
      </c>
      <c r="F1656">
        <v>512</v>
      </c>
      <c r="G1656">
        <f>MAX(I1651,I1655)</f>
        <v>3035098</v>
      </c>
      <c r="H1656">
        <f>CEILING((dram_access_latency+F1656/dram_bandwidth)*frequency,1)</f>
        <v>108</v>
      </c>
      <c r="I1656">
        <f>G1656+H1656</f>
        <v>3035206</v>
      </c>
      <c r="J1656">
        <f>IF(AND(D1656&lt;&gt;"dram",D1656&lt;&gt;"control"),H1656,0)</f>
        <v>0</v>
      </c>
      <c r="K1656">
        <f>IF(D1656="dram",H1656,0)</f>
        <v>108</v>
      </c>
      <c r="L1656">
        <v>512</v>
      </c>
      <c r="M1656">
        <v>0</v>
      </c>
    </row>
    <row r="1657" spans="1:13">
      <c r="A1657">
        <v>1655</v>
      </c>
      <c r="B1657" t="s">
        <v>57</v>
      </c>
      <c r="C1657" t="s">
        <v>85</v>
      </c>
      <c r="D1657" t="s">
        <v>17</v>
      </c>
      <c r="E1657" t="s">
        <v>321</v>
      </c>
      <c r="F1657">
        <v>0</v>
      </c>
      <c r="G1657">
        <f>MAX(I1650,I1375,I1654,I1377,I1655,I1656,I1652,I1653)</f>
        <v>3043127</v>
      </c>
      <c r="H1657">
        <f>'Operations'!I24</f>
        <v>16384</v>
      </c>
      <c r="I1657">
        <f>G1657+H1657</f>
        <v>3059511</v>
      </c>
      <c r="J1657">
        <f>IF(AND(D1657&lt;&gt;"dram",D1657&lt;&gt;"control"),H1657,0)</f>
        <v>16384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333</v>
      </c>
      <c r="C1658" t="s">
        <v>82</v>
      </c>
      <c r="D1658" t="s">
        <v>83</v>
      </c>
      <c r="E1658" t="s">
        <v>321</v>
      </c>
      <c r="F1658">
        <v>0</v>
      </c>
      <c r="G1658">
        <f>MAX(I1651,I1650)</f>
        <v>3026743</v>
      </c>
      <c r="H1658">
        <f>0</f>
        <v>16384</v>
      </c>
      <c r="I1658">
        <f>G1658+H1658</f>
        <v>3043127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334</v>
      </c>
      <c r="C1659" t="s">
        <v>87</v>
      </c>
      <c r="D1659" t="s">
        <v>79</v>
      </c>
      <c r="E1659" t="s">
        <v>321</v>
      </c>
      <c r="F1659">
        <v>4</v>
      </c>
      <c r="G1659">
        <f>MAX(I1658,I1656)</f>
        <v>3043127</v>
      </c>
      <c r="H1659">
        <f>CEILING((dram_access_latency+F1659/dram_bandwidth)*frequency,1)</f>
        <v>101</v>
      </c>
      <c r="I1659">
        <f>G1659+H1659</f>
        <v>3043228</v>
      </c>
      <c r="J1659">
        <f>IF(AND(D1659&lt;&gt;"dram",D1659&lt;&gt;"control"),H1659,0)</f>
        <v>0</v>
      </c>
      <c r="K1659">
        <f>IF(D1659="dram",H1659,0)</f>
        <v>101</v>
      </c>
      <c r="L1659">
        <v>0</v>
      </c>
      <c r="M1659">
        <v>4</v>
      </c>
    </row>
    <row r="1660" spans="1:13">
      <c r="A1660">
        <v>1658</v>
      </c>
      <c r="B1660" t="s">
        <v>335</v>
      </c>
      <c r="C1660" t="s">
        <v>87</v>
      </c>
      <c r="D1660" t="s">
        <v>79</v>
      </c>
      <c r="E1660" t="s">
        <v>321</v>
      </c>
      <c r="F1660">
        <v>128</v>
      </c>
      <c r="G1660">
        <f>MAX(I1658,I1659)</f>
        <v>3043228</v>
      </c>
      <c r="H1660">
        <f>CEILING((dram_access_latency+F1660/dram_bandwidth)*frequency,1)</f>
        <v>102</v>
      </c>
      <c r="I1660">
        <f>G1660+H1660</f>
        <v>3043330</v>
      </c>
      <c r="J1660">
        <f>IF(AND(D1660&lt;&gt;"dram",D1660&lt;&gt;"control"),H1660,0)</f>
        <v>0</v>
      </c>
      <c r="K1660">
        <f>IF(D1660="dram",H1660,0)</f>
        <v>102</v>
      </c>
      <c r="L1660">
        <v>0</v>
      </c>
      <c r="M1660">
        <v>128</v>
      </c>
    </row>
    <row r="1661" spans="1:13">
      <c r="A1661">
        <v>1659</v>
      </c>
      <c r="B1661" t="s">
        <v>329</v>
      </c>
      <c r="C1661" t="s">
        <v>78</v>
      </c>
      <c r="D1661" t="s">
        <v>79</v>
      </c>
      <c r="E1661" t="s">
        <v>322</v>
      </c>
      <c r="F1661">
        <v>524288</v>
      </c>
      <c r="G1661">
        <f>MAX(I1658,I1660)</f>
        <v>3043330</v>
      </c>
      <c r="H1661">
        <f>CEILING((dram_access_latency+F1661/dram_bandwidth)*frequency,1)</f>
        <v>7811</v>
      </c>
      <c r="I1661">
        <f>G1661+H1661</f>
        <v>3051141</v>
      </c>
      <c r="J1661">
        <f>IF(AND(D1661&lt;&gt;"dram",D1661&lt;&gt;"control"),H1661,0)</f>
        <v>0</v>
      </c>
      <c r="K1661">
        <f>IF(D1661="dram",H1661,0)</f>
        <v>7811</v>
      </c>
      <c r="L1661">
        <v>524288</v>
      </c>
      <c r="M1661">
        <v>0</v>
      </c>
    </row>
    <row r="1662" spans="1:13">
      <c r="A1662">
        <v>1660</v>
      </c>
      <c r="B1662" t="s">
        <v>331</v>
      </c>
      <c r="C1662" t="s">
        <v>78</v>
      </c>
      <c r="D1662" t="s">
        <v>79</v>
      </c>
      <c r="E1662" t="s">
        <v>322</v>
      </c>
      <c r="F1662">
        <v>16384</v>
      </c>
      <c r="G1662">
        <f>MAX(I1658,I1661)</f>
        <v>3051141</v>
      </c>
      <c r="H1662">
        <f>CEILING((dram_access_latency+F1662/dram_bandwidth)*frequency,1)</f>
        <v>341</v>
      </c>
      <c r="I1662">
        <f>G1662+H1662</f>
        <v>3051482</v>
      </c>
      <c r="J1662">
        <f>IF(AND(D1662&lt;&gt;"dram",D1662&lt;&gt;"control"),H1662,0)</f>
        <v>0</v>
      </c>
      <c r="K1662">
        <f>IF(D1662="dram",H1662,0)</f>
        <v>341</v>
      </c>
      <c r="L1662">
        <v>16384</v>
      </c>
      <c r="M1662">
        <v>0</v>
      </c>
    </row>
    <row r="1663" spans="1:13">
      <c r="A1663">
        <v>1661</v>
      </c>
      <c r="B1663" t="s">
        <v>332</v>
      </c>
      <c r="C1663" t="s">
        <v>78</v>
      </c>
      <c r="D1663" t="s">
        <v>79</v>
      </c>
      <c r="E1663" t="s">
        <v>322</v>
      </c>
      <c r="F1663">
        <v>512</v>
      </c>
      <c r="G1663">
        <f>MAX(I1658,I1662)</f>
        <v>3051482</v>
      </c>
      <c r="H1663">
        <f>CEILING((dram_access_latency+F1663/dram_bandwidth)*frequency,1)</f>
        <v>108</v>
      </c>
      <c r="I1663">
        <f>G1663+H1663</f>
        <v>3051590</v>
      </c>
      <c r="J1663">
        <f>IF(AND(D1663&lt;&gt;"dram",D1663&lt;&gt;"control"),H1663,0)</f>
        <v>0</v>
      </c>
      <c r="K1663">
        <f>IF(D1663="dram",H1663,0)</f>
        <v>108</v>
      </c>
      <c r="L1663">
        <v>512</v>
      </c>
      <c r="M1663">
        <v>0</v>
      </c>
    </row>
    <row r="1664" spans="1:13">
      <c r="A1664">
        <v>1662</v>
      </c>
      <c r="B1664" t="s">
        <v>57</v>
      </c>
      <c r="C1664" t="s">
        <v>85</v>
      </c>
      <c r="D1664" t="s">
        <v>17</v>
      </c>
      <c r="E1664" t="s">
        <v>322</v>
      </c>
      <c r="F1664">
        <v>0</v>
      </c>
      <c r="G1664">
        <f>MAX(I1657,I1375,I1661,I1377,I1662,I1663,I1659,I1660)</f>
        <v>3059511</v>
      </c>
      <c r="H1664">
        <f>'Operations'!I24</f>
        <v>16384</v>
      </c>
      <c r="I1664">
        <f>G1664+H1664</f>
        <v>3075895</v>
      </c>
      <c r="J1664">
        <f>IF(AND(D1664&lt;&gt;"dram",D1664&lt;&gt;"control"),H1664,0)</f>
        <v>16384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333</v>
      </c>
      <c r="C1665" t="s">
        <v>82</v>
      </c>
      <c r="D1665" t="s">
        <v>83</v>
      </c>
      <c r="E1665" t="s">
        <v>322</v>
      </c>
      <c r="F1665">
        <v>0</v>
      </c>
      <c r="G1665">
        <f>MAX(I1658,I1657)</f>
        <v>3043127</v>
      </c>
      <c r="H1665">
        <f>0</f>
        <v>16384</v>
      </c>
      <c r="I1665">
        <f>G1665+H1665</f>
        <v>3059511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334</v>
      </c>
      <c r="C1666" t="s">
        <v>87</v>
      </c>
      <c r="D1666" t="s">
        <v>79</v>
      </c>
      <c r="E1666" t="s">
        <v>322</v>
      </c>
      <c r="F1666">
        <v>4</v>
      </c>
      <c r="G1666">
        <f>MAX(I1665,I1663)</f>
        <v>3059511</v>
      </c>
      <c r="H1666">
        <f>CEILING((dram_access_latency+F1666/dram_bandwidth)*frequency,1)</f>
        <v>101</v>
      </c>
      <c r="I1666">
        <f>G1666+H1666</f>
        <v>3059612</v>
      </c>
      <c r="J1666">
        <f>IF(AND(D1666&lt;&gt;"dram",D1666&lt;&gt;"control"),H1666,0)</f>
        <v>0</v>
      </c>
      <c r="K1666">
        <f>IF(D1666="dram",H1666,0)</f>
        <v>101</v>
      </c>
      <c r="L1666">
        <v>0</v>
      </c>
      <c r="M1666">
        <v>4</v>
      </c>
    </row>
    <row r="1667" spans="1:13">
      <c r="A1667">
        <v>1665</v>
      </c>
      <c r="B1667" t="s">
        <v>335</v>
      </c>
      <c r="C1667" t="s">
        <v>87</v>
      </c>
      <c r="D1667" t="s">
        <v>79</v>
      </c>
      <c r="E1667" t="s">
        <v>322</v>
      </c>
      <c r="F1667">
        <v>128</v>
      </c>
      <c r="G1667">
        <f>MAX(I1665,I1666)</f>
        <v>3059612</v>
      </c>
      <c r="H1667">
        <f>CEILING((dram_access_latency+F1667/dram_bandwidth)*frequency,1)</f>
        <v>102</v>
      </c>
      <c r="I1667">
        <f>G1667+H1667</f>
        <v>3059714</v>
      </c>
      <c r="J1667">
        <f>IF(AND(D1667&lt;&gt;"dram",D1667&lt;&gt;"control"),H1667,0)</f>
        <v>0</v>
      </c>
      <c r="K1667">
        <f>IF(D1667="dram",H1667,0)</f>
        <v>102</v>
      </c>
      <c r="L1667">
        <v>0</v>
      </c>
      <c r="M1667">
        <v>128</v>
      </c>
    </row>
    <row r="1668" spans="1:13">
      <c r="A1668">
        <v>1666</v>
      </c>
      <c r="B1668" t="s">
        <v>329</v>
      </c>
      <c r="C1668" t="s">
        <v>78</v>
      </c>
      <c r="D1668" t="s">
        <v>79</v>
      </c>
      <c r="E1668" t="s">
        <v>323</v>
      </c>
      <c r="F1668">
        <v>524288</v>
      </c>
      <c r="G1668">
        <f>MAX(I1665,I1667)</f>
        <v>3059714</v>
      </c>
      <c r="H1668">
        <f>CEILING((dram_access_latency+F1668/dram_bandwidth)*frequency,1)</f>
        <v>7811</v>
      </c>
      <c r="I1668">
        <f>G1668+H1668</f>
        <v>3067525</v>
      </c>
      <c r="J1668">
        <f>IF(AND(D1668&lt;&gt;"dram",D1668&lt;&gt;"control"),H1668,0)</f>
        <v>0</v>
      </c>
      <c r="K1668">
        <f>IF(D1668="dram",H1668,0)</f>
        <v>7811</v>
      </c>
      <c r="L1668">
        <v>524288</v>
      </c>
      <c r="M1668">
        <v>0</v>
      </c>
    </row>
    <row r="1669" spans="1:13">
      <c r="A1669">
        <v>1667</v>
      </c>
      <c r="B1669" t="s">
        <v>331</v>
      </c>
      <c r="C1669" t="s">
        <v>78</v>
      </c>
      <c r="D1669" t="s">
        <v>79</v>
      </c>
      <c r="E1669" t="s">
        <v>323</v>
      </c>
      <c r="F1669">
        <v>16384</v>
      </c>
      <c r="G1669">
        <f>MAX(I1665,I1668)</f>
        <v>3067525</v>
      </c>
      <c r="H1669">
        <f>CEILING((dram_access_latency+F1669/dram_bandwidth)*frequency,1)</f>
        <v>341</v>
      </c>
      <c r="I1669">
        <f>G1669+H1669</f>
        <v>3067866</v>
      </c>
      <c r="J1669">
        <f>IF(AND(D1669&lt;&gt;"dram",D1669&lt;&gt;"control"),H1669,0)</f>
        <v>0</v>
      </c>
      <c r="K1669">
        <f>IF(D1669="dram",H1669,0)</f>
        <v>341</v>
      </c>
      <c r="L1669">
        <v>16384</v>
      </c>
      <c r="M1669">
        <v>0</v>
      </c>
    </row>
    <row r="1670" spans="1:13">
      <c r="A1670">
        <v>1668</v>
      </c>
      <c r="B1670" t="s">
        <v>332</v>
      </c>
      <c r="C1670" t="s">
        <v>78</v>
      </c>
      <c r="D1670" t="s">
        <v>79</v>
      </c>
      <c r="E1670" t="s">
        <v>323</v>
      </c>
      <c r="F1670">
        <v>512</v>
      </c>
      <c r="G1670">
        <f>MAX(I1665,I1669)</f>
        <v>3067866</v>
      </c>
      <c r="H1670">
        <f>CEILING((dram_access_latency+F1670/dram_bandwidth)*frequency,1)</f>
        <v>108</v>
      </c>
      <c r="I1670">
        <f>G1670+H1670</f>
        <v>3067974</v>
      </c>
      <c r="J1670">
        <f>IF(AND(D1670&lt;&gt;"dram",D1670&lt;&gt;"control"),H1670,0)</f>
        <v>0</v>
      </c>
      <c r="K1670">
        <f>IF(D1670="dram",H1670,0)</f>
        <v>108</v>
      </c>
      <c r="L1670">
        <v>512</v>
      </c>
      <c r="M1670">
        <v>0</v>
      </c>
    </row>
    <row r="1671" spans="1:13">
      <c r="A1671">
        <v>1669</v>
      </c>
      <c r="B1671" t="s">
        <v>57</v>
      </c>
      <c r="C1671" t="s">
        <v>85</v>
      </c>
      <c r="D1671" t="s">
        <v>17</v>
      </c>
      <c r="E1671" t="s">
        <v>323</v>
      </c>
      <c r="F1671">
        <v>0</v>
      </c>
      <c r="G1671">
        <f>MAX(I1664,I1375,I1668,I1377,I1669,I1670,I1666,I1667)</f>
        <v>3075895</v>
      </c>
      <c r="H1671">
        <f>'Operations'!I24</f>
        <v>16384</v>
      </c>
      <c r="I1671">
        <f>G1671+H1671</f>
        <v>3092279</v>
      </c>
      <c r="J1671">
        <f>IF(AND(D1671&lt;&gt;"dram",D1671&lt;&gt;"control"),H1671,0)</f>
        <v>16384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333</v>
      </c>
      <c r="C1672" t="s">
        <v>82</v>
      </c>
      <c r="D1672" t="s">
        <v>83</v>
      </c>
      <c r="E1672" t="s">
        <v>323</v>
      </c>
      <c r="F1672">
        <v>0</v>
      </c>
      <c r="G1672">
        <f>MAX(I1665,I1664)</f>
        <v>3059511</v>
      </c>
      <c r="H1672">
        <f>0</f>
        <v>16384</v>
      </c>
      <c r="I1672">
        <f>G1672+H1672</f>
        <v>3075895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334</v>
      </c>
      <c r="C1673" t="s">
        <v>87</v>
      </c>
      <c r="D1673" t="s">
        <v>79</v>
      </c>
      <c r="E1673" t="s">
        <v>323</v>
      </c>
      <c r="F1673">
        <v>4</v>
      </c>
      <c r="G1673">
        <f>MAX(I1672,I1670)</f>
        <v>3075895</v>
      </c>
      <c r="H1673">
        <f>CEILING((dram_access_latency+F1673/dram_bandwidth)*frequency,1)</f>
        <v>101</v>
      </c>
      <c r="I1673">
        <f>G1673+H1673</f>
        <v>3075996</v>
      </c>
      <c r="J1673">
        <f>IF(AND(D1673&lt;&gt;"dram",D1673&lt;&gt;"control"),H1673,0)</f>
        <v>0</v>
      </c>
      <c r="K1673">
        <f>IF(D1673="dram",H1673,0)</f>
        <v>101</v>
      </c>
      <c r="L1673">
        <v>0</v>
      </c>
      <c r="M1673">
        <v>4</v>
      </c>
    </row>
    <row r="1674" spans="1:13">
      <c r="A1674">
        <v>1672</v>
      </c>
      <c r="B1674" t="s">
        <v>335</v>
      </c>
      <c r="C1674" t="s">
        <v>87</v>
      </c>
      <c r="D1674" t="s">
        <v>79</v>
      </c>
      <c r="E1674" t="s">
        <v>323</v>
      </c>
      <c r="F1674">
        <v>128</v>
      </c>
      <c r="G1674">
        <f>MAX(I1672,I1673)</f>
        <v>3075996</v>
      </c>
      <c r="H1674">
        <f>CEILING((dram_access_latency+F1674/dram_bandwidth)*frequency,1)</f>
        <v>102</v>
      </c>
      <c r="I1674">
        <f>G1674+H1674</f>
        <v>3076098</v>
      </c>
      <c r="J1674">
        <f>IF(AND(D1674&lt;&gt;"dram",D1674&lt;&gt;"control"),H1674,0)</f>
        <v>0</v>
      </c>
      <c r="K1674">
        <f>IF(D1674="dram",H1674,0)</f>
        <v>102</v>
      </c>
      <c r="L1674">
        <v>0</v>
      </c>
      <c r="M1674">
        <v>128</v>
      </c>
    </row>
    <row r="1675" spans="1:13">
      <c r="A1675">
        <v>1673</v>
      </c>
      <c r="B1675" t="s">
        <v>336</v>
      </c>
      <c r="C1675" t="s">
        <v>82</v>
      </c>
      <c r="D1675" t="s">
        <v>83</v>
      </c>
      <c r="E1675" t="s">
        <v>80</v>
      </c>
      <c r="F1675">
        <v>0</v>
      </c>
      <c r="G1675">
        <f>MAX(I1672,I1671)</f>
        <v>3075895</v>
      </c>
      <c r="H1675">
        <f>0</f>
        <v>16384</v>
      </c>
      <c r="I1675">
        <f>G1675+H1675</f>
        <v>3092279</v>
      </c>
      <c r="J1675">
        <f>IF(AND(D1675&lt;&gt;"dram",D1675&lt;&gt;"control"),H1675,0)</f>
        <v>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337</v>
      </c>
      <c r="C1676" t="s">
        <v>87</v>
      </c>
      <c r="D1676" t="s">
        <v>79</v>
      </c>
      <c r="E1676" t="s">
        <v>80</v>
      </c>
      <c r="F1676">
        <v>4</v>
      </c>
      <c r="G1676">
        <f>MAX(I1675,I1674)</f>
        <v>3092279</v>
      </c>
      <c r="H1676">
        <f>CEILING((dram_access_latency+F1676/dram_bandwidth)*frequency,1)</f>
        <v>101</v>
      </c>
      <c r="I1676">
        <f>G1676+H1676</f>
        <v>3092380</v>
      </c>
      <c r="J1676">
        <f>IF(AND(D1676&lt;&gt;"dram",D1676&lt;&gt;"control"),H1676,0)</f>
        <v>0</v>
      </c>
      <c r="K1676">
        <f>IF(D1676="dram",H1676,0)</f>
        <v>101</v>
      </c>
      <c r="L1676">
        <v>0</v>
      </c>
      <c r="M1676">
        <v>4</v>
      </c>
    </row>
    <row r="1677" spans="1:13">
      <c r="A1677">
        <v>1675</v>
      </c>
      <c r="B1677" t="s">
        <v>338</v>
      </c>
      <c r="C1677" t="s">
        <v>87</v>
      </c>
      <c r="D1677" t="s">
        <v>79</v>
      </c>
      <c r="E1677" t="s">
        <v>80</v>
      </c>
      <c r="F1677">
        <v>128</v>
      </c>
      <c r="G1677">
        <f>MAX(I1675,I1676)</f>
        <v>3092380</v>
      </c>
      <c r="H1677">
        <f>CEILING((dram_access_latency+F1677/dram_bandwidth)*frequency,1)</f>
        <v>102</v>
      </c>
      <c r="I1677">
        <f>G1677+H1677</f>
        <v>3092482</v>
      </c>
      <c r="J1677">
        <f>IF(AND(D1677&lt;&gt;"dram",D1677&lt;&gt;"control"),H1677,0)</f>
        <v>0</v>
      </c>
      <c r="K1677">
        <f>IF(D1677="dram",H1677,0)</f>
        <v>102</v>
      </c>
      <c r="L1677">
        <v>0</v>
      </c>
      <c r="M1677">
        <v>128</v>
      </c>
    </row>
    <row r="1678" spans="1:13">
      <c r="A1678">
        <v>1676</v>
      </c>
      <c r="B1678" t="s">
        <v>339</v>
      </c>
      <c r="C1678" t="s">
        <v>82</v>
      </c>
      <c r="D1678" t="s">
        <v>83</v>
      </c>
      <c r="E1678" t="s">
        <v>80</v>
      </c>
      <c r="F1678">
        <v>0</v>
      </c>
      <c r="G1678">
        <f>MAX(I1675,I1676)</f>
        <v>3092279</v>
      </c>
      <c r="H1678">
        <f>0</f>
        <v>101</v>
      </c>
      <c r="I1678">
        <f>G1678+H1678</f>
        <v>3092380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340</v>
      </c>
      <c r="C1679" t="s">
        <v>82</v>
      </c>
      <c r="D1679" t="s">
        <v>83</v>
      </c>
      <c r="E1679" t="s">
        <v>80</v>
      </c>
      <c r="F1679">
        <v>0</v>
      </c>
      <c r="G1679">
        <f>MAX(I1678,I1673)</f>
        <v>3092380</v>
      </c>
      <c r="H1679">
        <f>0</f>
        <v>0</v>
      </c>
      <c r="I1679">
        <f>G1679+H1679</f>
        <v>3092380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341</v>
      </c>
      <c r="C1680" t="s">
        <v>82</v>
      </c>
      <c r="D1680" t="s">
        <v>83</v>
      </c>
      <c r="E1680" t="s">
        <v>80</v>
      </c>
      <c r="F1680">
        <v>0</v>
      </c>
      <c r="G1680">
        <f>MAX(I1679,I1677)</f>
        <v>3092380</v>
      </c>
      <c r="H1680">
        <f>0</f>
        <v>102</v>
      </c>
      <c r="I1680">
        <f>G1680+H1680</f>
        <v>3092482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342</v>
      </c>
      <c r="C1681" t="s">
        <v>82</v>
      </c>
      <c r="D1681" t="s">
        <v>83</v>
      </c>
      <c r="E1681" t="s">
        <v>80</v>
      </c>
      <c r="F1681">
        <v>0</v>
      </c>
      <c r="G1681">
        <f>MAX(I1680,I1674)</f>
        <v>3092482</v>
      </c>
      <c r="H1681">
        <f>0</f>
        <v>0</v>
      </c>
      <c r="I1681">
        <f>G1681+H1681</f>
        <v>3092482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343</v>
      </c>
      <c r="C1682" t="s">
        <v>78</v>
      </c>
      <c r="D1682" t="s">
        <v>79</v>
      </c>
      <c r="E1682" t="s">
        <v>84</v>
      </c>
      <c r="F1682">
        <v>5504</v>
      </c>
      <c r="G1682">
        <f>MAX(I1681,I1677)</f>
        <v>3092482</v>
      </c>
      <c r="H1682">
        <f>CEILING((dram_access_latency+F1682/dram_bandwidth)*frequency,1)</f>
        <v>181</v>
      </c>
      <c r="I1682">
        <f>G1682+H1682</f>
        <v>3092663</v>
      </c>
      <c r="J1682">
        <f>IF(AND(D1682&lt;&gt;"dram",D1682&lt;&gt;"control"),H1682,0)</f>
        <v>0</v>
      </c>
      <c r="K1682">
        <f>IF(D1682="dram",H1682,0)</f>
        <v>181</v>
      </c>
      <c r="L1682">
        <v>5504</v>
      </c>
      <c r="M1682">
        <v>0</v>
      </c>
    </row>
    <row r="1683" spans="1:13">
      <c r="A1683">
        <v>1681</v>
      </c>
      <c r="B1683" t="s">
        <v>344</v>
      </c>
      <c r="C1683" t="s">
        <v>78</v>
      </c>
      <c r="D1683" t="s">
        <v>79</v>
      </c>
      <c r="E1683" t="s">
        <v>84</v>
      </c>
      <c r="F1683">
        <v>1409024</v>
      </c>
      <c r="G1683">
        <f>MAX(I1681,I1682)</f>
        <v>3092663</v>
      </c>
      <c r="H1683">
        <f>CEILING((dram_access_latency+F1683/dram_bandwidth)*frequency,1)</f>
        <v>20821</v>
      </c>
      <c r="I1683">
        <f>G1683+H1683</f>
        <v>3113484</v>
      </c>
      <c r="J1683">
        <f>IF(AND(D1683&lt;&gt;"dram",D1683&lt;&gt;"control"),H1683,0)</f>
        <v>0</v>
      </c>
      <c r="K1683">
        <f>IF(D1683="dram",H1683,0)</f>
        <v>20821</v>
      </c>
      <c r="L1683">
        <v>1409024</v>
      </c>
      <c r="M1683">
        <v>0</v>
      </c>
    </row>
    <row r="1684" spans="1:13">
      <c r="A1684">
        <v>1682</v>
      </c>
      <c r="B1684" t="s">
        <v>345</v>
      </c>
      <c r="C1684" t="s">
        <v>78</v>
      </c>
      <c r="D1684" t="s">
        <v>79</v>
      </c>
      <c r="E1684" t="s">
        <v>84</v>
      </c>
      <c r="F1684">
        <v>172</v>
      </c>
      <c r="G1684">
        <f>MAX(I1681,I1683)</f>
        <v>3113484</v>
      </c>
      <c r="H1684">
        <f>CEILING((dram_access_latency+F1684/dram_bandwidth)*frequency,1)</f>
        <v>103</v>
      </c>
      <c r="I1684">
        <f>G1684+H1684</f>
        <v>3113587</v>
      </c>
      <c r="J1684">
        <f>IF(AND(D1684&lt;&gt;"dram",D1684&lt;&gt;"control"),H1684,0)</f>
        <v>0</v>
      </c>
      <c r="K1684">
        <f>IF(D1684="dram",H1684,0)</f>
        <v>103</v>
      </c>
      <c r="L1684">
        <v>172</v>
      </c>
      <c r="M1684">
        <v>0</v>
      </c>
    </row>
    <row r="1685" spans="1:13">
      <c r="A1685">
        <v>1683</v>
      </c>
      <c r="B1685" t="s">
        <v>346</v>
      </c>
      <c r="C1685" t="s">
        <v>78</v>
      </c>
      <c r="D1685" t="s">
        <v>79</v>
      </c>
      <c r="E1685" t="s">
        <v>84</v>
      </c>
      <c r="F1685">
        <v>44032</v>
      </c>
      <c r="G1685">
        <f>MAX(I1681,I1684)</f>
        <v>3113587</v>
      </c>
      <c r="H1685">
        <f>CEILING((dram_access_latency+F1685/dram_bandwidth)*frequency,1)</f>
        <v>748</v>
      </c>
      <c r="I1685">
        <f>G1685+H1685</f>
        <v>3114335</v>
      </c>
      <c r="J1685">
        <f>IF(AND(D1685&lt;&gt;"dram",D1685&lt;&gt;"control"),H1685,0)</f>
        <v>0</v>
      </c>
      <c r="K1685">
        <f>IF(D1685="dram",H1685,0)</f>
        <v>748</v>
      </c>
      <c r="L1685">
        <v>44032</v>
      </c>
      <c r="M1685">
        <v>0</v>
      </c>
    </row>
    <row r="1686" spans="1:13">
      <c r="A1686">
        <v>1684</v>
      </c>
      <c r="B1686" t="s">
        <v>347</v>
      </c>
      <c r="C1686" t="s">
        <v>78</v>
      </c>
      <c r="D1686" t="s">
        <v>79</v>
      </c>
      <c r="E1686" t="s">
        <v>84</v>
      </c>
      <c r="F1686">
        <v>512</v>
      </c>
      <c r="G1686">
        <f>MAX(I1681,I1685)</f>
        <v>3114335</v>
      </c>
      <c r="H1686">
        <f>CEILING((dram_access_latency+F1686/dram_bandwidth)*frequency,1)</f>
        <v>108</v>
      </c>
      <c r="I1686">
        <f>G1686+H1686</f>
        <v>3114443</v>
      </c>
      <c r="J1686">
        <f>IF(AND(D1686&lt;&gt;"dram",D1686&lt;&gt;"control"),H1686,0)</f>
        <v>0</v>
      </c>
      <c r="K1686">
        <f>IF(D1686="dram",H1686,0)</f>
        <v>108</v>
      </c>
      <c r="L1686">
        <v>512</v>
      </c>
      <c r="M1686">
        <v>0</v>
      </c>
    </row>
    <row r="1687" spans="1:13">
      <c r="A1687">
        <v>1685</v>
      </c>
      <c r="B1687" t="s">
        <v>58</v>
      </c>
      <c r="C1687" t="s">
        <v>85</v>
      </c>
      <c r="D1687" t="s">
        <v>17</v>
      </c>
      <c r="E1687" t="s">
        <v>84</v>
      </c>
      <c r="F1687">
        <v>0</v>
      </c>
      <c r="G1687">
        <f>MAX(I1671,I1682,I1683,I1684,I1685,I1686)</f>
        <v>3114443</v>
      </c>
      <c r="H1687">
        <f>'Operations'!I25</f>
        <v>44032</v>
      </c>
      <c r="I1687">
        <f>G1687+H1687</f>
        <v>3158475</v>
      </c>
      <c r="J1687">
        <f>IF(AND(D1687&lt;&gt;"dram",D1687&lt;&gt;"control"),H1687,0)</f>
        <v>44032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344</v>
      </c>
      <c r="C1688" t="s">
        <v>78</v>
      </c>
      <c r="D1688" t="s">
        <v>79</v>
      </c>
      <c r="E1688" t="s">
        <v>101</v>
      </c>
      <c r="F1688">
        <v>1409024</v>
      </c>
      <c r="G1688">
        <f>MAX(I1681,I1686)</f>
        <v>3114443</v>
      </c>
      <c r="H1688">
        <f>CEILING((dram_access_latency+F1688/dram_bandwidth)*frequency,1)</f>
        <v>20821</v>
      </c>
      <c r="I1688">
        <f>G1688+H1688</f>
        <v>3135264</v>
      </c>
      <c r="J1688">
        <f>IF(AND(D1688&lt;&gt;"dram",D1688&lt;&gt;"control"),H1688,0)</f>
        <v>0</v>
      </c>
      <c r="K1688">
        <f>IF(D1688="dram",H1688,0)</f>
        <v>20821</v>
      </c>
      <c r="L1688">
        <v>1409024</v>
      </c>
      <c r="M1688">
        <v>0</v>
      </c>
    </row>
    <row r="1689" spans="1:13">
      <c r="A1689">
        <v>1687</v>
      </c>
      <c r="B1689" t="s">
        <v>346</v>
      </c>
      <c r="C1689" t="s">
        <v>78</v>
      </c>
      <c r="D1689" t="s">
        <v>79</v>
      </c>
      <c r="E1689" t="s">
        <v>101</v>
      </c>
      <c r="F1689">
        <v>44032</v>
      </c>
      <c r="G1689">
        <f>MAX(I1681,I1688)</f>
        <v>3135264</v>
      </c>
      <c r="H1689">
        <f>CEILING((dram_access_latency+F1689/dram_bandwidth)*frequency,1)</f>
        <v>748</v>
      </c>
      <c r="I1689">
        <f>G1689+H1689</f>
        <v>3136012</v>
      </c>
      <c r="J1689">
        <f>IF(AND(D1689&lt;&gt;"dram",D1689&lt;&gt;"control"),H1689,0)</f>
        <v>0</v>
      </c>
      <c r="K1689">
        <f>IF(D1689="dram",H1689,0)</f>
        <v>748</v>
      </c>
      <c r="L1689">
        <v>44032</v>
      </c>
      <c r="M1689">
        <v>0</v>
      </c>
    </row>
    <row r="1690" spans="1:13">
      <c r="A1690">
        <v>1688</v>
      </c>
      <c r="B1690" t="s">
        <v>347</v>
      </c>
      <c r="C1690" t="s">
        <v>78</v>
      </c>
      <c r="D1690" t="s">
        <v>79</v>
      </c>
      <c r="E1690" t="s">
        <v>101</v>
      </c>
      <c r="F1690">
        <v>512</v>
      </c>
      <c r="G1690">
        <f>MAX(I1681,I1689)</f>
        <v>3136012</v>
      </c>
      <c r="H1690">
        <f>CEILING((dram_access_latency+F1690/dram_bandwidth)*frequency,1)</f>
        <v>108</v>
      </c>
      <c r="I1690">
        <f>G1690+H1690</f>
        <v>3136120</v>
      </c>
      <c r="J1690">
        <f>IF(AND(D1690&lt;&gt;"dram",D1690&lt;&gt;"control"),H1690,0)</f>
        <v>0</v>
      </c>
      <c r="K1690">
        <f>IF(D1690="dram",H1690,0)</f>
        <v>108</v>
      </c>
      <c r="L1690">
        <v>512</v>
      </c>
      <c r="M1690">
        <v>0</v>
      </c>
    </row>
    <row r="1691" spans="1:13">
      <c r="A1691">
        <v>1689</v>
      </c>
      <c r="B1691" t="s">
        <v>58</v>
      </c>
      <c r="C1691" t="s">
        <v>85</v>
      </c>
      <c r="D1691" t="s">
        <v>17</v>
      </c>
      <c r="E1691" t="s">
        <v>101</v>
      </c>
      <c r="F1691">
        <v>0</v>
      </c>
      <c r="G1691">
        <f>MAX(I1687,I1682,I1688,I1684,I1689,I1690)</f>
        <v>3158475</v>
      </c>
      <c r="H1691">
        <f>'Operations'!I25</f>
        <v>44032</v>
      </c>
      <c r="I1691">
        <f>G1691+H1691</f>
        <v>3202507</v>
      </c>
      <c r="J1691">
        <f>IF(AND(D1691&lt;&gt;"dram",D1691&lt;&gt;"control"),H1691,0)</f>
        <v>44032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348</v>
      </c>
      <c r="C1692" t="s">
        <v>82</v>
      </c>
      <c r="D1692" t="s">
        <v>83</v>
      </c>
      <c r="E1692" t="s">
        <v>101</v>
      </c>
      <c r="F1692">
        <v>0</v>
      </c>
      <c r="G1692">
        <f>MAX(I1681,I1687)</f>
        <v>3092482</v>
      </c>
      <c r="H1692">
        <f>0</f>
        <v>65993</v>
      </c>
      <c r="I1692">
        <f>G1692+H1692</f>
        <v>3158475</v>
      </c>
      <c r="J1692">
        <f>IF(AND(D1692&lt;&gt;"dram",D1692&lt;&gt;"control"),H1692,0)</f>
        <v>0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349</v>
      </c>
      <c r="C1693" t="s">
        <v>87</v>
      </c>
      <c r="D1693" t="s">
        <v>79</v>
      </c>
      <c r="E1693" t="s">
        <v>101</v>
      </c>
      <c r="F1693">
        <v>4</v>
      </c>
      <c r="G1693">
        <f>MAX(I1692,I1690)</f>
        <v>3158475</v>
      </c>
      <c r="H1693">
        <f>CEILING((dram_access_latency+F1693/dram_bandwidth)*frequency,1)</f>
        <v>101</v>
      </c>
      <c r="I1693">
        <f>G1693+H1693</f>
        <v>3158576</v>
      </c>
      <c r="J1693">
        <f>IF(AND(D1693&lt;&gt;"dram",D1693&lt;&gt;"control"),H1693,0)</f>
        <v>0</v>
      </c>
      <c r="K1693">
        <f>IF(D1693="dram",H1693,0)</f>
        <v>101</v>
      </c>
      <c r="L1693">
        <v>0</v>
      </c>
      <c r="M1693">
        <v>4</v>
      </c>
    </row>
    <row r="1694" spans="1:13">
      <c r="A1694">
        <v>1692</v>
      </c>
      <c r="B1694" t="s">
        <v>350</v>
      </c>
      <c r="C1694" t="s">
        <v>87</v>
      </c>
      <c r="D1694" t="s">
        <v>79</v>
      </c>
      <c r="E1694" t="s">
        <v>101</v>
      </c>
      <c r="F1694">
        <v>192</v>
      </c>
      <c r="G1694">
        <f>MAX(I1692,I1693)</f>
        <v>3158576</v>
      </c>
      <c r="H1694">
        <f>CEILING((dram_access_latency+F1694/dram_bandwidth)*frequency,1)</f>
        <v>103</v>
      </c>
      <c r="I1694">
        <f>G1694+H1694</f>
        <v>3158679</v>
      </c>
      <c r="J1694">
        <f>IF(AND(D1694&lt;&gt;"dram",D1694&lt;&gt;"control"),H1694,0)</f>
        <v>0</v>
      </c>
      <c r="K1694">
        <f>IF(D1694="dram",H1694,0)</f>
        <v>103</v>
      </c>
      <c r="L1694">
        <v>0</v>
      </c>
      <c r="M1694">
        <v>192</v>
      </c>
    </row>
    <row r="1695" spans="1:13">
      <c r="A1695">
        <v>1693</v>
      </c>
      <c r="B1695" t="s">
        <v>344</v>
      </c>
      <c r="C1695" t="s">
        <v>78</v>
      </c>
      <c r="D1695" t="s">
        <v>79</v>
      </c>
      <c r="E1695" t="s">
        <v>104</v>
      </c>
      <c r="F1695">
        <v>1409024</v>
      </c>
      <c r="G1695">
        <f>MAX(I1692,I1694)</f>
        <v>3158679</v>
      </c>
      <c r="H1695">
        <f>CEILING((dram_access_latency+F1695/dram_bandwidth)*frequency,1)</f>
        <v>20821</v>
      </c>
      <c r="I1695">
        <f>G1695+H1695</f>
        <v>3179500</v>
      </c>
      <c r="J1695">
        <f>IF(AND(D1695&lt;&gt;"dram",D1695&lt;&gt;"control"),H1695,0)</f>
        <v>0</v>
      </c>
      <c r="K1695">
        <f>IF(D1695="dram",H1695,0)</f>
        <v>20821</v>
      </c>
      <c r="L1695">
        <v>1409024</v>
      </c>
      <c r="M1695">
        <v>0</v>
      </c>
    </row>
    <row r="1696" spans="1:13">
      <c r="A1696">
        <v>1694</v>
      </c>
      <c r="B1696" t="s">
        <v>346</v>
      </c>
      <c r="C1696" t="s">
        <v>78</v>
      </c>
      <c r="D1696" t="s">
        <v>79</v>
      </c>
      <c r="E1696" t="s">
        <v>104</v>
      </c>
      <c r="F1696">
        <v>44032</v>
      </c>
      <c r="G1696">
        <f>MAX(I1692,I1695)</f>
        <v>3179500</v>
      </c>
      <c r="H1696">
        <f>CEILING((dram_access_latency+F1696/dram_bandwidth)*frequency,1)</f>
        <v>748</v>
      </c>
      <c r="I1696">
        <f>G1696+H1696</f>
        <v>3180248</v>
      </c>
      <c r="J1696">
        <f>IF(AND(D1696&lt;&gt;"dram",D1696&lt;&gt;"control"),H1696,0)</f>
        <v>0</v>
      </c>
      <c r="K1696">
        <f>IF(D1696="dram",H1696,0)</f>
        <v>748</v>
      </c>
      <c r="L1696">
        <v>44032</v>
      </c>
      <c r="M1696">
        <v>0</v>
      </c>
    </row>
    <row r="1697" spans="1:13">
      <c r="A1697">
        <v>1695</v>
      </c>
      <c r="B1697" t="s">
        <v>347</v>
      </c>
      <c r="C1697" t="s">
        <v>78</v>
      </c>
      <c r="D1697" t="s">
        <v>79</v>
      </c>
      <c r="E1697" t="s">
        <v>104</v>
      </c>
      <c r="F1697">
        <v>512</v>
      </c>
      <c r="G1697">
        <f>MAX(I1692,I1696)</f>
        <v>3180248</v>
      </c>
      <c r="H1697">
        <f>CEILING((dram_access_latency+F1697/dram_bandwidth)*frequency,1)</f>
        <v>108</v>
      </c>
      <c r="I1697">
        <f>G1697+H1697</f>
        <v>3180356</v>
      </c>
      <c r="J1697">
        <f>IF(AND(D1697&lt;&gt;"dram",D1697&lt;&gt;"control"),H1697,0)</f>
        <v>0</v>
      </c>
      <c r="K1697">
        <f>IF(D1697="dram",H1697,0)</f>
        <v>108</v>
      </c>
      <c r="L1697">
        <v>512</v>
      </c>
      <c r="M1697">
        <v>0</v>
      </c>
    </row>
    <row r="1698" spans="1:13">
      <c r="A1698">
        <v>1696</v>
      </c>
      <c r="B1698" t="s">
        <v>58</v>
      </c>
      <c r="C1698" t="s">
        <v>85</v>
      </c>
      <c r="D1698" t="s">
        <v>17</v>
      </c>
      <c r="E1698" t="s">
        <v>104</v>
      </c>
      <c r="F1698">
        <v>0</v>
      </c>
      <c r="G1698">
        <f>MAX(I1691,I1682,I1695,I1684,I1696,I1697,I1693,I1694)</f>
        <v>3202507</v>
      </c>
      <c r="H1698">
        <f>'Operations'!I25</f>
        <v>44032</v>
      </c>
      <c r="I1698">
        <f>G1698+H1698</f>
        <v>3246539</v>
      </c>
      <c r="J1698">
        <f>IF(AND(D1698&lt;&gt;"dram",D1698&lt;&gt;"control"),H1698,0)</f>
        <v>44032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348</v>
      </c>
      <c r="C1699" t="s">
        <v>82</v>
      </c>
      <c r="D1699" t="s">
        <v>83</v>
      </c>
      <c r="E1699" t="s">
        <v>104</v>
      </c>
      <c r="F1699">
        <v>0</v>
      </c>
      <c r="G1699">
        <f>MAX(I1692,I1691)</f>
        <v>3158475</v>
      </c>
      <c r="H1699">
        <f>0</f>
        <v>44032</v>
      </c>
      <c r="I1699">
        <f>G1699+H1699</f>
        <v>3202507</v>
      </c>
      <c r="J1699">
        <f>IF(AND(D1699&lt;&gt;"dram",D1699&lt;&gt;"control"),H1699,0)</f>
        <v>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349</v>
      </c>
      <c r="C1700" t="s">
        <v>87</v>
      </c>
      <c r="D1700" t="s">
        <v>79</v>
      </c>
      <c r="E1700" t="s">
        <v>104</v>
      </c>
      <c r="F1700">
        <v>4</v>
      </c>
      <c r="G1700">
        <f>MAX(I1699,I1697)</f>
        <v>3202507</v>
      </c>
      <c r="H1700">
        <f>CEILING((dram_access_latency+F1700/dram_bandwidth)*frequency,1)</f>
        <v>101</v>
      </c>
      <c r="I1700">
        <f>G1700+H1700</f>
        <v>3202608</v>
      </c>
      <c r="J1700">
        <f>IF(AND(D1700&lt;&gt;"dram",D1700&lt;&gt;"control"),H1700,0)</f>
        <v>0</v>
      </c>
      <c r="K1700">
        <f>IF(D1700="dram",H1700,0)</f>
        <v>101</v>
      </c>
      <c r="L1700">
        <v>0</v>
      </c>
      <c r="M1700">
        <v>4</v>
      </c>
    </row>
    <row r="1701" spans="1:13">
      <c r="A1701">
        <v>1699</v>
      </c>
      <c r="B1701" t="s">
        <v>350</v>
      </c>
      <c r="C1701" t="s">
        <v>87</v>
      </c>
      <c r="D1701" t="s">
        <v>79</v>
      </c>
      <c r="E1701" t="s">
        <v>104</v>
      </c>
      <c r="F1701">
        <v>192</v>
      </c>
      <c r="G1701">
        <f>MAX(I1699,I1700)</f>
        <v>3202608</v>
      </c>
      <c r="H1701">
        <f>CEILING((dram_access_latency+F1701/dram_bandwidth)*frequency,1)</f>
        <v>103</v>
      </c>
      <c r="I1701">
        <f>G1701+H1701</f>
        <v>3202711</v>
      </c>
      <c r="J1701">
        <f>IF(AND(D1701&lt;&gt;"dram",D1701&lt;&gt;"control"),H1701,0)</f>
        <v>0</v>
      </c>
      <c r="K1701">
        <f>IF(D1701="dram",H1701,0)</f>
        <v>103</v>
      </c>
      <c r="L1701">
        <v>0</v>
      </c>
      <c r="M1701">
        <v>192</v>
      </c>
    </row>
    <row r="1702" spans="1:13">
      <c r="A1702">
        <v>1700</v>
      </c>
      <c r="B1702" t="s">
        <v>344</v>
      </c>
      <c r="C1702" t="s">
        <v>78</v>
      </c>
      <c r="D1702" t="s">
        <v>79</v>
      </c>
      <c r="E1702" t="s">
        <v>105</v>
      </c>
      <c r="F1702">
        <v>1409024</v>
      </c>
      <c r="G1702">
        <f>MAX(I1699,I1701)</f>
        <v>3202711</v>
      </c>
      <c r="H1702">
        <f>CEILING((dram_access_latency+F1702/dram_bandwidth)*frequency,1)</f>
        <v>20821</v>
      </c>
      <c r="I1702">
        <f>G1702+H1702</f>
        <v>3223532</v>
      </c>
      <c r="J1702">
        <f>IF(AND(D1702&lt;&gt;"dram",D1702&lt;&gt;"control"),H1702,0)</f>
        <v>0</v>
      </c>
      <c r="K1702">
        <f>IF(D1702="dram",H1702,0)</f>
        <v>20821</v>
      </c>
      <c r="L1702">
        <v>1409024</v>
      </c>
      <c r="M1702">
        <v>0</v>
      </c>
    </row>
    <row r="1703" spans="1:13">
      <c r="A1703">
        <v>1701</v>
      </c>
      <c r="B1703" t="s">
        <v>346</v>
      </c>
      <c r="C1703" t="s">
        <v>78</v>
      </c>
      <c r="D1703" t="s">
        <v>79</v>
      </c>
      <c r="E1703" t="s">
        <v>105</v>
      </c>
      <c r="F1703">
        <v>44032</v>
      </c>
      <c r="G1703">
        <f>MAX(I1699,I1702)</f>
        <v>3223532</v>
      </c>
      <c r="H1703">
        <f>CEILING((dram_access_latency+F1703/dram_bandwidth)*frequency,1)</f>
        <v>748</v>
      </c>
      <c r="I1703">
        <f>G1703+H1703</f>
        <v>3224280</v>
      </c>
      <c r="J1703">
        <f>IF(AND(D1703&lt;&gt;"dram",D1703&lt;&gt;"control"),H1703,0)</f>
        <v>0</v>
      </c>
      <c r="K1703">
        <f>IF(D1703="dram",H1703,0)</f>
        <v>748</v>
      </c>
      <c r="L1703">
        <v>44032</v>
      </c>
      <c r="M1703">
        <v>0</v>
      </c>
    </row>
    <row r="1704" spans="1:13">
      <c r="A1704">
        <v>1702</v>
      </c>
      <c r="B1704" t="s">
        <v>347</v>
      </c>
      <c r="C1704" t="s">
        <v>78</v>
      </c>
      <c r="D1704" t="s">
        <v>79</v>
      </c>
      <c r="E1704" t="s">
        <v>105</v>
      </c>
      <c r="F1704">
        <v>512</v>
      </c>
      <c r="G1704">
        <f>MAX(I1699,I1703)</f>
        <v>3224280</v>
      </c>
      <c r="H1704">
        <f>CEILING((dram_access_latency+F1704/dram_bandwidth)*frequency,1)</f>
        <v>108</v>
      </c>
      <c r="I1704">
        <f>G1704+H1704</f>
        <v>3224388</v>
      </c>
      <c r="J1704">
        <f>IF(AND(D1704&lt;&gt;"dram",D1704&lt;&gt;"control"),H1704,0)</f>
        <v>0</v>
      </c>
      <c r="K1704">
        <f>IF(D1704="dram",H1704,0)</f>
        <v>108</v>
      </c>
      <c r="L1704">
        <v>512</v>
      </c>
      <c r="M1704">
        <v>0</v>
      </c>
    </row>
    <row r="1705" spans="1:13">
      <c r="A1705">
        <v>1703</v>
      </c>
      <c r="B1705" t="s">
        <v>58</v>
      </c>
      <c r="C1705" t="s">
        <v>85</v>
      </c>
      <c r="D1705" t="s">
        <v>17</v>
      </c>
      <c r="E1705" t="s">
        <v>105</v>
      </c>
      <c r="F1705">
        <v>0</v>
      </c>
      <c r="G1705">
        <f>MAX(I1698,I1682,I1702,I1684,I1703,I1704,I1700,I1701)</f>
        <v>3246539</v>
      </c>
      <c r="H1705">
        <f>'Operations'!I25</f>
        <v>44032</v>
      </c>
      <c r="I1705">
        <f>G1705+H1705</f>
        <v>3290571</v>
      </c>
      <c r="J1705">
        <f>IF(AND(D1705&lt;&gt;"dram",D1705&lt;&gt;"control"),H1705,0)</f>
        <v>44032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348</v>
      </c>
      <c r="C1706" t="s">
        <v>82</v>
      </c>
      <c r="D1706" t="s">
        <v>83</v>
      </c>
      <c r="E1706" t="s">
        <v>105</v>
      </c>
      <c r="F1706">
        <v>0</v>
      </c>
      <c r="G1706">
        <f>MAX(I1699,I1698)</f>
        <v>3202507</v>
      </c>
      <c r="H1706">
        <f>0</f>
        <v>44032</v>
      </c>
      <c r="I1706">
        <f>G1706+H1706</f>
        <v>3246539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349</v>
      </c>
      <c r="C1707" t="s">
        <v>87</v>
      </c>
      <c r="D1707" t="s">
        <v>79</v>
      </c>
      <c r="E1707" t="s">
        <v>105</v>
      </c>
      <c r="F1707">
        <v>4</v>
      </c>
      <c r="G1707">
        <f>MAX(I1706,I1704)</f>
        <v>3246539</v>
      </c>
      <c r="H1707">
        <f>CEILING((dram_access_latency+F1707/dram_bandwidth)*frequency,1)</f>
        <v>101</v>
      </c>
      <c r="I1707">
        <f>G1707+H1707</f>
        <v>3246640</v>
      </c>
      <c r="J1707">
        <f>IF(AND(D1707&lt;&gt;"dram",D1707&lt;&gt;"control"),H1707,0)</f>
        <v>0</v>
      </c>
      <c r="K1707">
        <f>IF(D1707="dram",H1707,0)</f>
        <v>101</v>
      </c>
      <c r="L1707">
        <v>0</v>
      </c>
      <c r="M1707">
        <v>4</v>
      </c>
    </row>
    <row r="1708" spans="1:13">
      <c r="A1708">
        <v>1706</v>
      </c>
      <c r="B1708" t="s">
        <v>350</v>
      </c>
      <c r="C1708" t="s">
        <v>87</v>
      </c>
      <c r="D1708" t="s">
        <v>79</v>
      </c>
      <c r="E1708" t="s">
        <v>105</v>
      </c>
      <c r="F1708">
        <v>192</v>
      </c>
      <c r="G1708">
        <f>MAX(I1706,I1707)</f>
        <v>3246640</v>
      </c>
      <c r="H1708">
        <f>CEILING((dram_access_latency+F1708/dram_bandwidth)*frequency,1)</f>
        <v>103</v>
      </c>
      <c r="I1708">
        <f>G1708+H1708</f>
        <v>3246743</v>
      </c>
      <c r="J1708">
        <f>IF(AND(D1708&lt;&gt;"dram",D1708&lt;&gt;"control"),H1708,0)</f>
        <v>0</v>
      </c>
      <c r="K1708">
        <f>IF(D1708="dram",H1708,0)</f>
        <v>103</v>
      </c>
      <c r="L1708">
        <v>0</v>
      </c>
      <c r="M1708">
        <v>192</v>
      </c>
    </row>
    <row r="1709" spans="1:13">
      <c r="A1709">
        <v>1707</v>
      </c>
      <c r="B1709" t="s">
        <v>344</v>
      </c>
      <c r="C1709" t="s">
        <v>78</v>
      </c>
      <c r="D1709" t="s">
        <v>79</v>
      </c>
      <c r="E1709" t="s">
        <v>183</v>
      </c>
      <c r="F1709">
        <v>1409024</v>
      </c>
      <c r="G1709">
        <f>MAX(I1706,I1708)</f>
        <v>3246743</v>
      </c>
      <c r="H1709">
        <f>CEILING((dram_access_latency+F1709/dram_bandwidth)*frequency,1)</f>
        <v>20821</v>
      </c>
      <c r="I1709">
        <f>G1709+H1709</f>
        <v>3267564</v>
      </c>
      <c r="J1709">
        <f>IF(AND(D1709&lt;&gt;"dram",D1709&lt;&gt;"control"),H1709,0)</f>
        <v>0</v>
      </c>
      <c r="K1709">
        <f>IF(D1709="dram",H1709,0)</f>
        <v>20821</v>
      </c>
      <c r="L1709">
        <v>1409024</v>
      </c>
      <c r="M1709">
        <v>0</v>
      </c>
    </row>
    <row r="1710" spans="1:13">
      <c r="A1710">
        <v>1708</v>
      </c>
      <c r="B1710" t="s">
        <v>346</v>
      </c>
      <c r="C1710" t="s">
        <v>78</v>
      </c>
      <c r="D1710" t="s">
        <v>79</v>
      </c>
      <c r="E1710" t="s">
        <v>183</v>
      </c>
      <c r="F1710">
        <v>44032</v>
      </c>
      <c r="G1710">
        <f>MAX(I1706,I1709)</f>
        <v>3267564</v>
      </c>
      <c r="H1710">
        <f>CEILING((dram_access_latency+F1710/dram_bandwidth)*frequency,1)</f>
        <v>748</v>
      </c>
      <c r="I1710">
        <f>G1710+H1710</f>
        <v>3268312</v>
      </c>
      <c r="J1710">
        <f>IF(AND(D1710&lt;&gt;"dram",D1710&lt;&gt;"control"),H1710,0)</f>
        <v>0</v>
      </c>
      <c r="K1710">
        <f>IF(D1710="dram",H1710,0)</f>
        <v>748</v>
      </c>
      <c r="L1710">
        <v>44032</v>
      </c>
      <c r="M1710">
        <v>0</v>
      </c>
    </row>
    <row r="1711" spans="1:13">
      <c r="A1711">
        <v>1709</v>
      </c>
      <c r="B1711" t="s">
        <v>347</v>
      </c>
      <c r="C1711" t="s">
        <v>78</v>
      </c>
      <c r="D1711" t="s">
        <v>79</v>
      </c>
      <c r="E1711" t="s">
        <v>183</v>
      </c>
      <c r="F1711">
        <v>512</v>
      </c>
      <c r="G1711">
        <f>MAX(I1706,I1710)</f>
        <v>3268312</v>
      </c>
      <c r="H1711">
        <f>CEILING((dram_access_latency+F1711/dram_bandwidth)*frequency,1)</f>
        <v>108</v>
      </c>
      <c r="I1711">
        <f>G1711+H1711</f>
        <v>3268420</v>
      </c>
      <c r="J1711">
        <f>IF(AND(D1711&lt;&gt;"dram",D1711&lt;&gt;"control"),H1711,0)</f>
        <v>0</v>
      </c>
      <c r="K1711">
        <f>IF(D1711="dram",H1711,0)</f>
        <v>108</v>
      </c>
      <c r="L1711">
        <v>512</v>
      </c>
      <c r="M1711">
        <v>0</v>
      </c>
    </row>
    <row r="1712" spans="1:13">
      <c r="A1712">
        <v>1710</v>
      </c>
      <c r="B1712" t="s">
        <v>58</v>
      </c>
      <c r="C1712" t="s">
        <v>85</v>
      </c>
      <c r="D1712" t="s">
        <v>17</v>
      </c>
      <c r="E1712" t="s">
        <v>183</v>
      </c>
      <c r="F1712">
        <v>0</v>
      </c>
      <c r="G1712">
        <f>MAX(I1705,I1682,I1709,I1684,I1710,I1711,I1707,I1708)</f>
        <v>3290571</v>
      </c>
      <c r="H1712">
        <f>'Operations'!I25</f>
        <v>44032</v>
      </c>
      <c r="I1712">
        <f>G1712+H1712</f>
        <v>3334603</v>
      </c>
      <c r="J1712">
        <f>IF(AND(D1712&lt;&gt;"dram",D1712&lt;&gt;"control"),H1712,0)</f>
        <v>44032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348</v>
      </c>
      <c r="C1713" t="s">
        <v>82</v>
      </c>
      <c r="D1713" t="s">
        <v>83</v>
      </c>
      <c r="E1713" t="s">
        <v>183</v>
      </c>
      <c r="F1713">
        <v>0</v>
      </c>
      <c r="G1713">
        <f>MAX(I1706,I1705)</f>
        <v>3246539</v>
      </c>
      <c r="H1713">
        <f>0</f>
        <v>44032</v>
      </c>
      <c r="I1713">
        <f>G1713+H1713</f>
        <v>3290571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349</v>
      </c>
      <c r="C1714" t="s">
        <v>87</v>
      </c>
      <c r="D1714" t="s">
        <v>79</v>
      </c>
      <c r="E1714" t="s">
        <v>183</v>
      </c>
      <c r="F1714">
        <v>4</v>
      </c>
      <c r="G1714">
        <f>MAX(I1713,I1711)</f>
        <v>3290571</v>
      </c>
      <c r="H1714">
        <f>CEILING((dram_access_latency+F1714/dram_bandwidth)*frequency,1)</f>
        <v>101</v>
      </c>
      <c r="I1714">
        <f>G1714+H1714</f>
        <v>3290672</v>
      </c>
      <c r="J1714">
        <f>IF(AND(D1714&lt;&gt;"dram",D1714&lt;&gt;"control"),H1714,0)</f>
        <v>0</v>
      </c>
      <c r="K1714">
        <f>IF(D1714="dram",H1714,0)</f>
        <v>101</v>
      </c>
      <c r="L1714">
        <v>0</v>
      </c>
      <c r="M1714">
        <v>4</v>
      </c>
    </row>
    <row r="1715" spans="1:13">
      <c r="A1715">
        <v>1713</v>
      </c>
      <c r="B1715" t="s">
        <v>350</v>
      </c>
      <c r="C1715" t="s">
        <v>87</v>
      </c>
      <c r="D1715" t="s">
        <v>79</v>
      </c>
      <c r="E1715" t="s">
        <v>183</v>
      </c>
      <c r="F1715">
        <v>192</v>
      </c>
      <c r="G1715">
        <f>MAX(I1713,I1714)</f>
        <v>3290672</v>
      </c>
      <c r="H1715">
        <f>CEILING((dram_access_latency+F1715/dram_bandwidth)*frequency,1)</f>
        <v>103</v>
      </c>
      <c r="I1715">
        <f>G1715+H1715</f>
        <v>3290775</v>
      </c>
      <c r="J1715">
        <f>IF(AND(D1715&lt;&gt;"dram",D1715&lt;&gt;"control"),H1715,0)</f>
        <v>0</v>
      </c>
      <c r="K1715">
        <f>IF(D1715="dram",H1715,0)</f>
        <v>103</v>
      </c>
      <c r="L1715">
        <v>0</v>
      </c>
      <c r="M1715">
        <v>192</v>
      </c>
    </row>
    <row r="1716" spans="1:13">
      <c r="A1716">
        <v>1714</v>
      </c>
      <c r="B1716" t="s">
        <v>344</v>
      </c>
      <c r="C1716" t="s">
        <v>78</v>
      </c>
      <c r="D1716" t="s">
        <v>79</v>
      </c>
      <c r="E1716" t="s">
        <v>184</v>
      </c>
      <c r="F1716">
        <v>1409024</v>
      </c>
      <c r="G1716">
        <f>MAX(I1713,I1715)</f>
        <v>3290775</v>
      </c>
      <c r="H1716">
        <f>CEILING((dram_access_latency+F1716/dram_bandwidth)*frequency,1)</f>
        <v>20821</v>
      </c>
      <c r="I1716">
        <f>G1716+H1716</f>
        <v>3311596</v>
      </c>
      <c r="J1716">
        <f>IF(AND(D1716&lt;&gt;"dram",D1716&lt;&gt;"control"),H1716,0)</f>
        <v>0</v>
      </c>
      <c r="K1716">
        <f>IF(D1716="dram",H1716,0)</f>
        <v>20821</v>
      </c>
      <c r="L1716">
        <v>1409024</v>
      </c>
      <c r="M1716">
        <v>0</v>
      </c>
    </row>
    <row r="1717" spans="1:13">
      <c r="A1717">
        <v>1715</v>
      </c>
      <c r="B1717" t="s">
        <v>346</v>
      </c>
      <c r="C1717" t="s">
        <v>78</v>
      </c>
      <c r="D1717" t="s">
        <v>79</v>
      </c>
      <c r="E1717" t="s">
        <v>184</v>
      </c>
      <c r="F1717">
        <v>44032</v>
      </c>
      <c r="G1717">
        <f>MAX(I1713,I1716)</f>
        <v>3311596</v>
      </c>
      <c r="H1717">
        <f>CEILING((dram_access_latency+F1717/dram_bandwidth)*frequency,1)</f>
        <v>748</v>
      </c>
      <c r="I1717">
        <f>G1717+H1717</f>
        <v>3312344</v>
      </c>
      <c r="J1717">
        <f>IF(AND(D1717&lt;&gt;"dram",D1717&lt;&gt;"control"),H1717,0)</f>
        <v>0</v>
      </c>
      <c r="K1717">
        <f>IF(D1717="dram",H1717,0)</f>
        <v>748</v>
      </c>
      <c r="L1717">
        <v>44032</v>
      </c>
      <c r="M1717">
        <v>0</v>
      </c>
    </row>
    <row r="1718" spans="1:13">
      <c r="A1718">
        <v>1716</v>
      </c>
      <c r="B1718" t="s">
        <v>347</v>
      </c>
      <c r="C1718" t="s">
        <v>78</v>
      </c>
      <c r="D1718" t="s">
        <v>79</v>
      </c>
      <c r="E1718" t="s">
        <v>184</v>
      </c>
      <c r="F1718">
        <v>512</v>
      </c>
      <c r="G1718">
        <f>MAX(I1713,I1717)</f>
        <v>3312344</v>
      </c>
      <c r="H1718">
        <f>CEILING((dram_access_latency+F1718/dram_bandwidth)*frequency,1)</f>
        <v>108</v>
      </c>
      <c r="I1718">
        <f>G1718+H1718</f>
        <v>3312452</v>
      </c>
      <c r="J1718">
        <f>IF(AND(D1718&lt;&gt;"dram",D1718&lt;&gt;"control"),H1718,0)</f>
        <v>0</v>
      </c>
      <c r="K1718">
        <f>IF(D1718="dram",H1718,0)</f>
        <v>108</v>
      </c>
      <c r="L1718">
        <v>512</v>
      </c>
      <c r="M1718">
        <v>0</v>
      </c>
    </row>
    <row r="1719" spans="1:13">
      <c r="A1719">
        <v>1717</v>
      </c>
      <c r="B1719" t="s">
        <v>58</v>
      </c>
      <c r="C1719" t="s">
        <v>85</v>
      </c>
      <c r="D1719" t="s">
        <v>17</v>
      </c>
      <c r="E1719" t="s">
        <v>184</v>
      </c>
      <c r="F1719">
        <v>0</v>
      </c>
      <c r="G1719">
        <f>MAX(I1712,I1682,I1716,I1684,I1717,I1718,I1714,I1715)</f>
        <v>3334603</v>
      </c>
      <c r="H1719">
        <f>'Operations'!I25</f>
        <v>44032</v>
      </c>
      <c r="I1719">
        <f>G1719+H1719</f>
        <v>3378635</v>
      </c>
      <c r="J1719">
        <f>IF(AND(D1719&lt;&gt;"dram",D1719&lt;&gt;"control"),H1719,0)</f>
        <v>44032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348</v>
      </c>
      <c r="C1720" t="s">
        <v>82</v>
      </c>
      <c r="D1720" t="s">
        <v>83</v>
      </c>
      <c r="E1720" t="s">
        <v>184</v>
      </c>
      <c r="F1720">
        <v>0</v>
      </c>
      <c r="G1720">
        <f>MAX(I1713,I1712)</f>
        <v>3290571</v>
      </c>
      <c r="H1720">
        <f>0</f>
        <v>44032</v>
      </c>
      <c r="I1720">
        <f>G1720+H1720</f>
        <v>3334603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349</v>
      </c>
      <c r="C1721" t="s">
        <v>87</v>
      </c>
      <c r="D1721" t="s">
        <v>79</v>
      </c>
      <c r="E1721" t="s">
        <v>184</v>
      </c>
      <c r="F1721">
        <v>4</v>
      </c>
      <c r="G1721">
        <f>MAX(I1720,I1718)</f>
        <v>3334603</v>
      </c>
      <c r="H1721">
        <f>CEILING((dram_access_latency+F1721/dram_bandwidth)*frequency,1)</f>
        <v>101</v>
      </c>
      <c r="I1721">
        <f>G1721+H1721</f>
        <v>3334704</v>
      </c>
      <c r="J1721">
        <f>IF(AND(D1721&lt;&gt;"dram",D1721&lt;&gt;"control"),H1721,0)</f>
        <v>0</v>
      </c>
      <c r="K1721">
        <f>IF(D1721="dram",H1721,0)</f>
        <v>101</v>
      </c>
      <c r="L1721">
        <v>0</v>
      </c>
      <c r="M1721">
        <v>4</v>
      </c>
    </row>
    <row r="1722" spans="1:13">
      <c r="A1722">
        <v>1720</v>
      </c>
      <c r="B1722" t="s">
        <v>350</v>
      </c>
      <c r="C1722" t="s">
        <v>87</v>
      </c>
      <c r="D1722" t="s">
        <v>79</v>
      </c>
      <c r="E1722" t="s">
        <v>184</v>
      </c>
      <c r="F1722">
        <v>192</v>
      </c>
      <c r="G1722">
        <f>MAX(I1720,I1721)</f>
        <v>3334704</v>
      </c>
      <c r="H1722">
        <f>CEILING((dram_access_latency+F1722/dram_bandwidth)*frequency,1)</f>
        <v>103</v>
      </c>
      <c r="I1722">
        <f>G1722+H1722</f>
        <v>3334807</v>
      </c>
      <c r="J1722">
        <f>IF(AND(D1722&lt;&gt;"dram",D1722&lt;&gt;"control"),H1722,0)</f>
        <v>0</v>
      </c>
      <c r="K1722">
        <f>IF(D1722="dram",H1722,0)</f>
        <v>103</v>
      </c>
      <c r="L1722">
        <v>0</v>
      </c>
      <c r="M1722">
        <v>192</v>
      </c>
    </row>
    <row r="1723" spans="1:13">
      <c r="A1723">
        <v>1721</v>
      </c>
      <c r="B1723" t="s">
        <v>344</v>
      </c>
      <c r="C1723" t="s">
        <v>78</v>
      </c>
      <c r="D1723" t="s">
        <v>79</v>
      </c>
      <c r="E1723" t="s">
        <v>185</v>
      </c>
      <c r="F1723">
        <v>1409024</v>
      </c>
      <c r="G1723">
        <f>MAX(I1720,I1722)</f>
        <v>3334807</v>
      </c>
      <c r="H1723">
        <f>CEILING((dram_access_latency+F1723/dram_bandwidth)*frequency,1)</f>
        <v>20821</v>
      </c>
      <c r="I1723">
        <f>G1723+H1723</f>
        <v>3355628</v>
      </c>
      <c r="J1723">
        <f>IF(AND(D1723&lt;&gt;"dram",D1723&lt;&gt;"control"),H1723,0)</f>
        <v>0</v>
      </c>
      <c r="K1723">
        <f>IF(D1723="dram",H1723,0)</f>
        <v>20821</v>
      </c>
      <c r="L1723">
        <v>1409024</v>
      </c>
      <c r="M1723">
        <v>0</v>
      </c>
    </row>
    <row r="1724" spans="1:13">
      <c r="A1724">
        <v>1722</v>
      </c>
      <c r="B1724" t="s">
        <v>346</v>
      </c>
      <c r="C1724" t="s">
        <v>78</v>
      </c>
      <c r="D1724" t="s">
        <v>79</v>
      </c>
      <c r="E1724" t="s">
        <v>185</v>
      </c>
      <c r="F1724">
        <v>44032</v>
      </c>
      <c r="G1724">
        <f>MAX(I1720,I1723)</f>
        <v>3355628</v>
      </c>
      <c r="H1724">
        <f>CEILING((dram_access_latency+F1724/dram_bandwidth)*frequency,1)</f>
        <v>748</v>
      </c>
      <c r="I1724">
        <f>G1724+H1724</f>
        <v>3356376</v>
      </c>
      <c r="J1724">
        <f>IF(AND(D1724&lt;&gt;"dram",D1724&lt;&gt;"control"),H1724,0)</f>
        <v>0</v>
      </c>
      <c r="K1724">
        <f>IF(D1724="dram",H1724,0)</f>
        <v>748</v>
      </c>
      <c r="L1724">
        <v>44032</v>
      </c>
      <c r="M1724">
        <v>0</v>
      </c>
    </row>
    <row r="1725" spans="1:13">
      <c r="A1725">
        <v>1723</v>
      </c>
      <c r="B1725" t="s">
        <v>347</v>
      </c>
      <c r="C1725" t="s">
        <v>78</v>
      </c>
      <c r="D1725" t="s">
        <v>79</v>
      </c>
      <c r="E1725" t="s">
        <v>185</v>
      </c>
      <c r="F1725">
        <v>512</v>
      </c>
      <c r="G1725">
        <f>MAX(I1720,I1724)</f>
        <v>3356376</v>
      </c>
      <c r="H1725">
        <f>CEILING((dram_access_latency+F1725/dram_bandwidth)*frequency,1)</f>
        <v>108</v>
      </c>
      <c r="I1725">
        <f>G1725+H1725</f>
        <v>3356484</v>
      </c>
      <c r="J1725">
        <f>IF(AND(D1725&lt;&gt;"dram",D1725&lt;&gt;"control"),H1725,0)</f>
        <v>0</v>
      </c>
      <c r="K1725">
        <f>IF(D1725="dram",H1725,0)</f>
        <v>108</v>
      </c>
      <c r="L1725">
        <v>512</v>
      </c>
      <c r="M1725">
        <v>0</v>
      </c>
    </row>
    <row r="1726" spans="1:13">
      <c r="A1726">
        <v>1724</v>
      </c>
      <c r="B1726" t="s">
        <v>58</v>
      </c>
      <c r="C1726" t="s">
        <v>85</v>
      </c>
      <c r="D1726" t="s">
        <v>17</v>
      </c>
      <c r="E1726" t="s">
        <v>185</v>
      </c>
      <c r="F1726">
        <v>0</v>
      </c>
      <c r="G1726">
        <f>MAX(I1719,I1682,I1723,I1684,I1724,I1725,I1721,I1722)</f>
        <v>3378635</v>
      </c>
      <c r="H1726">
        <f>'Operations'!I25</f>
        <v>44032</v>
      </c>
      <c r="I1726">
        <f>G1726+H1726</f>
        <v>3422667</v>
      </c>
      <c r="J1726">
        <f>IF(AND(D1726&lt;&gt;"dram",D1726&lt;&gt;"control"),H1726,0)</f>
        <v>44032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348</v>
      </c>
      <c r="C1727" t="s">
        <v>82</v>
      </c>
      <c r="D1727" t="s">
        <v>83</v>
      </c>
      <c r="E1727" t="s">
        <v>185</v>
      </c>
      <c r="F1727">
        <v>0</v>
      </c>
      <c r="G1727">
        <f>MAX(I1720,I1719)</f>
        <v>3334603</v>
      </c>
      <c r="H1727">
        <f>0</f>
        <v>44032</v>
      </c>
      <c r="I1727">
        <f>G1727+H1727</f>
        <v>3378635</v>
      </c>
      <c r="J1727">
        <f>IF(AND(D1727&lt;&gt;"dram",D1727&lt;&gt;"control"),H1727,0)</f>
        <v>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349</v>
      </c>
      <c r="C1728" t="s">
        <v>87</v>
      </c>
      <c r="D1728" t="s">
        <v>79</v>
      </c>
      <c r="E1728" t="s">
        <v>185</v>
      </c>
      <c r="F1728">
        <v>4</v>
      </c>
      <c r="G1728">
        <f>MAX(I1727,I1725)</f>
        <v>3378635</v>
      </c>
      <c r="H1728">
        <f>CEILING((dram_access_latency+F1728/dram_bandwidth)*frequency,1)</f>
        <v>101</v>
      </c>
      <c r="I1728">
        <f>G1728+H1728</f>
        <v>3378736</v>
      </c>
      <c r="J1728">
        <f>IF(AND(D1728&lt;&gt;"dram",D1728&lt;&gt;"control"),H1728,0)</f>
        <v>0</v>
      </c>
      <c r="K1728">
        <f>IF(D1728="dram",H1728,0)</f>
        <v>101</v>
      </c>
      <c r="L1728">
        <v>0</v>
      </c>
      <c r="M1728">
        <v>4</v>
      </c>
    </row>
    <row r="1729" spans="1:13">
      <c r="A1729">
        <v>1727</v>
      </c>
      <c r="B1729" t="s">
        <v>350</v>
      </c>
      <c r="C1729" t="s">
        <v>87</v>
      </c>
      <c r="D1729" t="s">
        <v>79</v>
      </c>
      <c r="E1729" t="s">
        <v>185</v>
      </c>
      <c r="F1729">
        <v>192</v>
      </c>
      <c r="G1729">
        <f>MAX(I1727,I1728)</f>
        <v>3378736</v>
      </c>
      <c r="H1729">
        <f>CEILING((dram_access_latency+F1729/dram_bandwidth)*frequency,1)</f>
        <v>103</v>
      </c>
      <c r="I1729">
        <f>G1729+H1729</f>
        <v>3378839</v>
      </c>
      <c r="J1729">
        <f>IF(AND(D1729&lt;&gt;"dram",D1729&lt;&gt;"control"),H1729,0)</f>
        <v>0</v>
      </c>
      <c r="K1729">
        <f>IF(D1729="dram",H1729,0)</f>
        <v>103</v>
      </c>
      <c r="L1729">
        <v>0</v>
      </c>
      <c r="M1729">
        <v>192</v>
      </c>
    </row>
    <row r="1730" spans="1:13">
      <c r="A1730">
        <v>1728</v>
      </c>
      <c r="B1730" t="s">
        <v>344</v>
      </c>
      <c r="C1730" t="s">
        <v>78</v>
      </c>
      <c r="D1730" t="s">
        <v>79</v>
      </c>
      <c r="E1730" t="s">
        <v>186</v>
      </c>
      <c r="F1730">
        <v>1409024</v>
      </c>
      <c r="G1730">
        <f>MAX(I1727,I1729)</f>
        <v>3378839</v>
      </c>
      <c r="H1730">
        <f>CEILING((dram_access_latency+F1730/dram_bandwidth)*frequency,1)</f>
        <v>20821</v>
      </c>
      <c r="I1730">
        <f>G1730+H1730</f>
        <v>3399660</v>
      </c>
      <c r="J1730">
        <f>IF(AND(D1730&lt;&gt;"dram",D1730&lt;&gt;"control"),H1730,0)</f>
        <v>0</v>
      </c>
      <c r="K1730">
        <f>IF(D1730="dram",H1730,0)</f>
        <v>20821</v>
      </c>
      <c r="L1730">
        <v>1409024</v>
      </c>
      <c r="M1730">
        <v>0</v>
      </c>
    </row>
    <row r="1731" spans="1:13">
      <c r="A1731">
        <v>1729</v>
      </c>
      <c r="B1731" t="s">
        <v>346</v>
      </c>
      <c r="C1731" t="s">
        <v>78</v>
      </c>
      <c r="D1731" t="s">
        <v>79</v>
      </c>
      <c r="E1731" t="s">
        <v>186</v>
      </c>
      <c r="F1731">
        <v>44032</v>
      </c>
      <c r="G1731">
        <f>MAX(I1727,I1730)</f>
        <v>3399660</v>
      </c>
      <c r="H1731">
        <f>CEILING((dram_access_latency+F1731/dram_bandwidth)*frequency,1)</f>
        <v>748</v>
      </c>
      <c r="I1731">
        <f>G1731+H1731</f>
        <v>3400408</v>
      </c>
      <c r="J1731">
        <f>IF(AND(D1731&lt;&gt;"dram",D1731&lt;&gt;"control"),H1731,0)</f>
        <v>0</v>
      </c>
      <c r="K1731">
        <f>IF(D1731="dram",H1731,0)</f>
        <v>748</v>
      </c>
      <c r="L1731">
        <v>44032</v>
      </c>
      <c r="M1731">
        <v>0</v>
      </c>
    </row>
    <row r="1732" spans="1:13">
      <c r="A1732">
        <v>1730</v>
      </c>
      <c r="B1732" t="s">
        <v>347</v>
      </c>
      <c r="C1732" t="s">
        <v>78</v>
      </c>
      <c r="D1732" t="s">
        <v>79</v>
      </c>
      <c r="E1732" t="s">
        <v>186</v>
      </c>
      <c r="F1732">
        <v>512</v>
      </c>
      <c r="G1732">
        <f>MAX(I1727,I1731)</f>
        <v>3400408</v>
      </c>
      <c r="H1732">
        <f>CEILING((dram_access_latency+F1732/dram_bandwidth)*frequency,1)</f>
        <v>108</v>
      </c>
      <c r="I1732">
        <f>G1732+H1732</f>
        <v>3400516</v>
      </c>
      <c r="J1732">
        <f>IF(AND(D1732&lt;&gt;"dram",D1732&lt;&gt;"control"),H1732,0)</f>
        <v>0</v>
      </c>
      <c r="K1732">
        <f>IF(D1732="dram",H1732,0)</f>
        <v>108</v>
      </c>
      <c r="L1732">
        <v>512</v>
      </c>
      <c r="M1732">
        <v>0</v>
      </c>
    </row>
    <row r="1733" spans="1:13">
      <c r="A1733">
        <v>1731</v>
      </c>
      <c r="B1733" t="s">
        <v>58</v>
      </c>
      <c r="C1733" t="s">
        <v>85</v>
      </c>
      <c r="D1733" t="s">
        <v>17</v>
      </c>
      <c r="E1733" t="s">
        <v>186</v>
      </c>
      <c r="F1733">
        <v>0</v>
      </c>
      <c r="G1733">
        <f>MAX(I1726,I1682,I1730,I1684,I1731,I1732,I1728,I1729)</f>
        <v>3422667</v>
      </c>
      <c r="H1733">
        <f>'Operations'!I25</f>
        <v>44032</v>
      </c>
      <c r="I1733">
        <f>G1733+H1733</f>
        <v>3466699</v>
      </c>
      <c r="J1733">
        <f>IF(AND(D1733&lt;&gt;"dram",D1733&lt;&gt;"control"),H1733,0)</f>
        <v>44032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348</v>
      </c>
      <c r="C1734" t="s">
        <v>82</v>
      </c>
      <c r="D1734" t="s">
        <v>83</v>
      </c>
      <c r="E1734" t="s">
        <v>186</v>
      </c>
      <c r="F1734">
        <v>0</v>
      </c>
      <c r="G1734">
        <f>MAX(I1727,I1726)</f>
        <v>3378635</v>
      </c>
      <c r="H1734">
        <f>0</f>
        <v>44032</v>
      </c>
      <c r="I1734">
        <f>G1734+H1734</f>
        <v>3422667</v>
      </c>
      <c r="J1734">
        <f>IF(AND(D1734&lt;&gt;"dram",D1734&lt;&gt;"control"),H1734,0)</f>
        <v>0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349</v>
      </c>
      <c r="C1735" t="s">
        <v>87</v>
      </c>
      <c r="D1735" t="s">
        <v>79</v>
      </c>
      <c r="E1735" t="s">
        <v>186</v>
      </c>
      <c r="F1735">
        <v>4</v>
      </c>
      <c r="G1735">
        <f>MAX(I1734,I1732)</f>
        <v>3422667</v>
      </c>
      <c r="H1735">
        <f>CEILING((dram_access_latency+F1735/dram_bandwidth)*frequency,1)</f>
        <v>101</v>
      </c>
      <c r="I1735">
        <f>G1735+H1735</f>
        <v>3422768</v>
      </c>
      <c r="J1735">
        <f>IF(AND(D1735&lt;&gt;"dram",D1735&lt;&gt;"control"),H1735,0)</f>
        <v>0</v>
      </c>
      <c r="K1735">
        <f>IF(D1735="dram",H1735,0)</f>
        <v>101</v>
      </c>
      <c r="L1735">
        <v>0</v>
      </c>
      <c r="M1735">
        <v>4</v>
      </c>
    </row>
    <row r="1736" spans="1:13">
      <c r="A1736">
        <v>1734</v>
      </c>
      <c r="B1736" t="s">
        <v>350</v>
      </c>
      <c r="C1736" t="s">
        <v>87</v>
      </c>
      <c r="D1736" t="s">
        <v>79</v>
      </c>
      <c r="E1736" t="s">
        <v>186</v>
      </c>
      <c r="F1736">
        <v>192</v>
      </c>
      <c r="G1736">
        <f>MAX(I1734,I1735)</f>
        <v>3422768</v>
      </c>
      <c r="H1736">
        <f>CEILING((dram_access_latency+F1736/dram_bandwidth)*frequency,1)</f>
        <v>103</v>
      </c>
      <c r="I1736">
        <f>G1736+H1736</f>
        <v>3422871</v>
      </c>
      <c r="J1736">
        <f>IF(AND(D1736&lt;&gt;"dram",D1736&lt;&gt;"control"),H1736,0)</f>
        <v>0</v>
      </c>
      <c r="K1736">
        <f>IF(D1736="dram",H1736,0)</f>
        <v>103</v>
      </c>
      <c r="L1736">
        <v>0</v>
      </c>
      <c r="M1736">
        <v>192</v>
      </c>
    </row>
    <row r="1737" spans="1:13">
      <c r="A1737">
        <v>1735</v>
      </c>
      <c r="B1737" t="s">
        <v>344</v>
      </c>
      <c r="C1737" t="s">
        <v>78</v>
      </c>
      <c r="D1737" t="s">
        <v>79</v>
      </c>
      <c r="E1737" t="s">
        <v>187</v>
      </c>
      <c r="F1737">
        <v>1409024</v>
      </c>
      <c r="G1737">
        <f>MAX(I1734,I1736)</f>
        <v>3422871</v>
      </c>
      <c r="H1737">
        <f>CEILING((dram_access_latency+F1737/dram_bandwidth)*frequency,1)</f>
        <v>20821</v>
      </c>
      <c r="I1737">
        <f>G1737+H1737</f>
        <v>3443692</v>
      </c>
      <c r="J1737">
        <f>IF(AND(D1737&lt;&gt;"dram",D1737&lt;&gt;"control"),H1737,0)</f>
        <v>0</v>
      </c>
      <c r="K1737">
        <f>IF(D1737="dram",H1737,0)</f>
        <v>20821</v>
      </c>
      <c r="L1737">
        <v>1409024</v>
      </c>
      <c r="M1737">
        <v>0</v>
      </c>
    </row>
    <row r="1738" spans="1:13">
      <c r="A1738">
        <v>1736</v>
      </c>
      <c r="B1738" t="s">
        <v>346</v>
      </c>
      <c r="C1738" t="s">
        <v>78</v>
      </c>
      <c r="D1738" t="s">
        <v>79</v>
      </c>
      <c r="E1738" t="s">
        <v>187</v>
      </c>
      <c r="F1738">
        <v>44032</v>
      </c>
      <c r="G1738">
        <f>MAX(I1734,I1737)</f>
        <v>3443692</v>
      </c>
      <c r="H1738">
        <f>CEILING((dram_access_latency+F1738/dram_bandwidth)*frequency,1)</f>
        <v>748</v>
      </c>
      <c r="I1738">
        <f>G1738+H1738</f>
        <v>3444440</v>
      </c>
      <c r="J1738">
        <f>IF(AND(D1738&lt;&gt;"dram",D1738&lt;&gt;"control"),H1738,0)</f>
        <v>0</v>
      </c>
      <c r="K1738">
        <f>IF(D1738="dram",H1738,0)</f>
        <v>748</v>
      </c>
      <c r="L1738">
        <v>44032</v>
      </c>
      <c r="M1738">
        <v>0</v>
      </c>
    </row>
    <row r="1739" spans="1:13">
      <c r="A1739">
        <v>1737</v>
      </c>
      <c r="B1739" t="s">
        <v>347</v>
      </c>
      <c r="C1739" t="s">
        <v>78</v>
      </c>
      <c r="D1739" t="s">
        <v>79</v>
      </c>
      <c r="E1739" t="s">
        <v>187</v>
      </c>
      <c r="F1739">
        <v>512</v>
      </c>
      <c r="G1739">
        <f>MAX(I1734,I1738)</f>
        <v>3444440</v>
      </c>
      <c r="H1739">
        <f>CEILING((dram_access_latency+F1739/dram_bandwidth)*frequency,1)</f>
        <v>108</v>
      </c>
      <c r="I1739">
        <f>G1739+H1739</f>
        <v>3444548</v>
      </c>
      <c r="J1739">
        <f>IF(AND(D1739&lt;&gt;"dram",D1739&lt;&gt;"control"),H1739,0)</f>
        <v>0</v>
      </c>
      <c r="K1739">
        <f>IF(D1739="dram",H1739,0)</f>
        <v>108</v>
      </c>
      <c r="L1739">
        <v>512</v>
      </c>
      <c r="M1739">
        <v>0</v>
      </c>
    </row>
    <row r="1740" spans="1:13">
      <c r="A1740">
        <v>1738</v>
      </c>
      <c r="B1740" t="s">
        <v>58</v>
      </c>
      <c r="C1740" t="s">
        <v>85</v>
      </c>
      <c r="D1740" t="s">
        <v>17</v>
      </c>
      <c r="E1740" t="s">
        <v>187</v>
      </c>
      <c r="F1740">
        <v>0</v>
      </c>
      <c r="G1740">
        <f>MAX(I1733,I1682,I1737,I1684,I1738,I1739,I1735,I1736)</f>
        <v>3466699</v>
      </c>
      <c r="H1740">
        <f>'Operations'!I25</f>
        <v>44032</v>
      </c>
      <c r="I1740">
        <f>G1740+H1740</f>
        <v>3510731</v>
      </c>
      <c r="J1740">
        <f>IF(AND(D1740&lt;&gt;"dram",D1740&lt;&gt;"control"),H1740,0)</f>
        <v>44032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348</v>
      </c>
      <c r="C1741" t="s">
        <v>82</v>
      </c>
      <c r="D1741" t="s">
        <v>83</v>
      </c>
      <c r="E1741" t="s">
        <v>187</v>
      </c>
      <c r="F1741">
        <v>0</v>
      </c>
      <c r="G1741">
        <f>MAX(I1734,I1733)</f>
        <v>3422667</v>
      </c>
      <c r="H1741">
        <f>0</f>
        <v>44032</v>
      </c>
      <c r="I1741">
        <f>G1741+H1741</f>
        <v>3466699</v>
      </c>
      <c r="J1741">
        <f>IF(AND(D1741&lt;&gt;"dram",D1741&lt;&gt;"control"),H1741,0)</f>
        <v>0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349</v>
      </c>
      <c r="C1742" t="s">
        <v>87</v>
      </c>
      <c r="D1742" t="s">
        <v>79</v>
      </c>
      <c r="E1742" t="s">
        <v>187</v>
      </c>
      <c r="F1742">
        <v>4</v>
      </c>
      <c r="G1742">
        <f>MAX(I1741,I1739)</f>
        <v>3466699</v>
      </c>
      <c r="H1742">
        <f>CEILING((dram_access_latency+F1742/dram_bandwidth)*frequency,1)</f>
        <v>101</v>
      </c>
      <c r="I1742">
        <f>G1742+H1742</f>
        <v>3466800</v>
      </c>
      <c r="J1742">
        <f>IF(AND(D1742&lt;&gt;"dram",D1742&lt;&gt;"control"),H1742,0)</f>
        <v>0</v>
      </c>
      <c r="K1742">
        <f>IF(D1742="dram",H1742,0)</f>
        <v>101</v>
      </c>
      <c r="L1742">
        <v>0</v>
      </c>
      <c r="M1742">
        <v>4</v>
      </c>
    </row>
    <row r="1743" spans="1:13">
      <c r="A1743">
        <v>1741</v>
      </c>
      <c r="B1743" t="s">
        <v>350</v>
      </c>
      <c r="C1743" t="s">
        <v>87</v>
      </c>
      <c r="D1743" t="s">
        <v>79</v>
      </c>
      <c r="E1743" t="s">
        <v>187</v>
      </c>
      <c r="F1743">
        <v>192</v>
      </c>
      <c r="G1743">
        <f>MAX(I1741,I1742)</f>
        <v>3466800</v>
      </c>
      <c r="H1743">
        <f>CEILING((dram_access_latency+F1743/dram_bandwidth)*frequency,1)</f>
        <v>103</v>
      </c>
      <c r="I1743">
        <f>G1743+H1743</f>
        <v>3466903</v>
      </c>
      <c r="J1743">
        <f>IF(AND(D1743&lt;&gt;"dram",D1743&lt;&gt;"control"),H1743,0)</f>
        <v>0</v>
      </c>
      <c r="K1743">
        <f>IF(D1743="dram",H1743,0)</f>
        <v>103</v>
      </c>
      <c r="L1743">
        <v>0</v>
      </c>
      <c r="M1743">
        <v>192</v>
      </c>
    </row>
    <row r="1744" spans="1:13">
      <c r="A1744">
        <v>1742</v>
      </c>
      <c r="B1744" t="s">
        <v>344</v>
      </c>
      <c r="C1744" t="s">
        <v>78</v>
      </c>
      <c r="D1744" t="s">
        <v>79</v>
      </c>
      <c r="E1744" t="s">
        <v>188</v>
      </c>
      <c r="F1744">
        <v>1409024</v>
      </c>
      <c r="G1744">
        <f>MAX(I1741,I1743)</f>
        <v>3466903</v>
      </c>
      <c r="H1744">
        <f>CEILING((dram_access_latency+F1744/dram_bandwidth)*frequency,1)</f>
        <v>20821</v>
      </c>
      <c r="I1744">
        <f>G1744+H1744</f>
        <v>3487724</v>
      </c>
      <c r="J1744">
        <f>IF(AND(D1744&lt;&gt;"dram",D1744&lt;&gt;"control"),H1744,0)</f>
        <v>0</v>
      </c>
      <c r="K1744">
        <f>IF(D1744="dram",H1744,0)</f>
        <v>20821</v>
      </c>
      <c r="L1744">
        <v>1409024</v>
      </c>
      <c r="M1744">
        <v>0</v>
      </c>
    </row>
    <row r="1745" spans="1:13">
      <c r="A1745">
        <v>1743</v>
      </c>
      <c r="B1745" t="s">
        <v>346</v>
      </c>
      <c r="C1745" t="s">
        <v>78</v>
      </c>
      <c r="D1745" t="s">
        <v>79</v>
      </c>
      <c r="E1745" t="s">
        <v>188</v>
      </c>
      <c r="F1745">
        <v>44032</v>
      </c>
      <c r="G1745">
        <f>MAX(I1741,I1744)</f>
        <v>3487724</v>
      </c>
      <c r="H1745">
        <f>CEILING((dram_access_latency+F1745/dram_bandwidth)*frequency,1)</f>
        <v>748</v>
      </c>
      <c r="I1745">
        <f>G1745+H1745</f>
        <v>3488472</v>
      </c>
      <c r="J1745">
        <f>IF(AND(D1745&lt;&gt;"dram",D1745&lt;&gt;"control"),H1745,0)</f>
        <v>0</v>
      </c>
      <c r="K1745">
        <f>IF(D1745="dram",H1745,0)</f>
        <v>748</v>
      </c>
      <c r="L1745">
        <v>44032</v>
      </c>
      <c r="M1745">
        <v>0</v>
      </c>
    </row>
    <row r="1746" spans="1:13">
      <c r="A1746">
        <v>1744</v>
      </c>
      <c r="B1746" t="s">
        <v>347</v>
      </c>
      <c r="C1746" t="s">
        <v>78</v>
      </c>
      <c r="D1746" t="s">
        <v>79</v>
      </c>
      <c r="E1746" t="s">
        <v>188</v>
      </c>
      <c r="F1746">
        <v>512</v>
      </c>
      <c r="G1746">
        <f>MAX(I1741,I1745)</f>
        <v>3488472</v>
      </c>
      <c r="H1746">
        <f>CEILING((dram_access_latency+F1746/dram_bandwidth)*frequency,1)</f>
        <v>108</v>
      </c>
      <c r="I1746">
        <f>G1746+H1746</f>
        <v>3488580</v>
      </c>
      <c r="J1746">
        <f>IF(AND(D1746&lt;&gt;"dram",D1746&lt;&gt;"control"),H1746,0)</f>
        <v>0</v>
      </c>
      <c r="K1746">
        <f>IF(D1746="dram",H1746,0)</f>
        <v>108</v>
      </c>
      <c r="L1746">
        <v>512</v>
      </c>
      <c r="M1746">
        <v>0</v>
      </c>
    </row>
    <row r="1747" spans="1:13">
      <c r="A1747">
        <v>1745</v>
      </c>
      <c r="B1747" t="s">
        <v>58</v>
      </c>
      <c r="C1747" t="s">
        <v>85</v>
      </c>
      <c r="D1747" t="s">
        <v>17</v>
      </c>
      <c r="E1747" t="s">
        <v>188</v>
      </c>
      <c r="F1747">
        <v>0</v>
      </c>
      <c r="G1747">
        <f>MAX(I1740,I1682,I1744,I1684,I1745,I1746,I1742,I1743)</f>
        <v>3510731</v>
      </c>
      <c r="H1747">
        <f>'Operations'!I25</f>
        <v>44032</v>
      </c>
      <c r="I1747">
        <f>G1747+H1747</f>
        <v>3554763</v>
      </c>
      <c r="J1747">
        <f>IF(AND(D1747&lt;&gt;"dram",D1747&lt;&gt;"control"),H1747,0)</f>
        <v>44032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348</v>
      </c>
      <c r="C1748" t="s">
        <v>82</v>
      </c>
      <c r="D1748" t="s">
        <v>83</v>
      </c>
      <c r="E1748" t="s">
        <v>188</v>
      </c>
      <c r="F1748">
        <v>0</v>
      </c>
      <c r="G1748">
        <f>MAX(I1741,I1740)</f>
        <v>3466699</v>
      </c>
      <c r="H1748">
        <f>0</f>
        <v>44032</v>
      </c>
      <c r="I1748">
        <f>G1748+H1748</f>
        <v>3510731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349</v>
      </c>
      <c r="C1749" t="s">
        <v>87</v>
      </c>
      <c r="D1749" t="s">
        <v>79</v>
      </c>
      <c r="E1749" t="s">
        <v>188</v>
      </c>
      <c r="F1749">
        <v>4</v>
      </c>
      <c r="G1749">
        <f>MAX(I1748,I1746)</f>
        <v>3510731</v>
      </c>
      <c r="H1749">
        <f>CEILING((dram_access_latency+F1749/dram_bandwidth)*frequency,1)</f>
        <v>101</v>
      </c>
      <c r="I1749">
        <f>G1749+H1749</f>
        <v>3510832</v>
      </c>
      <c r="J1749">
        <f>IF(AND(D1749&lt;&gt;"dram",D1749&lt;&gt;"control"),H1749,0)</f>
        <v>0</v>
      </c>
      <c r="K1749">
        <f>IF(D1749="dram",H1749,0)</f>
        <v>101</v>
      </c>
      <c r="L1749">
        <v>0</v>
      </c>
      <c r="M1749">
        <v>4</v>
      </c>
    </row>
    <row r="1750" spans="1:13">
      <c r="A1750">
        <v>1748</v>
      </c>
      <c r="B1750" t="s">
        <v>350</v>
      </c>
      <c r="C1750" t="s">
        <v>87</v>
      </c>
      <c r="D1750" t="s">
        <v>79</v>
      </c>
      <c r="E1750" t="s">
        <v>188</v>
      </c>
      <c r="F1750">
        <v>192</v>
      </c>
      <c r="G1750">
        <f>MAX(I1748,I1749)</f>
        <v>3510832</v>
      </c>
      <c r="H1750">
        <f>CEILING((dram_access_latency+F1750/dram_bandwidth)*frequency,1)</f>
        <v>103</v>
      </c>
      <c r="I1750">
        <f>G1750+H1750</f>
        <v>3510935</v>
      </c>
      <c r="J1750">
        <f>IF(AND(D1750&lt;&gt;"dram",D1750&lt;&gt;"control"),H1750,0)</f>
        <v>0</v>
      </c>
      <c r="K1750">
        <f>IF(D1750="dram",H1750,0)</f>
        <v>103</v>
      </c>
      <c r="L1750">
        <v>0</v>
      </c>
      <c r="M1750">
        <v>192</v>
      </c>
    </row>
    <row r="1751" spans="1:13">
      <c r="A1751">
        <v>1749</v>
      </c>
      <c r="B1751" t="s">
        <v>344</v>
      </c>
      <c r="C1751" t="s">
        <v>78</v>
      </c>
      <c r="D1751" t="s">
        <v>79</v>
      </c>
      <c r="E1751" t="s">
        <v>189</v>
      </c>
      <c r="F1751">
        <v>1409024</v>
      </c>
      <c r="G1751">
        <f>MAX(I1748,I1750)</f>
        <v>3510935</v>
      </c>
      <c r="H1751">
        <f>CEILING((dram_access_latency+F1751/dram_bandwidth)*frequency,1)</f>
        <v>20821</v>
      </c>
      <c r="I1751">
        <f>G1751+H1751</f>
        <v>3531756</v>
      </c>
      <c r="J1751">
        <f>IF(AND(D1751&lt;&gt;"dram",D1751&lt;&gt;"control"),H1751,0)</f>
        <v>0</v>
      </c>
      <c r="K1751">
        <f>IF(D1751="dram",H1751,0)</f>
        <v>20821</v>
      </c>
      <c r="L1751">
        <v>1409024</v>
      </c>
      <c r="M1751">
        <v>0</v>
      </c>
    </row>
    <row r="1752" spans="1:13">
      <c r="A1752">
        <v>1750</v>
      </c>
      <c r="B1752" t="s">
        <v>346</v>
      </c>
      <c r="C1752" t="s">
        <v>78</v>
      </c>
      <c r="D1752" t="s">
        <v>79</v>
      </c>
      <c r="E1752" t="s">
        <v>189</v>
      </c>
      <c r="F1752">
        <v>44032</v>
      </c>
      <c r="G1752">
        <f>MAX(I1748,I1751)</f>
        <v>3531756</v>
      </c>
      <c r="H1752">
        <f>CEILING((dram_access_latency+F1752/dram_bandwidth)*frequency,1)</f>
        <v>748</v>
      </c>
      <c r="I1752">
        <f>G1752+H1752</f>
        <v>3532504</v>
      </c>
      <c r="J1752">
        <f>IF(AND(D1752&lt;&gt;"dram",D1752&lt;&gt;"control"),H1752,0)</f>
        <v>0</v>
      </c>
      <c r="K1752">
        <f>IF(D1752="dram",H1752,0)</f>
        <v>748</v>
      </c>
      <c r="L1752">
        <v>44032</v>
      </c>
      <c r="M1752">
        <v>0</v>
      </c>
    </row>
    <row r="1753" spans="1:13">
      <c r="A1753">
        <v>1751</v>
      </c>
      <c r="B1753" t="s">
        <v>347</v>
      </c>
      <c r="C1753" t="s">
        <v>78</v>
      </c>
      <c r="D1753" t="s">
        <v>79</v>
      </c>
      <c r="E1753" t="s">
        <v>189</v>
      </c>
      <c r="F1753">
        <v>512</v>
      </c>
      <c r="G1753">
        <f>MAX(I1748,I1752)</f>
        <v>3532504</v>
      </c>
      <c r="H1753">
        <f>CEILING((dram_access_latency+F1753/dram_bandwidth)*frequency,1)</f>
        <v>108</v>
      </c>
      <c r="I1753">
        <f>G1753+H1753</f>
        <v>3532612</v>
      </c>
      <c r="J1753">
        <f>IF(AND(D1753&lt;&gt;"dram",D1753&lt;&gt;"control"),H1753,0)</f>
        <v>0</v>
      </c>
      <c r="K1753">
        <f>IF(D1753="dram",H1753,0)</f>
        <v>108</v>
      </c>
      <c r="L1753">
        <v>512</v>
      </c>
      <c r="M1753">
        <v>0</v>
      </c>
    </row>
    <row r="1754" spans="1:13">
      <c r="A1754">
        <v>1752</v>
      </c>
      <c r="B1754" t="s">
        <v>58</v>
      </c>
      <c r="C1754" t="s">
        <v>85</v>
      </c>
      <c r="D1754" t="s">
        <v>17</v>
      </c>
      <c r="E1754" t="s">
        <v>189</v>
      </c>
      <c r="F1754">
        <v>0</v>
      </c>
      <c r="G1754">
        <f>MAX(I1747,I1682,I1751,I1684,I1752,I1753,I1749,I1750)</f>
        <v>3554763</v>
      </c>
      <c r="H1754">
        <f>'Operations'!I25</f>
        <v>44032</v>
      </c>
      <c r="I1754">
        <f>G1754+H1754</f>
        <v>3598795</v>
      </c>
      <c r="J1754">
        <f>IF(AND(D1754&lt;&gt;"dram",D1754&lt;&gt;"control"),H1754,0)</f>
        <v>44032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348</v>
      </c>
      <c r="C1755" t="s">
        <v>82</v>
      </c>
      <c r="D1755" t="s">
        <v>83</v>
      </c>
      <c r="E1755" t="s">
        <v>189</v>
      </c>
      <c r="F1755">
        <v>0</v>
      </c>
      <c r="G1755">
        <f>MAX(I1748,I1747)</f>
        <v>3510731</v>
      </c>
      <c r="H1755">
        <f>0</f>
        <v>44032</v>
      </c>
      <c r="I1755">
        <f>G1755+H1755</f>
        <v>3554763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349</v>
      </c>
      <c r="C1756" t="s">
        <v>87</v>
      </c>
      <c r="D1756" t="s">
        <v>79</v>
      </c>
      <c r="E1756" t="s">
        <v>189</v>
      </c>
      <c r="F1756">
        <v>4</v>
      </c>
      <c r="G1756">
        <f>MAX(I1755,I1753)</f>
        <v>3554763</v>
      </c>
      <c r="H1756">
        <f>CEILING((dram_access_latency+F1756/dram_bandwidth)*frequency,1)</f>
        <v>101</v>
      </c>
      <c r="I1756">
        <f>G1756+H1756</f>
        <v>3554864</v>
      </c>
      <c r="J1756">
        <f>IF(AND(D1756&lt;&gt;"dram",D1756&lt;&gt;"control"),H1756,0)</f>
        <v>0</v>
      </c>
      <c r="K1756">
        <f>IF(D1756="dram",H1756,0)</f>
        <v>101</v>
      </c>
      <c r="L1756">
        <v>0</v>
      </c>
      <c r="M1756">
        <v>4</v>
      </c>
    </row>
    <row r="1757" spans="1:13">
      <c r="A1757">
        <v>1755</v>
      </c>
      <c r="B1757" t="s">
        <v>350</v>
      </c>
      <c r="C1757" t="s">
        <v>87</v>
      </c>
      <c r="D1757" t="s">
        <v>79</v>
      </c>
      <c r="E1757" t="s">
        <v>189</v>
      </c>
      <c r="F1757">
        <v>192</v>
      </c>
      <c r="G1757">
        <f>MAX(I1755,I1756)</f>
        <v>3554864</v>
      </c>
      <c r="H1757">
        <f>CEILING((dram_access_latency+F1757/dram_bandwidth)*frequency,1)</f>
        <v>103</v>
      </c>
      <c r="I1757">
        <f>G1757+H1757</f>
        <v>3554967</v>
      </c>
      <c r="J1757">
        <f>IF(AND(D1757&lt;&gt;"dram",D1757&lt;&gt;"control"),H1757,0)</f>
        <v>0</v>
      </c>
      <c r="K1757">
        <f>IF(D1757="dram",H1757,0)</f>
        <v>103</v>
      </c>
      <c r="L1757">
        <v>0</v>
      </c>
      <c r="M1757">
        <v>192</v>
      </c>
    </row>
    <row r="1758" spans="1:13">
      <c r="A1758">
        <v>1756</v>
      </c>
      <c r="B1758" t="s">
        <v>344</v>
      </c>
      <c r="C1758" t="s">
        <v>78</v>
      </c>
      <c r="D1758" t="s">
        <v>79</v>
      </c>
      <c r="E1758" t="s">
        <v>190</v>
      </c>
      <c r="F1758">
        <v>1409024</v>
      </c>
      <c r="G1758">
        <f>MAX(I1755,I1757)</f>
        <v>3554967</v>
      </c>
      <c r="H1758">
        <f>CEILING((dram_access_latency+F1758/dram_bandwidth)*frequency,1)</f>
        <v>20821</v>
      </c>
      <c r="I1758">
        <f>G1758+H1758</f>
        <v>3575788</v>
      </c>
      <c r="J1758">
        <f>IF(AND(D1758&lt;&gt;"dram",D1758&lt;&gt;"control"),H1758,0)</f>
        <v>0</v>
      </c>
      <c r="K1758">
        <f>IF(D1758="dram",H1758,0)</f>
        <v>20821</v>
      </c>
      <c r="L1758">
        <v>1409024</v>
      </c>
      <c r="M1758">
        <v>0</v>
      </c>
    </row>
    <row r="1759" spans="1:13">
      <c r="A1759">
        <v>1757</v>
      </c>
      <c r="B1759" t="s">
        <v>346</v>
      </c>
      <c r="C1759" t="s">
        <v>78</v>
      </c>
      <c r="D1759" t="s">
        <v>79</v>
      </c>
      <c r="E1759" t="s">
        <v>190</v>
      </c>
      <c r="F1759">
        <v>44032</v>
      </c>
      <c r="G1759">
        <f>MAX(I1755,I1758)</f>
        <v>3575788</v>
      </c>
      <c r="H1759">
        <f>CEILING((dram_access_latency+F1759/dram_bandwidth)*frequency,1)</f>
        <v>748</v>
      </c>
      <c r="I1759">
        <f>G1759+H1759</f>
        <v>3576536</v>
      </c>
      <c r="J1759">
        <f>IF(AND(D1759&lt;&gt;"dram",D1759&lt;&gt;"control"),H1759,0)</f>
        <v>0</v>
      </c>
      <c r="K1759">
        <f>IF(D1759="dram",H1759,0)</f>
        <v>748</v>
      </c>
      <c r="L1759">
        <v>44032</v>
      </c>
      <c r="M1759">
        <v>0</v>
      </c>
    </row>
    <row r="1760" spans="1:13">
      <c r="A1760">
        <v>1758</v>
      </c>
      <c r="B1760" t="s">
        <v>347</v>
      </c>
      <c r="C1760" t="s">
        <v>78</v>
      </c>
      <c r="D1760" t="s">
        <v>79</v>
      </c>
      <c r="E1760" t="s">
        <v>190</v>
      </c>
      <c r="F1760">
        <v>512</v>
      </c>
      <c r="G1760">
        <f>MAX(I1755,I1759)</f>
        <v>3576536</v>
      </c>
      <c r="H1760">
        <f>CEILING((dram_access_latency+F1760/dram_bandwidth)*frequency,1)</f>
        <v>108</v>
      </c>
      <c r="I1760">
        <f>G1760+H1760</f>
        <v>3576644</v>
      </c>
      <c r="J1760">
        <f>IF(AND(D1760&lt;&gt;"dram",D1760&lt;&gt;"control"),H1760,0)</f>
        <v>0</v>
      </c>
      <c r="K1760">
        <f>IF(D1760="dram",H1760,0)</f>
        <v>108</v>
      </c>
      <c r="L1760">
        <v>512</v>
      </c>
      <c r="M1760">
        <v>0</v>
      </c>
    </row>
    <row r="1761" spans="1:13">
      <c r="A1761">
        <v>1759</v>
      </c>
      <c r="B1761" t="s">
        <v>58</v>
      </c>
      <c r="C1761" t="s">
        <v>85</v>
      </c>
      <c r="D1761" t="s">
        <v>17</v>
      </c>
      <c r="E1761" t="s">
        <v>190</v>
      </c>
      <c r="F1761">
        <v>0</v>
      </c>
      <c r="G1761">
        <f>MAX(I1754,I1682,I1758,I1684,I1759,I1760,I1756,I1757)</f>
        <v>3598795</v>
      </c>
      <c r="H1761">
        <f>'Operations'!I25</f>
        <v>44032</v>
      </c>
      <c r="I1761">
        <f>G1761+H1761</f>
        <v>3642827</v>
      </c>
      <c r="J1761">
        <f>IF(AND(D1761&lt;&gt;"dram",D1761&lt;&gt;"control"),H1761,0)</f>
        <v>44032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348</v>
      </c>
      <c r="C1762" t="s">
        <v>82</v>
      </c>
      <c r="D1762" t="s">
        <v>83</v>
      </c>
      <c r="E1762" t="s">
        <v>190</v>
      </c>
      <c r="F1762">
        <v>0</v>
      </c>
      <c r="G1762">
        <f>MAX(I1755,I1754)</f>
        <v>3554763</v>
      </c>
      <c r="H1762">
        <f>0</f>
        <v>44032</v>
      </c>
      <c r="I1762">
        <f>G1762+H1762</f>
        <v>3598795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349</v>
      </c>
      <c r="C1763" t="s">
        <v>87</v>
      </c>
      <c r="D1763" t="s">
        <v>79</v>
      </c>
      <c r="E1763" t="s">
        <v>190</v>
      </c>
      <c r="F1763">
        <v>4</v>
      </c>
      <c r="G1763">
        <f>MAX(I1762,I1760)</f>
        <v>3598795</v>
      </c>
      <c r="H1763">
        <f>CEILING((dram_access_latency+F1763/dram_bandwidth)*frequency,1)</f>
        <v>101</v>
      </c>
      <c r="I1763">
        <f>G1763+H1763</f>
        <v>3598896</v>
      </c>
      <c r="J1763">
        <f>IF(AND(D1763&lt;&gt;"dram",D1763&lt;&gt;"control"),H1763,0)</f>
        <v>0</v>
      </c>
      <c r="K1763">
        <f>IF(D1763="dram",H1763,0)</f>
        <v>101</v>
      </c>
      <c r="L1763">
        <v>0</v>
      </c>
      <c r="M1763">
        <v>4</v>
      </c>
    </row>
    <row r="1764" spans="1:13">
      <c r="A1764">
        <v>1762</v>
      </c>
      <c r="B1764" t="s">
        <v>350</v>
      </c>
      <c r="C1764" t="s">
        <v>87</v>
      </c>
      <c r="D1764" t="s">
        <v>79</v>
      </c>
      <c r="E1764" t="s">
        <v>190</v>
      </c>
      <c r="F1764">
        <v>192</v>
      </c>
      <c r="G1764">
        <f>MAX(I1762,I1763)</f>
        <v>3598896</v>
      </c>
      <c r="H1764">
        <f>CEILING((dram_access_latency+F1764/dram_bandwidth)*frequency,1)</f>
        <v>103</v>
      </c>
      <c r="I1764">
        <f>G1764+H1764</f>
        <v>3598999</v>
      </c>
      <c r="J1764">
        <f>IF(AND(D1764&lt;&gt;"dram",D1764&lt;&gt;"control"),H1764,0)</f>
        <v>0</v>
      </c>
      <c r="K1764">
        <f>IF(D1764="dram",H1764,0)</f>
        <v>103</v>
      </c>
      <c r="L1764">
        <v>0</v>
      </c>
      <c r="M1764">
        <v>192</v>
      </c>
    </row>
    <row r="1765" spans="1:13">
      <c r="A1765">
        <v>1763</v>
      </c>
      <c r="B1765" t="s">
        <v>344</v>
      </c>
      <c r="C1765" t="s">
        <v>78</v>
      </c>
      <c r="D1765" t="s">
        <v>79</v>
      </c>
      <c r="E1765" t="s">
        <v>191</v>
      </c>
      <c r="F1765">
        <v>1409024</v>
      </c>
      <c r="G1765">
        <f>MAX(I1762,I1764)</f>
        <v>3598999</v>
      </c>
      <c r="H1765">
        <f>CEILING((dram_access_latency+F1765/dram_bandwidth)*frequency,1)</f>
        <v>20821</v>
      </c>
      <c r="I1765">
        <f>G1765+H1765</f>
        <v>3619820</v>
      </c>
      <c r="J1765">
        <f>IF(AND(D1765&lt;&gt;"dram",D1765&lt;&gt;"control"),H1765,0)</f>
        <v>0</v>
      </c>
      <c r="K1765">
        <f>IF(D1765="dram",H1765,0)</f>
        <v>20821</v>
      </c>
      <c r="L1765">
        <v>1409024</v>
      </c>
      <c r="M1765">
        <v>0</v>
      </c>
    </row>
    <row r="1766" spans="1:13">
      <c r="A1766">
        <v>1764</v>
      </c>
      <c r="B1766" t="s">
        <v>346</v>
      </c>
      <c r="C1766" t="s">
        <v>78</v>
      </c>
      <c r="D1766" t="s">
        <v>79</v>
      </c>
      <c r="E1766" t="s">
        <v>191</v>
      </c>
      <c r="F1766">
        <v>44032</v>
      </c>
      <c r="G1766">
        <f>MAX(I1762,I1765)</f>
        <v>3619820</v>
      </c>
      <c r="H1766">
        <f>CEILING((dram_access_latency+F1766/dram_bandwidth)*frequency,1)</f>
        <v>748</v>
      </c>
      <c r="I1766">
        <f>G1766+H1766</f>
        <v>3620568</v>
      </c>
      <c r="J1766">
        <f>IF(AND(D1766&lt;&gt;"dram",D1766&lt;&gt;"control"),H1766,0)</f>
        <v>0</v>
      </c>
      <c r="K1766">
        <f>IF(D1766="dram",H1766,0)</f>
        <v>748</v>
      </c>
      <c r="L1766">
        <v>44032</v>
      </c>
      <c r="M1766">
        <v>0</v>
      </c>
    </row>
    <row r="1767" spans="1:13">
      <c r="A1767">
        <v>1765</v>
      </c>
      <c r="B1767" t="s">
        <v>347</v>
      </c>
      <c r="C1767" t="s">
        <v>78</v>
      </c>
      <c r="D1767" t="s">
        <v>79</v>
      </c>
      <c r="E1767" t="s">
        <v>191</v>
      </c>
      <c r="F1767">
        <v>512</v>
      </c>
      <c r="G1767">
        <f>MAX(I1762,I1766)</f>
        <v>3620568</v>
      </c>
      <c r="H1767">
        <f>CEILING((dram_access_latency+F1767/dram_bandwidth)*frequency,1)</f>
        <v>108</v>
      </c>
      <c r="I1767">
        <f>G1767+H1767</f>
        <v>3620676</v>
      </c>
      <c r="J1767">
        <f>IF(AND(D1767&lt;&gt;"dram",D1767&lt;&gt;"control"),H1767,0)</f>
        <v>0</v>
      </c>
      <c r="K1767">
        <f>IF(D1767="dram",H1767,0)</f>
        <v>108</v>
      </c>
      <c r="L1767">
        <v>512</v>
      </c>
      <c r="M1767">
        <v>0</v>
      </c>
    </row>
    <row r="1768" spans="1:13">
      <c r="A1768">
        <v>1766</v>
      </c>
      <c r="B1768" t="s">
        <v>58</v>
      </c>
      <c r="C1768" t="s">
        <v>85</v>
      </c>
      <c r="D1768" t="s">
        <v>17</v>
      </c>
      <c r="E1768" t="s">
        <v>191</v>
      </c>
      <c r="F1768">
        <v>0</v>
      </c>
      <c r="G1768">
        <f>MAX(I1761,I1682,I1765,I1684,I1766,I1767,I1763,I1764)</f>
        <v>3642827</v>
      </c>
      <c r="H1768">
        <f>'Operations'!I25</f>
        <v>44032</v>
      </c>
      <c r="I1768">
        <f>G1768+H1768</f>
        <v>3686859</v>
      </c>
      <c r="J1768">
        <f>IF(AND(D1768&lt;&gt;"dram",D1768&lt;&gt;"control"),H1768,0)</f>
        <v>44032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348</v>
      </c>
      <c r="C1769" t="s">
        <v>82</v>
      </c>
      <c r="D1769" t="s">
        <v>83</v>
      </c>
      <c r="E1769" t="s">
        <v>191</v>
      </c>
      <c r="F1769">
        <v>0</v>
      </c>
      <c r="G1769">
        <f>MAX(I1762,I1761)</f>
        <v>3598795</v>
      </c>
      <c r="H1769">
        <f>0</f>
        <v>44032</v>
      </c>
      <c r="I1769">
        <f>G1769+H1769</f>
        <v>3642827</v>
      </c>
      <c r="J1769">
        <f>IF(AND(D1769&lt;&gt;"dram",D1769&lt;&gt;"control"),H1769,0)</f>
        <v>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349</v>
      </c>
      <c r="C1770" t="s">
        <v>87</v>
      </c>
      <c r="D1770" t="s">
        <v>79</v>
      </c>
      <c r="E1770" t="s">
        <v>191</v>
      </c>
      <c r="F1770">
        <v>4</v>
      </c>
      <c r="G1770">
        <f>MAX(I1769,I1767)</f>
        <v>3642827</v>
      </c>
      <c r="H1770">
        <f>CEILING((dram_access_latency+F1770/dram_bandwidth)*frequency,1)</f>
        <v>101</v>
      </c>
      <c r="I1770">
        <f>G1770+H1770</f>
        <v>3642928</v>
      </c>
      <c r="J1770">
        <f>IF(AND(D1770&lt;&gt;"dram",D1770&lt;&gt;"control"),H1770,0)</f>
        <v>0</v>
      </c>
      <c r="K1770">
        <f>IF(D1770="dram",H1770,0)</f>
        <v>101</v>
      </c>
      <c r="L1770">
        <v>0</v>
      </c>
      <c r="M1770">
        <v>4</v>
      </c>
    </row>
    <row r="1771" spans="1:13">
      <c r="A1771">
        <v>1769</v>
      </c>
      <c r="B1771" t="s">
        <v>350</v>
      </c>
      <c r="C1771" t="s">
        <v>87</v>
      </c>
      <c r="D1771" t="s">
        <v>79</v>
      </c>
      <c r="E1771" t="s">
        <v>191</v>
      </c>
      <c r="F1771">
        <v>192</v>
      </c>
      <c r="G1771">
        <f>MAX(I1769,I1770)</f>
        <v>3642928</v>
      </c>
      <c r="H1771">
        <f>CEILING((dram_access_latency+F1771/dram_bandwidth)*frequency,1)</f>
        <v>103</v>
      </c>
      <c r="I1771">
        <f>G1771+H1771</f>
        <v>3643031</v>
      </c>
      <c r="J1771">
        <f>IF(AND(D1771&lt;&gt;"dram",D1771&lt;&gt;"control"),H1771,0)</f>
        <v>0</v>
      </c>
      <c r="K1771">
        <f>IF(D1771="dram",H1771,0)</f>
        <v>103</v>
      </c>
      <c r="L1771">
        <v>0</v>
      </c>
      <c r="M1771">
        <v>192</v>
      </c>
    </row>
    <row r="1772" spans="1:13">
      <c r="A1772">
        <v>1770</v>
      </c>
      <c r="B1772" t="s">
        <v>344</v>
      </c>
      <c r="C1772" t="s">
        <v>78</v>
      </c>
      <c r="D1772" t="s">
        <v>79</v>
      </c>
      <c r="E1772" t="s">
        <v>192</v>
      </c>
      <c r="F1772">
        <v>1409024</v>
      </c>
      <c r="G1772">
        <f>MAX(I1769,I1771)</f>
        <v>3643031</v>
      </c>
      <c r="H1772">
        <f>CEILING((dram_access_latency+F1772/dram_bandwidth)*frequency,1)</f>
        <v>20821</v>
      </c>
      <c r="I1772">
        <f>G1772+H1772</f>
        <v>3663852</v>
      </c>
      <c r="J1772">
        <f>IF(AND(D1772&lt;&gt;"dram",D1772&lt;&gt;"control"),H1772,0)</f>
        <v>0</v>
      </c>
      <c r="K1772">
        <f>IF(D1772="dram",H1772,0)</f>
        <v>20821</v>
      </c>
      <c r="L1772">
        <v>1409024</v>
      </c>
      <c r="M1772">
        <v>0</v>
      </c>
    </row>
    <row r="1773" spans="1:13">
      <c r="A1773">
        <v>1771</v>
      </c>
      <c r="B1773" t="s">
        <v>346</v>
      </c>
      <c r="C1773" t="s">
        <v>78</v>
      </c>
      <c r="D1773" t="s">
        <v>79</v>
      </c>
      <c r="E1773" t="s">
        <v>192</v>
      </c>
      <c r="F1773">
        <v>44032</v>
      </c>
      <c r="G1773">
        <f>MAX(I1769,I1772)</f>
        <v>3663852</v>
      </c>
      <c r="H1773">
        <f>CEILING((dram_access_latency+F1773/dram_bandwidth)*frequency,1)</f>
        <v>748</v>
      </c>
      <c r="I1773">
        <f>G1773+H1773</f>
        <v>3664600</v>
      </c>
      <c r="J1773">
        <f>IF(AND(D1773&lt;&gt;"dram",D1773&lt;&gt;"control"),H1773,0)</f>
        <v>0</v>
      </c>
      <c r="K1773">
        <f>IF(D1773="dram",H1773,0)</f>
        <v>748</v>
      </c>
      <c r="L1773">
        <v>44032</v>
      </c>
      <c r="M1773">
        <v>0</v>
      </c>
    </row>
    <row r="1774" spans="1:13">
      <c r="A1774">
        <v>1772</v>
      </c>
      <c r="B1774" t="s">
        <v>347</v>
      </c>
      <c r="C1774" t="s">
        <v>78</v>
      </c>
      <c r="D1774" t="s">
        <v>79</v>
      </c>
      <c r="E1774" t="s">
        <v>192</v>
      </c>
      <c r="F1774">
        <v>512</v>
      </c>
      <c r="G1774">
        <f>MAX(I1769,I1773)</f>
        <v>3664600</v>
      </c>
      <c r="H1774">
        <f>CEILING((dram_access_latency+F1774/dram_bandwidth)*frequency,1)</f>
        <v>108</v>
      </c>
      <c r="I1774">
        <f>G1774+H1774</f>
        <v>3664708</v>
      </c>
      <c r="J1774">
        <f>IF(AND(D1774&lt;&gt;"dram",D1774&lt;&gt;"control"),H1774,0)</f>
        <v>0</v>
      </c>
      <c r="K1774">
        <f>IF(D1774="dram",H1774,0)</f>
        <v>108</v>
      </c>
      <c r="L1774">
        <v>512</v>
      </c>
      <c r="M1774">
        <v>0</v>
      </c>
    </row>
    <row r="1775" spans="1:13">
      <c r="A1775">
        <v>1773</v>
      </c>
      <c r="B1775" t="s">
        <v>58</v>
      </c>
      <c r="C1775" t="s">
        <v>85</v>
      </c>
      <c r="D1775" t="s">
        <v>17</v>
      </c>
      <c r="E1775" t="s">
        <v>192</v>
      </c>
      <c r="F1775">
        <v>0</v>
      </c>
      <c r="G1775">
        <f>MAX(I1768,I1682,I1772,I1684,I1773,I1774,I1770,I1771)</f>
        <v>3686859</v>
      </c>
      <c r="H1775">
        <f>'Operations'!I25</f>
        <v>44032</v>
      </c>
      <c r="I1775">
        <f>G1775+H1775</f>
        <v>3730891</v>
      </c>
      <c r="J1775">
        <f>IF(AND(D1775&lt;&gt;"dram",D1775&lt;&gt;"control"),H1775,0)</f>
        <v>44032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348</v>
      </c>
      <c r="C1776" t="s">
        <v>82</v>
      </c>
      <c r="D1776" t="s">
        <v>83</v>
      </c>
      <c r="E1776" t="s">
        <v>192</v>
      </c>
      <c r="F1776">
        <v>0</v>
      </c>
      <c r="G1776">
        <f>MAX(I1769,I1768)</f>
        <v>3642827</v>
      </c>
      <c r="H1776">
        <f>0</f>
        <v>44032</v>
      </c>
      <c r="I1776">
        <f>G1776+H1776</f>
        <v>3686859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349</v>
      </c>
      <c r="C1777" t="s">
        <v>87</v>
      </c>
      <c r="D1777" t="s">
        <v>79</v>
      </c>
      <c r="E1777" t="s">
        <v>192</v>
      </c>
      <c r="F1777">
        <v>4</v>
      </c>
      <c r="G1777">
        <f>MAX(I1776,I1774)</f>
        <v>3686859</v>
      </c>
      <c r="H1777">
        <f>CEILING((dram_access_latency+F1777/dram_bandwidth)*frequency,1)</f>
        <v>101</v>
      </c>
      <c r="I1777">
        <f>G1777+H1777</f>
        <v>3686960</v>
      </c>
      <c r="J1777">
        <f>IF(AND(D1777&lt;&gt;"dram",D1777&lt;&gt;"control"),H1777,0)</f>
        <v>0</v>
      </c>
      <c r="K1777">
        <f>IF(D1777="dram",H1777,0)</f>
        <v>101</v>
      </c>
      <c r="L1777">
        <v>0</v>
      </c>
      <c r="M1777">
        <v>4</v>
      </c>
    </row>
    <row r="1778" spans="1:13">
      <c r="A1778">
        <v>1776</v>
      </c>
      <c r="B1778" t="s">
        <v>350</v>
      </c>
      <c r="C1778" t="s">
        <v>87</v>
      </c>
      <c r="D1778" t="s">
        <v>79</v>
      </c>
      <c r="E1778" t="s">
        <v>192</v>
      </c>
      <c r="F1778">
        <v>192</v>
      </c>
      <c r="G1778">
        <f>MAX(I1776,I1777)</f>
        <v>3686960</v>
      </c>
      <c r="H1778">
        <f>CEILING((dram_access_latency+F1778/dram_bandwidth)*frequency,1)</f>
        <v>103</v>
      </c>
      <c r="I1778">
        <f>G1778+H1778</f>
        <v>3687063</v>
      </c>
      <c r="J1778">
        <f>IF(AND(D1778&lt;&gt;"dram",D1778&lt;&gt;"control"),H1778,0)</f>
        <v>0</v>
      </c>
      <c r="K1778">
        <f>IF(D1778="dram",H1778,0)</f>
        <v>103</v>
      </c>
      <c r="L1778">
        <v>0</v>
      </c>
      <c r="M1778">
        <v>192</v>
      </c>
    </row>
    <row r="1779" spans="1:13">
      <c r="A1779">
        <v>1777</v>
      </c>
      <c r="B1779" t="s">
        <v>344</v>
      </c>
      <c r="C1779" t="s">
        <v>78</v>
      </c>
      <c r="D1779" t="s">
        <v>79</v>
      </c>
      <c r="E1779" t="s">
        <v>193</v>
      </c>
      <c r="F1779">
        <v>1409024</v>
      </c>
      <c r="G1779">
        <f>MAX(I1776,I1778)</f>
        <v>3687063</v>
      </c>
      <c r="H1779">
        <f>CEILING((dram_access_latency+F1779/dram_bandwidth)*frequency,1)</f>
        <v>20821</v>
      </c>
      <c r="I1779">
        <f>G1779+H1779</f>
        <v>3707884</v>
      </c>
      <c r="J1779">
        <f>IF(AND(D1779&lt;&gt;"dram",D1779&lt;&gt;"control"),H1779,0)</f>
        <v>0</v>
      </c>
      <c r="K1779">
        <f>IF(D1779="dram",H1779,0)</f>
        <v>20821</v>
      </c>
      <c r="L1779">
        <v>1409024</v>
      </c>
      <c r="M1779">
        <v>0</v>
      </c>
    </row>
    <row r="1780" spans="1:13">
      <c r="A1780">
        <v>1778</v>
      </c>
      <c r="B1780" t="s">
        <v>346</v>
      </c>
      <c r="C1780" t="s">
        <v>78</v>
      </c>
      <c r="D1780" t="s">
        <v>79</v>
      </c>
      <c r="E1780" t="s">
        <v>193</v>
      </c>
      <c r="F1780">
        <v>44032</v>
      </c>
      <c r="G1780">
        <f>MAX(I1776,I1779)</f>
        <v>3707884</v>
      </c>
      <c r="H1780">
        <f>CEILING((dram_access_latency+F1780/dram_bandwidth)*frequency,1)</f>
        <v>748</v>
      </c>
      <c r="I1780">
        <f>G1780+H1780</f>
        <v>3708632</v>
      </c>
      <c r="J1780">
        <f>IF(AND(D1780&lt;&gt;"dram",D1780&lt;&gt;"control"),H1780,0)</f>
        <v>0</v>
      </c>
      <c r="K1780">
        <f>IF(D1780="dram",H1780,0)</f>
        <v>748</v>
      </c>
      <c r="L1780">
        <v>44032</v>
      </c>
      <c r="M1780">
        <v>0</v>
      </c>
    </row>
    <row r="1781" spans="1:13">
      <c r="A1781">
        <v>1779</v>
      </c>
      <c r="B1781" t="s">
        <v>347</v>
      </c>
      <c r="C1781" t="s">
        <v>78</v>
      </c>
      <c r="D1781" t="s">
        <v>79</v>
      </c>
      <c r="E1781" t="s">
        <v>193</v>
      </c>
      <c r="F1781">
        <v>512</v>
      </c>
      <c r="G1781">
        <f>MAX(I1776,I1780)</f>
        <v>3708632</v>
      </c>
      <c r="H1781">
        <f>CEILING((dram_access_latency+F1781/dram_bandwidth)*frequency,1)</f>
        <v>108</v>
      </c>
      <c r="I1781">
        <f>G1781+H1781</f>
        <v>3708740</v>
      </c>
      <c r="J1781">
        <f>IF(AND(D1781&lt;&gt;"dram",D1781&lt;&gt;"control"),H1781,0)</f>
        <v>0</v>
      </c>
      <c r="K1781">
        <f>IF(D1781="dram",H1781,0)</f>
        <v>108</v>
      </c>
      <c r="L1781">
        <v>512</v>
      </c>
      <c r="M1781">
        <v>0</v>
      </c>
    </row>
    <row r="1782" spans="1:13">
      <c r="A1782">
        <v>1780</v>
      </c>
      <c r="B1782" t="s">
        <v>58</v>
      </c>
      <c r="C1782" t="s">
        <v>85</v>
      </c>
      <c r="D1782" t="s">
        <v>17</v>
      </c>
      <c r="E1782" t="s">
        <v>193</v>
      </c>
      <c r="F1782">
        <v>0</v>
      </c>
      <c r="G1782">
        <f>MAX(I1775,I1682,I1779,I1684,I1780,I1781,I1777,I1778)</f>
        <v>3730891</v>
      </c>
      <c r="H1782">
        <f>'Operations'!I25</f>
        <v>44032</v>
      </c>
      <c r="I1782">
        <f>G1782+H1782</f>
        <v>3774923</v>
      </c>
      <c r="J1782">
        <f>IF(AND(D1782&lt;&gt;"dram",D1782&lt;&gt;"control"),H1782,0)</f>
        <v>44032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348</v>
      </c>
      <c r="C1783" t="s">
        <v>82</v>
      </c>
      <c r="D1783" t="s">
        <v>83</v>
      </c>
      <c r="E1783" t="s">
        <v>193</v>
      </c>
      <c r="F1783">
        <v>0</v>
      </c>
      <c r="G1783">
        <f>MAX(I1776,I1775)</f>
        <v>3686859</v>
      </c>
      <c r="H1783">
        <f>0</f>
        <v>44032</v>
      </c>
      <c r="I1783">
        <f>G1783+H1783</f>
        <v>3730891</v>
      </c>
      <c r="J1783">
        <f>IF(AND(D1783&lt;&gt;"dram",D1783&lt;&gt;"control"),H1783,0)</f>
        <v>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349</v>
      </c>
      <c r="C1784" t="s">
        <v>87</v>
      </c>
      <c r="D1784" t="s">
        <v>79</v>
      </c>
      <c r="E1784" t="s">
        <v>193</v>
      </c>
      <c r="F1784">
        <v>4</v>
      </c>
      <c r="G1784">
        <f>MAX(I1783,I1781)</f>
        <v>3730891</v>
      </c>
      <c r="H1784">
        <f>CEILING((dram_access_latency+F1784/dram_bandwidth)*frequency,1)</f>
        <v>101</v>
      </c>
      <c r="I1784">
        <f>G1784+H1784</f>
        <v>3730992</v>
      </c>
      <c r="J1784">
        <f>IF(AND(D1784&lt;&gt;"dram",D1784&lt;&gt;"control"),H1784,0)</f>
        <v>0</v>
      </c>
      <c r="K1784">
        <f>IF(D1784="dram",H1784,0)</f>
        <v>101</v>
      </c>
      <c r="L1784">
        <v>0</v>
      </c>
      <c r="M1784">
        <v>4</v>
      </c>
    </row>
    <row r="1785" spans="1:13">
      <c r="A1785">
        <v>1783</v>
      </c>
      <c r="B1785" t="s">
        <v>350</v>
      </c>
      <c r="C1785" t="s">
        <v>87</v>
      </c>
      <c r="D1785" t="s">
        <v>79</v>
      </c>
      <c r="E1785" t="s">
        <v>193</v>
      </c>
      <c r="F1785">
        <v>192</v>
      </c>
      <c r="G1785">
        <f>MAX(I1783,I1784)</f>
        <v>3730992</v>
      </c>
      <c r="H1785">
        <f>CEILING((dram_access_latency+F1785/dram_bandwidth)*frequency,1)</f>
        <v>103</v>
      </c>
      <c r="I1785">
        <f>G1785+H1785</f>
        <v>3731095</v>
      </c>
      <c r="J1785">
        <f>IF(AND(D1785&lt;&gt;"dram",D1785&lt;&gt;"control"),H1785,0)</f>
        <v>0</v>
      </c>
      <c r="K1785">
        <f>IF(D1785="dram",H1785,0)</f>
        <v>103</v>
      </c>
      <c r="L1785">
        <v>0</v>
      </c>
      <c r="M1785">
        <v>192</v>
      </c>
    </row>
    <row r="1786" spans="1:13">
      <c r="A1786">
        <v>1784</v>
      </c>
      <c r="B1786" t="s">
        <v>344</v>
      </c>
      <c r="C1786" t="s">
        <v>78</v>
      </c>
      <c r="D1786" t="s">
        <v>79</v>
      </c>
      <c r="E1786" t="s">
        <v>194</v>
      </c>
      <c r="F1786">
        <v>1409024</v>
      </c>
      <c r="G1786">
        <f>MAX(I1783,I1785)</f>
        <v>3731095</v>
      </c>
      <c r="H1786">
        <f>CEILING((dram_access_latency+F1786/dram_bandwidth)*frequency,1)</f>
        <v>20821</v>
      </c>
      <c r="I1786">
        <f>G1786+H1786</f>
        <v>3751916</v>
      </c>
      <c r="J1786">
        <f>IF(AND(D1786&lt;&gt;"dram",D1786&lt;&gt;"control"),H1786,0)</f>
        <v>0</v>
      </c>
      <c r="K1786">
        <f>IF(D1786="dram",H1786,0)</f>
        <v>20821</v>
      </c>
      <c r="L1786">
        <v>1409024</v>
      </c>
      <c r="M1786">
        <v>0</v>
      </c>
    </row>
    <row r="1787" spans="1:13">
      <c r="A1787">
        <v>1785</v>
      </c>
      <c r="B1787" t="s">
        <v>346</v>
      </c>
      <c r="C1787" t="s">
        <v>78</v>
      </c>
      <c r="D1787" t="s">
        <v>79</v>
      </c>
      <c r="E1787" t="s">
        <v>194</v>
      </c>
      <c r="F1787">
        <v>44032</v>
      </c>
      <c r="G1787">
        <f>MAX(I1783,I1786)</f>
        <v>3751916</v>
      </c>
      <c r="H1787">
        <f>CEILING((dram_access_latency+F1787/dram_bandwidth)*frequency,1)</f>
        <v>748</v>
      </c>
      <c r="I1787">
        <f>G1787+H1787</f>
        <v>3752664</v>
      </c>
      <c r="J1787">
        <f>IF(AND(D1787&lt;&gt;"dram",D1787&lt;&gt;"control"),H1787,0)</f>
        <v>0</v>
      </c>
      <c r="K1787">
        <f>IF(D1787="dram",H1787,0)</f>
        <v>748</v>
      </c>
      <c r="L1787">
        <v>44032</v>
      </c>
      <c r="M1787">
        <v>0</v>
      </c>
    </row>
    <row r="1788" spans="1:13">
      <c r="A1788">
        <v>1786</v>
      </c>
      <c r="B1788" t="s">
        <v>347</v>
      </c>
      <c r="C1788" t="s">
        <v>78</v>
      </c>
      <c r="D1788" t="s">
        <v>79</v>
      </c>
      <c r="E1788" t="s">
        <v>194</v>
      </c>
      <c r="F1788">
        <v>512</v>
      </c>
      <c r="G1788">
        <f>MAX(I1783,I1787)</f>
        <v>3752664</v>
      </c>
      <c r="H1788">
        <f>CEILING((dram_access_latency+F1788/dram_bandwidth)*frequency,1)</f>
        <v>108</v>
      </c>
      <c r="I1788">
        <f>G1788+H1788</f>
        <v>3752772</v>
      </c>
      <c r="J1788">
        <f>IF(AND(D1788&lt;&gt;"dram",D1788&lt;&gt;"control"),H1788,0)</f>
        <v>0</v>
      </c>
      <c r="K1788">
        <f>IF(D1788="dram",H1788,0)</f>
        <v>108</v>
      </c>
      <c r="L1788">
        <v>512</v>
      </c>
      <c r="M1788">
        <v>0</v>
      </c>
    </row>
    <row r="1789" spans="1:13">
      <c r="A1789">
        <v>1787</v>
      </c>
      <c r="B1789" t="s">
        <v>58</v>
      </c>
      <c r="C1789" t="s">
        <v>85</v>
      </c>
      <c r="D1789" t="s">
        <v>17</v>
      </c>
      <c r="E1789" t="s">
        <v>194</v>
      </c>
      <c r="F1789">
        <v>0</v>
      </c>
      <c r="G1789">
        <f>MAX(I1782,I1682,I1786,I1684,I1787,I1788,I1784,I1785)</f>
        <v>3774923</v>
      </c>
      <c r="H1789">
        <f>'Operations'!I25</f>
        <v>44032</v>
      </c>
      <c r="I1789">
        <f>G1789+H1789</f>
        <v>3818955</v>
      </c>
      <c r="J1789">
        <f>IF(AND(D1789&lt;&gt;"dram",D1789&lt;&gt;"control"),H1789,0)</f>
        <v>44032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348</v>
      </c>
      <c r="C1790" t="s">
        <v>82</v>
      </c>
      <c r="D1790" t="s">
        <v>83</v>
      </c>
      <c r="E1790" t="s">
        <v>194</v>
      </c>
      <c r="F1790">
        <v>0</v>
      </c>
      <c r="G1790">
        <f>MAX(I1783,I1782)</f>
        <v>3730891</v>
      </c>
      <c r="H1790">
        <f>0</f>
        <v>44032</v>
      </c>
      <c r="I1790">
        <f>G1790+H1790</f>
        <v>3774923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349</v>
      </c>
      <c r="C1791" t="s">
        <v>87</v>
      </c>
      <c r="D1791" t="s">
        <v>79</v>
      </c>
      <c r="E1791" t="s">
        <v>194</v>
      </c>
      <c r="F1791">
        <v>4</v>
      </c>
      <c r="G1791">
        <f>MAX(I1790,I1788)</f>
        <v>3774923</v>
      </c>
      <c r="H1791">
        <f>CEILING((dram_access_latency+F1791/dram_bandwidth)*frequency,1)</f>
        <v>101</v>
      </c>
      <c r="I1791">
        <f>G1791+H1791</f>
        <v>3775024</v>
      </c>
      <c r="J1791">
        <f>IF(AND(D1791&lt;&gt;"dram",D1791&lt;&gt;"control"),H1791,0)</f>
        <v>0</v>
      </c>
      <c r="K1791">
        <f>IF(D1791="dram",H1791,0)</f>
        <v>101</v>
      </c>
      <c r="L1791">
        <v>0</v>
      </c>
      <c r="M1791">
        <v>4</v>
      </c>
    </row>
    <row r="1792" spans="1:13">
      <c r="A1792">
        <v>1790</v>
      </c>
      <c r="B1792" t="s">
        <v>350</v>
      </c>
      <c r="C1792" t="s">
        <v>87</v>
      </c>
      <c r="D1792" t="s">
        <v>79</v>
      </c>
      <c r="E1792" t="s">
        <v>194</v>
      </c>
      <c r="F1792">
        <v>192</v>
      </c>
      <c r="G1792">
        <f>MAX(I1790,I1791)</f>
        <v>3775024</v>
      </c>
      <c r="H1792">
        <f>CEILING((dram_access_latency+F1792/dram_bandwidth)*frequency,1)</f>
        <v>103</v>
      </c>
      <c r="I1792">
        <f>G1792+H1792</f>
        <v>3775127</v>
      </c>
      <c r="J1792">
        <f>IF(AND(D1792&lt;&gt;"dram",D1792&lt;&gt;"control"),H1792,0)</f>
        <v>0</v>
      </c>
      <c r="K1792">
        <f>IF(D1792="dram",H1792,0)</f>
        <v>103</v>
      </c>
      <c r="L1792">
        <v>0</v>
      </c>
      <c r="M1792">
        <v>192</v>
      </c>
    </row>
    <row r="1793" spans="1:13">
      <c r="A1793">
        <v>1791</v>
      </c>
      <c r="B1793" t="s">
        <v>351</v>
      </c>
      <c r="C1793" t="s">
        <v>82</v>
      </c>
      <c r="D1793" t="s">
        <v>83</v>
      </c>
      <c r="E1793" t="s">
        <v>80</v>
      </c>
      <c r="F1793">
        <v>0</v>
      </c>
      <c r="G1793">
        <f>MAX(I1790,I1789)</f>
        <v>3774923</v>
      </c>
      <c r="H1793">
        <f>0</f>
        <v>44032</v>
      </c>
      <c r="I1793">
        <f>G1793+H1793</f>
        <v>3818955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352</v>
      </c>
      <c r="C1794" t="s">
        <v>87</v>
      </c>
      <c r="D1794" t="s">
        <v>79</v>
      </c>
      <c r="E1794" t="s">
        <v>80</v>
      </c>
      <c r="F1794">
        <v>4</v>
      </c>
      <c r="G1794">
        <f>MAX(I1793,I1792)</f>
        <v>3818955</v>
      </c>
      <c r="H1794">
        <f>CEILING((dram_access_latency+F1794/dram_bandwidth)*frequency,1)</f>
        <v>101</v>
      </c>
      <c r="I1794">
        <f>G1794+H1794</f>
        <v>3819056</v>
      </c>
      <c r="J1794">
        <f>IF(AND(D1794&lt;&gt;"dram",D1794&lt;&gt;"control"),H1794,0)</f>
        <v>0</v>
      </c>
      <c r="K1794">
        <f>IF(D1794="dram",H1794,0)</f>
        <v>101</v>
      </c>
      <c r="L1794">
        <v>0</v>
      </c>
      <c r="M1794">
        <v>4</v>
      </c>
    </row>
    <row r="1795" spans="1:13">
      <c r="A1795">
        <v>1793</v>
      </c>
      <c r="B1795" t="s">
        <v>353</v>
      </c>
      <c r="C1795" t="s">
        <v>87</v>
      </c>
      <c r="D1795" t="s">
        <v>79</v>
      </c>
      <c r="E1795" t="s">
        <v>80</v>
      </c>
      <c r="F1795">
        <v>192</v>
      </c>
      <c r="G1795">
        <f>MAX(I1793,I1794)</f>
        <v>3819056</v>
      </c>
      <c r="H1795">
        <f>CEILING((dram_access_latency+F1795/dram_bandwidth)*frequency,1)</f>
        <v>103</v>
      </c>
      <c r="I1795">
        <f>G1795+H1795</f>
        <v>3819159</v>
      </c>
      <c r="J1795">
        <f>IF(AND(D1795&lt;&gt;"dram",D1795&lt;&gt;"control"),H1795,0)</f>
        <v>0</v>
      </c>
      <c r="K1795">
        <f>IF(D1795="dram",H1795,0)</f>
        <v>103</v>
      </c>
      <c r="L1795">
        <v>0</v>
      </c>
      <c r="M1795">
        <v>192</v>
      </c>
    </row>
    <row r="1796" spans="1:13">
      <c r="A1796">
        <v>1794</v>
      </c>
      <c r="B1796" t="s">
        <v>354</v>
      </c>
      <c r="C1796" t="s">
        <v>82</v>
      </c>
      <c r="D1796" t="s">
        <v>83</v>
      </c>
      <c r="E1796" t="s">
        <v>80</v>
      </c>
      <c r="F1796">
        <v>0</v>
      </c>
      <c r="G1796">
        <f>MAX(I1793,I1791)</f>
        <v>3818955</v>
      </c>
      <c r="H1796">
        <f>0</f>
        <v>0</v>
      </c>
      <c r="I1796">
        <f>G1796+H1796</f>
        <v>3818955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355</v>
      </c>
      <c r="C1797" t="s">
        <v>82</v>
      </c>
      <c r="D1797" t="s">
        <v>83</v>
      </c>
      <c r="E1797" t="s">
        <v>80</v>
      </c>
      <c r="F1797">
        <v>0</v>
      </c>
      <c r="G1797">
        <f>MAX(I1796,I1794)</f>
        <v>3818955</v>
      </c>
      <c r="H1797">
        <f>0</f>
        <v>101</v>
      </c>
      <c r="I1797">
        <f>G1797+H1797</f>
        <v>3819056</v>
      </c>
      <c r="J1797">
        <f>IF(AND(D1797&lt;&gt;"dram",D1797&lt;&gt;"control"),H1797,0)</f>
        <v>0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356</v>
      </c>
      <c r="C1798" t="s">
        <v>82</v>
      </c>
      <c r="D1798" t="s">
        <v>83</v>
      </c>
      <c r="E1798" t="s">
        <v>80</v>
      </c>
      <c r="F1798">
        <v>0</v>
      </c>
      <c r="G1798">
        <f>MAX(I1797,I1792)</f>
        <v>3819056</v>
      </c>
      <c r="H1798">
        <f>0</f>
        <v>0</v>
      </c>
      <c r="I1798">
        <f>G1798+H1798</f>
        <v>3819056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357</v>
      </c>
      <c r="C1799" t="s">
        <v>82</v>
      </c>
      <c r="D1799" t="s">
        <v>83</v>
      </c>
      <c r="E1799" t="s">
        <v>80</v>
      </c>
      <c r="F1799">
        <v>0</v>
      </c>
      <c r="G1799">
        <f>MAX(I1798,I1795)</f>
        <v>3819056</v>
      </c>
      <c r="H1799">
        <f>0</f>
        <v>103</v>
      </c>
      <c r="I1799">
        <f>G1799+H1799</f>
        <v>3819159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358</v>
      </c>
      <c r="C1800" t="s">
        <v>78</v>
      </c>
      <c r="D1800" t="s">
        <v>79</v>
      </c>
      <c r="E1800" t="s">
        <v>84</v>
      </c>
      <c r="F1800">
        <v>3072</v>
      </c>
      <c r="G1800">
        <f>MAX(I1799,I1795)</f>
        <v>3819159</v>
      </c>
      <c r="H1800">
        <f>CEILING((dram_access_latency+F1800/dram_bandwidth)*frequency,1)</f>
        <v>146</v>
      </c>
      <c r="I1800">
        <f>G1800+H1800</f>
        <v>3819305</v>
      </c>
      <c r="J1800">
        <f>IF(AND(D1800&lt;&gt;"dram",D1800&lt;&gt;"control"),H1800,0)</f>
        <v>0</v>
      </c>
      <c r="K1800">
        <f>IF(D1800="dram",H1800,0)</f>
        <v>146</v>
      </c>
      <c r="L1800">
        <v>3072</v>
      </c>
      <c r="M1800">
        <v>0</v>
      </c>
    </row>
    <row r="1801" spans="1:13">
      <c r="A1801">
        <v>1799</v>
      </c>
      <c r="B1801" t="s">
        <v>359</v>
      </c>
      <c r="C1801" t="s">
        <v>78</v>
      </c>
      <c r="D1801" t="s">
        <v>79</v>
      </c>
      <c r="E1801" t="s">
        <v>84</v>
      </c>
      <c r="F1801">
        <v>1310720</v>
      </c>
      <c r="G1801">
        <f>MAX(I1799,I1800)</f>
        <v>3819305</v>
      </c>
      <c r="H1801">
        <f>CEILING((dram_access_latency+F1801/dram_bandwidth)*frequency,1)</f>
        <v>19376</v>
      </c>
      <c r="I1801">
        <f>G1801+H1801</f>
        <v>3838681</v>
      </c>
      <c r="J1801">
        <f>IF(AND(D1801&lt;&gt;"dram",D1801&lt;&gt;"control"),H1801,0)</f>
        <v>0</v>
      </c>
      <c r="K1801">
        <f>IF(D1801="dram",H1801,0)</f>
        <v>19376</v>
      </c>
      <c r="L1801">
        <v>1310720</v>
      </c>
      <c r="M1801">
        <v>0</v>
      </c>
    </row>
    <row r="1802" spans="1:13">
      <c r="A1802">
        <v>1800</v>
      </c>
      <c r="B1802" t="s">
        <v>360</v>
      </c>
      <c r="C1802" t="s">
        <v>78</v>
      </c>
      <c r="D1802" t="s">
        <v>79</v>
      </c>
      <c r="E1802" t="s">
        <v>84</v>
      </c>
      <c r="F1802">
        <v>64</v>
      </c>
      <c r="G1802">
        <f>MAX(I1799,I1801)</f>
        <v>3838681</v>
      </c>
      <c r="H1802">
        <f>CEILING((dram_access_latency+F1802/dram_bandwidth)*frequency,1)</f>
        <v>101</v>
      </c>
      <c r="I1802">
        <f>G1802+H1802</f>
        <v>3838782</v>
      </c>
      <c r="J1802">
        <f>IF(AND(D1802&lt;&gt;"dram",D1802&lt;&gt;"control"),H1802,0)</f>
        <v>0</v>
      </c>
      <c r="K1802">
        <f>IF(D1802="dram",H1802,0)</f>
        <v>101</v>
      </c>
      <c r="L1802">
        <v>64</v>
      </c>
      <c r="M1802">
        <v>0</v>
      </c>
    </row>
    <row r="1803" spans="1:13">
      <c r="A1803">
        <v>1801</v>
      </c>
      <c r="B1803" t="s">
        <v>361</v>
      </c>
      <c r="C1803" t="s">
        <v>78</v>
      </c>
      <c r="D1803" t="s">
        <v>79</v>
      </c>
      <c r="E1803" t="s">
        <v>84</v>
      </c>
      <c r="F1803">
        <v>40960</v>
      </c>
      <c r="G1803">
        <f>MAX(I1799,I1802)</f>
        <v>3838782</v>
      </c>
      <c r="H1803">
        <f>CEILING((dram_access_latency+F1803/dram_bandwidth)*frequency,1)</f>
        <v>703</v>
      </c>
      <c r="I1803">
        <f>G1803+H1803</f>
        <v>3839485</v>
      </c>
      <c r="J1803">
        <f>IF(AND(D1803&lt;&gt;"dram",D1803&lt;&gt;"control"),H1803,0)</f>
        <v>0</v>
      </c>
      <c r="K1803">
        <f>IF(D1803="dram",H1803,0)</f>
        <v>703</v>
      </c>
      <c r="L1803">
        <v>40960</v>
      </c>
      <c r="M1803">
        <v>0</v>
      </c>
    </row>
    <row r="1804" spans="1:13">
      <c r="A1804">
        <v>1802</v>
      </c>
      <c r="B1804" t="s">
        <v>61</v>
      </c>
      <c r="C1804" t="s">
        <v>85</v>
      </c>
      <c r="D1804" t="s">
        <v>17</v>
      </c>
      <c r="E1804" t="s">
        <v>84</v>
      </c>
      <c r="F1804">
        <v>0</v>
      </c>
      <c r="G1804">
        <f>MAX(I1789,I1800,I1801,I1802,I1803)</f>
        <v>3839485</v>
      </c>
      <c r="H1804">
        <f>'Operations'!I26</f>
        <v>40960</v>
      </c>
      <c r="I1804">
        <f>G1804+H1804</f>
        <v>3880445</v>
      </c>
      <c r="J1804">
        <f>IF(AND(D1804&lt;&gt;"dram",D1804&lt;&gt;"control"),H1804,0)</f>
        <v>40960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359</v>
      </c>
      <c r="C1805" t="s">
        <v>78</v>
      </c>
      <c r="D1805" t="s">
        <v>79</v>
      </c>
      <c r="E1805" t="s">
        <v>101</v>
      </c>
      <c r="F1805">
        <v>1310720</v>
      </c>
      <c r="G1805">
        <f>MAX(I1799,I1803)</f>
        <v>3839485</v>
      </c>
      <c r="H1805">
        <f>CEILING((dram_access_latency+F1805/dram_bandwidth)*frequency,1)</f>
        <v>19376</v>
      </c>
      <c r="I1805">
        <f>G1805+H1805</f>
        <v>3858861</v>
      </c>
      <c r="J1805">
        <f>IF(AND(D1805&lt;&gt;"dram",D1805&lt;&gt;"control"),H1805,0)</f>
        <v>0</v>
      </c>
      <c r="K1805">
        <f>IF(D1805="dram",H1805,0)</f>
        <v>19376</v>
      </c>
      <c r="L1805">
        <v>1310720</v>
      </c>
      <c r="M1805">
        <v>0</v>
      </c>
    </row>
    <row r="1806" spans="1:13">
      <c r="A1806">
        <v>1804</v>
      </c>
      <c r="B1806" t="s">
        <v>361</v>
      </c>
      <c r="C1806" t="s">
        <v>78</v>
      </c>
      <c r="D1806" t="s">
        <v>79</v>
      </c>
      <c r="E1806" t="s">
        <v>101</v>
      </c>
      <c r="F1806">
        <v>40960</v>
      </c>
      <c r="G1806">
        <f>MAX(I1799,I1805)</f>
        <v>3858861</v>
      </c>
      <c r="H1806">
        <f>CEILING((dram_access_latency+F1806/dram_bandwidth)*frequency,1)</f>
        <v>703</v>
      </c>
      <c r="I1806">
        <f>G1806+H1806</f>
        <v>3859564</v>
      </c>
      <c r="J1806">
        <f>IF(AND(D1806&lt;&gt;"dram",D1806&lt;&gt;"control"),H1806,0)</f>
        <v>0</v>
      </c>
      <c r="K1806">
        <f>IF(D1806="dram",H1806,0)</f>
        <v>703</v>
      </c>
      <c r="L1806">
        <v>40960</v>
      </c>
      <c r="M1806">
        <v>0</v>
      </c>
    </row>
    <row r="1807" spans="1:13">
      <c r="A1807">
        <v>1805</v>
      </c>
      <c r="B1807" t="s">
        <v>61</v>
      </c>
      <c r="C1807" t="s">
        <v>85</v>
      </c>
      <c r="D1807" t="s">
        <v>17</v>
      </c>
      <c r="E1807" t="s">
        <v>101</v>
      </c>
      <c r="F1807">
        <v>0</v>
      </c>
      <c r="G1807">
        <f>MAX(I1804,I1800,I1805,I1802,I1806)</f>
        <v>3880445</v>
      </c>
      <c r="H1807">
        <f>'Operations'!I26</f>
        <v>40960</v>
      </c>
      <c r="I1807">
        <f>G1807+H1807</f>
        <v>3921405</v>
      </c>
      <c r="J1807">
        <f>IF(AND(D1807&lt;&gt;"dram",D1807&lt;&gt;"control"),H1807,0)</f>
        <v>40960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362</v>
      </c>
      <c r="C1808" t="s">
        <v>82</v>
      </c>
      <c r="D1808" t="s">
        <v>83</v>
      </c>
      <c r="E1808" t="s">
        <v>101</v>
      </c>
      <c r="F1808">
        <v>0</v>
      </c>
      <c r="G1808">
        <f>MAX(I1799,I1804)</f>
        <v>3819159</v>
      </c>
      <c r="H1808">
        <f>0</f>
        <v>61286</v>
      </c>
      <c r="I1808">
        <f>G1808+H1808</f>
        <v>3880445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363</v>
      </c>
      <c r="C1809" t="s">
        <v>87</v>
      </c>
      <c r="D1809" t="s">
        <v>79</v>
      </c>
      <c r="E1809" t="s">
        <v>101</v>
      </c>
      <c r="F1809">
        <v>1280</v>
      </c>
      <c r="G1809">
        <f>MAX(I1808,I1806)</f>
        <v>3880445</v>
      </c>
      <c r="H1809">
        <f>CEILING((dram_access_latency+F1809/dram_bandwidth)*frequency,1)</f>
        <v>119</v>
      </c>
      <c r="I1809">
        <f>G1809+H1809</f>
        <v>3880564</v>
      </c>
      <c r="J1809">
        <f>IF(AND(D1809&lt;&gt;"dram",D1809&lt;&gt;"control"),H1809,0)</f>
        <v>0</v>
      </c>
      <c r="K1809">
        <f>IF(D1809="dram",H1809,0)</f>
        <v>119</v>
      </c>
      <c r="L1809">
        <v>0</v>
      </c>
      <c r="M1809">
        <v>1280</v>
      </c>
    </row>
    <row r="1810" spans="1:13">
      <c r="A1810">
        <v>1808</v>
      </c>
      <c r="B1810" t="s">
        <v>359</v>
      </c>
      <c r="C1810" t="s">
        <v>78</v>
      </c>
      <c r="D1810" t="s">
        <v>79</v>
      </c>
      <c r="E1810" t="s">
        <v>104</v>
      </c>
      <c r="F1810">
        <v>1310720</v>
      </c>
      <c r="G1810">
        <f>MAX(I1808,I1809)</f>
        <v>3880564</v>
      </c>
      <c r="H1810">
        <f>CEILING((dram_access_latency+F1810/dram_bandwidth)*frequency,1)</f>
        <v>19376</v>
      </c>
      <c r="I1810">
        <f>G1810+H1810</f>
        <v>3899940</v>
      </c>
      <c r="J1810">
        <f>IF(AND(D1810&lt;&gt;"dram",D1810&lt;&gt;"control"),H1810,0)</f>
        <v>0</v>
      </c>
      <c r="K1810">
        <f>IF(D1810="dram",H1810,0)</f>
        <v>19376</v>
      </c>
      <c r="L1810">
        <v>1310720</v>
      </c>
      <c r="M1810">
        <v>0</v>
      </c>
    </row>
    <row r="1811" spans="1:13">
      <c r="A1811">
        <v>1809</v>
      </c>
      <c r="B1811" t="s">
        <v>361</v>
      </c>
      <c r="C1811" t="s">
        <v>78</v>
      </c>
      <c r="D1811" t="s">
        <v>79</v>
      </c>
      <c r="E1811" t="s">
        <v>104</v>
      </c>
      <c r="F1811">
        <v>40960</v>
      </c>
      <c r="G1811">
        <f>MAX(I1808,I1810)</f>
        <v>3899940</v>
      </c>
      <c r="H1811">
        <f>CEILING((dram_access_latency+F1811/dram_bandwidth)*frequency,1)</f>
        <v>703</v>
      </c>
      <c r="I1811">
        <f>G1811+H1811</f>
        <v>3900643</v>
      </c>
      <c r="J1811">
        <f>IF(AND(D1811&lt;&gt;"dram",D1811&lt;&gt;"control"),H1811,0)</f>
        <v>0</v>
      </c>
      <c r="K1811">
        <f>IF(D1811="dram",H1811,0)</f>
        <v>703</v>
      </c>
      <c r="L1811">
        <v>40960</v>
      </c>
      <c r="M1811">
        <v>0</v>
      </c>
    </row>
    <row r="1812" spans="1:13">
      <c r="A1812">
        <v>1810</v>
      </c>
      <c r="B1812" t="s">
        <v>61</v>
      </c>
      <c r="C1812" t="s">
        <v>85</v>
      </c>
      <c r="D1812" t="s">
        <v>17</v>
      </c>
      <c r="E1812" t="s">
        <v>104</v>
      </c>
      <c r="F1812">
        <v>0</v>
      </c>
      <c r="G1812">
        <f>MAX(I1807,I1800,I1810,I1802,I1811,I1809)</f>
        <v>3921405</v>
      </c>
      <c r="H1812">
        <f>'Operations'!I26</f>
        <v>40960</v>
      </c>
      <c r="I1812">
        <f>G1812+H1812</f>
        <v>3962365</v>
      </c>
      <c r="J1812">
        <f>IF(AND(D1812&lt;&gt;"dram",D1812&lt;&gt;"control"),H1812,0)</f>
        <v>40960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362</v>
      </c>
      <c r="C1813" t="s">
        <v>82</v>
      </c>
      <c r="D1813" t="s">
        <v>83</v>
      </c>
      <c r="E1813" t="s">
        <v>104</v>
      </c>
      <c r="F1813">
        <v>0</v>
      </c>
      <c r="G1813">
        <f>MAX(I1808,I1807)</f>
        <v>3880445</v>
      </c>
      <c r="H1813">
        <f>0</f>
        <v>40960</v>
      </c>
      <c r="I1813">
        <f>G1813+H1813</f>
        <v>3921405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363</v>
      </c>
      <c r="C1814" t="s">
        <v>87</v>
      </c>
      <c r="D1814" t="s">
        <v>79</v>
      </c>
      <c r="E1814" t="s">
        <v>104</v>
      </c>
      <c r="F1814">
        <v>1280</v>
      </c>
      <c r="G1814">
        <f>MAX(I1813,I1811)</f>
        <v>3921405</v>
      </c>
      <c r="H1814">
        <f>CEILING((dram_access_latency+F1814/dram_bandwidth)*frequency,1)</f>
        <v>119</v>
      </c>
      <c r="I1814">
        <f>G1814+H1814</f>
        <v>3921524</v>
      </c>
      <c r="J1814">
        <f>IF(AND(D1814&lt;&gt;"dram",D1814&lt;&gt;"control"),H1814,0)</f>
        <v>0</v>
      </c>
      <c r="K1814">
        <f>IF(D1814="dram",H1814,0)</f>
        <v>119</v>
      </c>
      <c r="L1814">
        <v>0</v>
      </c>
      <c r="M1814">
        <v>1280</v>
      </c>
    </row>
    <row r="1815" spans="1:13">
      <c r="A1815">
        <v>1813</v>
      </c>
      <c r="B1815" t="s">
        <v>359</v>
      </c>
      <c r="C1815" t="s">
        <v>78</v>
      </c>
      <c r="D1815" t="s">
        <v>79</v>
      </c>
      <c r="E1815" t="s">
        <v>105</v>
      </c>
      <c r="F1815">
        <v>1310720</v>
      </c>
      <c r="G1815">
        <f>MAX(I1813,I1814)</f>
        <v>3921524</v>
      </c>
      <c r="H1815">
        <f>CEILING((dram_access_latency+F1815/dram_bandwidth)*frequency,1)</f>
        <v>19376</v>
      </c>
      <c r="I1815">
        <f>G1815+H1815</f>
        <v>3940900</v>
      </c>
      <c r="J1815">
        <f>IF(AND(D1815&lt;&gt;"dram",D1815&lt;&gt;"control"),H1815,0)</f>
        <v>0</v>
      </c>
      <c r="K1815">
        <f>IF(D1815="dram",H1815,0)</f>
        <v>19376</v>
      </c>
      <c r="L1815">
        <v>1310720</v>
      </c>
      <c r="M1815">
        <v>0</v>
      </c>
    </row>
    <row r="1816" spans="1:13">
      <c r="A1816">
        <v>1814</v>
      </c>
      <c r="B1816" t="s">
        <v>361</v>
      </c>
      <c r="C1816" t="s">
        <v>78</v>
      </c>
      <c r="D1816" t="s">
        <v>79</v>
      </c>
      <c r="E1816" t="s">
        <v>105</v>
      </c>
      <c r="F1816">
        <v>40960</v>
      </c>
      <c r="G1816">
        <f>MAX(I1813,I1815)</f>
        <v>3940900</v>
      </c>
      <c r="H1816">
        <f>CEILING((dram_access_latency+F1816/dram_bandwidth)*frequency,1)</f>
        <v>703</v>
      </c>
      <c r="I1816">
        <f>G1816+H1816</f>
        <v>3941603</v>
      </c>
      <c r="J1816">
        <f>IF(AND(D1816&lt;&gt;"dram",D1816&lt;&gt;"control"),H1816,0)</f>
        <v>0</v>
      </c>
      <c r="K1816">
        <f>IF(D1816="dram",H1816,0)</f>
        <v>703</v>
      </c>
      <c r="L1816">
        <v>40960</v>
      </c>
      <c r="M1816">
        <v>0</v>
      </c>
    </row>
    <row r="1817" spans="1:13">
      <c r="A1817">
        <v>1815</v>
      </c>
      <c r="B1817" t="s">
        <v>61</v>
      </c>
      <c r="C1817" t="s">
        <v>85</v>
      </c>
      <c r="D1817" t="s">
        <v>17</v>
      </c>
      <c r="E1817" t="s">
        <v>105</v>
      </c>
      <c r="F1817">
        <v>0</v>
      </c>
      <c r="G1817">
        <f>MAX(I1812,I1800,I1815,I1802,I1816,I1814)</f>
        <v>3962365</v>
      </c>
      <c r="H1817">
        <f>'Operations'!I26</f>
        <v>40960</v>
      </c>
      <c r="I1817">
        <f>G1817+H1817</f>
        <v>4003325</v>
      </c>
      <c r="J1817">
        <f>IF(AND(D1817&lt;&gt;"dram",D1817&lt;&gt;"control"),H1817,0)</f>
        <v>40960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362</v>
      </c>
      <c r="C1818" t="s">
        <v>82</v>
      </c>
      <c r="D1818" t="s">
        <v>83</v>
      </c>
      <c r="E1818" t="s">
        <v>105</v>
      </c>
      <c r="F1818">
        <v>0</v>
      </c>
      <c r="G1818">
        <f>MAX(I1813,I1812)</f>
        <v>3921405</v>
      </c>
      <c r="H1818">
        <f>0</f>
        <v>40960</v>
      </c>
      <c r="I1818">
        <f>G1818+H1818</f>
        <v>3962365</v>
      </c>
      <c r="J1818">
        <f>IF(AND(D1818&lt;&gt;"dram",D1818&lt;&gt;"control"),H1818,0)</f>
        <v>0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363</v>
      </c>
      <c r="C1819" t="s">
        <v>87</v>
      </c>
      <c r="D1819" t="s">
        <v>79</v>
      </c>
      <c r="E1819" t="s">
        <v>105</v>
      </c>
      <c r="F1819">
        <v>1280</v>
      </c>
      <c r="G1819">
        <f>MAX(I1818,I1816)</f>
        <v>3962365</v>
      </c>
      <c r="H1819">
        <f>CEILING((dram_access_latency+F1819/dram_bandwidth)*frequency,1)</f>
        <v>119</v>
      </c>
      <c r="I1819">
        <f>G1819+H1819</f>
        <v>3962484</v>
      </c>
      <c r="J1819">
        <f>IF(AND(D1819&lt;&gt;"dram",D1819&lt;&gt;"control"),H1819,0)</f>
        <v>0</v>
      </c>
      <c r="K1819">
        <f>IF(D1819="dram",H1819,0)</f>
        <v>119</v>
      </c>
      <c r="L1819">
        <v>0</v>
      </c>
      <c r="M1819">
        <v>1280</v>
      </c>
    </row>
    <row r="1820" spans="1:13">
      <c r="A1820">
        <v>1818</v>
      </c>
      <c r="B1820" t="s">
        <v>359</v>
      </c>
      <c r="C1820" t="s">
        <v>78</v>
      </c>
      <c r="D1820" t="s">
        <v>79</v>
      </c>
      <c r="E1820" t="s">
        <v>183</v>
      </c>
      <c r="F1820">
        <v>1310720</v>
      </c>
      <c r="G1820">
        <f>MAX(I1818,I1819)</f>
        <v>3962484</v>
      </c>
      <c r="H1820">
        <f>CEILING((dram_access_latency+F1820/dram_bandwidth)*frequency,1)</f>
        <v>19376</v>
      </c>
      <c r="I1820">
        <f>G1820+H1820</f>
        <v>3981860</v>
      </c>
      <c r="J1820">
        <f>IF(AND(D1820&lt;&gt;"dram",D1820&lt;&gt;"control"),H1820,0)</f>
        <v>0</v>
      </c>
      <c r="K1820">
        <f>IF(D1820="dram",H1820,0)</f>
        <v>19376</v>
      </c>
      <c r="L1820">
        <v>1310720</v>
      </c>
      <c r="M1820">
        <v>0</v>
      </c>
    </row>
    <row r="1821" spans="1:13">
      <c r="A1821">
        <v>1819</v>
      </c>
      <c r="B1821" t="s">
        <v>361</v>
      </c>
      <c r="C1821" t="s">
        <v>78</v>
      </c>
      <c r="D1821" t="s">
        <v>79</v>
      </c>
      <c r="E1821" t="s">
        <v>183</v>
      </c>
      <c r="F1821">
        <v>40960</v>
      </c>
      <c r="G1821">
        <f>MAX(I1818,I1820)</f>
        <v>3981860</v>
      </c>
      <c r="H1821">
        <f>CEILING((dram_access_latency+F1821/dram_bandwidth)*frequency,1)</f>
        <v>703</v>
      </c>
      <c r="I1821">
        <f>G1821+H1821</f>
        <v>3982563</v>
      </c>
      <c r="J1821">
        <f>IF(AND(D1821&lt;&gt;"dram",D1821&lt;&gt;"control"),H1821,0)</f>
        <v>0</v>
      </c>
      <c r="K1821">
        <f>IF(D1821="dram",H1821,0)</f>
        <v>703</v>
      </c>
      <c r="L1821">
        <v>40960</v>
      </c>
      <c r="M1821">
        <v>0</v>
      </c>
    </row>
    <row r="1822" spans="1:13">
      <c r="A1822">
        <v>1820</v>
      </c>
      <c r="B1822" t="s">
        <v>61</v>
      </c>
      <c r="C1822" t="s">
        <v>85</v>
      </c>
      <c r="D1822" t="s">
        <v>17</v>
      </c>
      <c r="E1822" t="s">
        <v>183</v>
      </c>
      <c r="F1822">
        <v>0</v>
      </c>
      <c r="G1822">
        <f>MAX(I1817,I1800,I1820,I1802,I1821,I1819)</f>
        <v>4003325</v>
      </c>
      <c r="H1822">
        <f>'Operations'!I26</f>
        <v>40960</v>
      </c>
      <c r="I1822">
        <f>G1822+H1822</f>
        <v>4044285</v>
      </c>
      <c r="J1822">
        <f>IF(AND(D1822&lt;&gt;"dram",D1822&lt;&gt;"control"),H1822,0)</f>
        <v>40960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362</v>
      </c>
      <c r="C1823" t="s">
        <v>82</v>
      </c>
      <c r="D1823" t="s">
        <v>83</v>
      </c>
      <c r="E1823" t="s">
        <v>183</v>
      </c>
      <c r="F1823">
        <v>0</v>
      </c>
      <c r="G1823">
        <f>MAX(I1818,I1817)</f>
        <v>3962365</v>
      </c>
      <c r="H1823">
        <f>0</f>
        <v>40960</v>
      </c>
      <c r="I1823">
        <f>G1823+H1823</f>
        <v>4003325</v>
      </c>
      <c r="J1823">
        <f>IF(AND(D1823&lt;&gt;"dram",D1823&lt;&gt;"control"),H1823,0)</f>
        <v>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363</v>
      </c>
      <c r="C1824" t="s">
        <v>87</v>
      </c>
      <c r="D1824" t="s">
        <v>79</v>
      </c>
      <c r="E1824" t="s">
        <v>183</v>
      </c>
      <c r="F1824">
        <v>1280</v>
      </c>
      <c r="G1824">
        <f>MAX(I1823,I1821)</f>
        <v>4003325</v>
      </c>
      <c r="H1824">
        <f>CEILING((dram_access_latency+F1824/dram_bandwidth)*frequency,1)</f>
        <v>119</v>
      </c>
      <c r="I1824">
        <f>G1824+H1824</f>
        <v>4003444</v>
      </c>
      <c r="J1824">
        <f>IF(AND(D1824&lt;&gt;"dram",D1824&lt;&gt;"control"),H1824,0)</f>
        <v>0</v>
      </c>
      <c r="K1824">
        <f>IF(D1824="dram",H1824,0)</f>
        <v>119</v>
      </c>
      <c r="L1824">
        <v>0</v>
      </c>
      <c r="M1824">
        <v>1280</v>
      </c>
    </row>
    <row r="1825" spans="1:13">
      <c r="A1825">
        <v>1823</v>
      </c>
      <c r="B1825" t="s">
        <v>359</v>
      </c>
      <c r="C1825" t="s">
        <v>78</v>
      </c>
      <c r="D1825" t="s">
        <v>79</v>
      </c>
      <c r="E1825" t="s">
        <v>184</v>
      </c>
      <c r="F1825">
        <v>1310720</v>
      </c>
      <c r="G1825">
        <f>MAX(I1823,I1824)</f>
        <v>4003444</v>
      </c>
      <c r="H1825">
        <f>CEILING((dram_access_latency+F1825/dram_bandwidth)*frequency,1)</f>
        <v>19376</v>
      </c>
      <c r="I1825">
        <f>G1825+H1825</f>
        <v>4022820</v>
      </c>
      <c r="J1825">
        <f>IF(AND(D1825&lt;&gt;"dram",D1825&lt;&gt;"control"),H1825,0)</f>
        <v>0</v>
      </c>
      <c r="K1825">
        <f>IF(D1825="dram",H1825,0)</f>
        <v>19376</v>
      </c>
      <c r="L1825">
        <v>1310720</v>
      </c>
      <c r="M1825">
        <v>0</v>
      </c>
    </row>
    <row r="1826" spans="1:13">
      <c r="A1826">
        <v>1824</v>
      </c>
      <c r="B1826" t="s">
        <v>361</v>
      </c>
      <c r="C1826" t="s">
        <v>78</v>
      </c>
      <c r="D1826" t="s">
        <v>79</v>
      </c>
      <c r="E1826" t="s">
        <v>184</v>
      </c>
      <c r="F1826">
        <v>40960</v>
      </c>
      <c r="G1826">
        <f>MAX(I1823,I1825)</f>
        <v>4022820</v>
      </c>
      <c r="H1826">
        <f>CEILING((dram_access_latency+F1826/dram_bandwidth)*frequency,1)</f>
        <v>703</v>
      </c>
      <c r="I1826">
        <f>G1826+H1826</f>
        <v>4023523</v>
      </c>
      <c r="J1826">
        <f>IF(AND(D1826&lt;&gt;"dram",D1826&lt;&gt;"control"),H1826,0)</f>
        <v>0</v>
      </c>
      <c r="K1826">
        <f>IF(D1826="dram",H1826,0)</f>
        <v>703</v>
      </c>
      <c r="L1826">
        <v>40960</v>
      </c>
      <c r="M1826">
        <v>0</v>
      </c>
    </row>
    <row r="1827" spans="1:13">
      <c r="A1827">
        <v>1825</v>
      </c>
      <c r="B1827" t="s">
        <v>61</v>
      </c>
      <c r="C1827" t="s">
        <v>85</v>
      </c>
      <c r="D1827" t="s">
        <v>17</v>
      </c>
      <c r="E1827" t="s">
        <v>184</v>
      </c>
      <c r="F1827">
        <v>0</v>
      </c>
      <c r="G1827">
        <f>MAX(I1822,I1800,I1825,I1802,I1826,I1824)</f>
        <v>4044285</v>
      </c>
      <c r="H1827">
        <f>'Operations'!I26</f>
        <v>40960</v>
      </c>
      <c r="I1827">
        <f>G1827+H1827</f>
        <v>4085245</v>
      </c>
      <c r="J1827">
        <f>IF(AND(D1827&lt;&gt;"dram",D1827&lt;&gt;"control"),H1827,0)</f>
        <v>40960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362</v>
      </c>
      <c r="C1828" t="s">
        <v>82</v>
      </c>
      <c r="D1828" t="s">
        <v>83</v>
      </c>
      <c r="E1828" t="s">
        <v>184</v>
      </c>
      <c r="F1828">
        <v>0</v>
      </c>
      <c r="G1828">
        <f>MAX(I1823,I1822)</f>
        <v>4003325</v>
      </c>
      <c r="H1828">
        <f>0</f>
        <v>40960</v>
      </c>
      <c r="I1828">
        <f>G1828+H1828</f>
        <v>4044285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363</v>
      </c>
      <c r="C1829" t="s">
        <v>87</v>
      </c>
      <c r="D1829" t="s">
        <v>79</v>
      </c>
      <c r="E1829" t="s">
        <v>184</v>
      </c>
      <c r="F1829">
        <v>1280</v>
      </c>
      <c r="G1829">
        <f>MAX(I1828,I1826)</f>
        <v>4044285</v>
      </c>
      <c r="H1829">
        <f>CEILING((dram_access_latency+F1829/dram_bandwidth)*frequency,1)</f>
        <v>119</v>
      </c>
      <c r="I1829">
        <f>G1829+H1829</f>
        <v>4044404</v>
      </c>
      <c r="J1829">
        <f>IF(AND(D1829&lt;&gt;"dram",D1829&lt;&gt;"control"),H1829,0)</f>
        <v>0</v>
      </c>
      <c r="K1829">
        <f>IF(D1829="dram",H1829,0)</f>
        <v>119</v>
      </c>
      <c r="L1829">
        <v>0</v>
      </c>
      <c r="M1829">
        <v>1280</v>
      </c>
    </row>
    <row r="1830" spans="1:13">
      <c r="A1830">
        <v>1828</v>
      </c>
      <c r="B1830" t="s">
        <v>359</v>
      </c>
      <c r="C1830" t="s">
        <v>78</v>
      </c>
      <c r="D1830" t="s">
        <v>79</v>
      </c>
      <c r="E1830" t="s">
        <v>185</v>
      </c>
      <c r="F1830">
        <v>1310720</v>
      </c>
      <c r="G1830">
        <f>MAX(I1828,I1829)</f>
        <v>4044404</v>
      </c>
      <c r="H1830">
        <f>CEILING((dram_access_latency+F1830/dram_bandwidth)*frequency,1)</f>
        <v>19376</v>
      </c>
      <c r="I1830">
        <f>G1830+H1830</f>
        <v>4063780</v>
      </c>
      <c r="J1830">
        <f>IF(AND(D1830&lt;&gt;"dram",D1830&lt;&gt;"control"),H1830,0)</f>
        <v>0</v>
      </c>
      <c r="K1830">
        <f>IF(D1830="dram",H1830,0)</f>
        <v>19376</v>
      </c>
      <c r="L1830">
        <v>1310720</v>
      </c>
      <c r="M1830">
        <v>0</v>
      </c>
    </row>
    <row r="1831" spans="1:13">
      <c r="A1831">
        <v>1829</v>
      </c>
      <c r="B1831" t="s">
        <v>361</v>
      </c>
      <c r="C1831" t="s">
        <v>78</v>
      </c>
      <c r="D1831" t="s">
        <v>79</v>
      </c>
      <c r="E1831" t="s">
        <v>185</v>
      </c>
      <c r="F1831">
        <v>40960</v>
      </c>
      <c r="G1831">
        <f>MAX(I1828,I1830)</f>
        <v>4063780</v>
      </c>
      <c r="H1831">
        <f>CEILING((dram_access_latency+F1831/dram_bandwidth)*frequency,1)</f>
        <v>703</v>
      </c>
      <c r="I1831">
        <f>G1831+H1831</f>
        <v>4064483</v>
      </c>
      <c r="J1831">
        <f>IF(AND(D1831&lt;&gt;"dram",D1831&lt;&gt;"control"),H1831,0)</f>
        <v>0</v>
      </c>
      <c r="K1831">
        <f>IF(D1831="dram",H1831,0)</f>
        <v>703</v>
      </c>
      <c r="L1831">
        <v>40960</v>
      </c>
      <c r="M1831">
        <v>0</v>
      </c>
    </row>
    <row r="1832" spans="1:13">
      <c r="A1832">
        <v>1830</v>
      </c>
      <c r="B1832" t="s">
        <v>61</v>
      </c>
      <c r="C1832" t="s">
        <v>85</v>
      </c>
      <c r="D1832" t="s">
        <v>17</v>
      </c>
      <c r="E1832" t="s">
        <v>185</v>
      </c>
      <c r="F1832">
        <v>0</v>
      </c>
      <c r="G1832">
        <f>MAX(I1827,I1800,I1830,I1802,I1831,I1829)</f>
        <v>4085245</v>
      </c>
      <c r="H1832">
        <f>'Operations'!I26</f>
        <v>40960</v>
      </c>
      <c r="I1832">
        <f>G1832+H1832</f>
        <v>4126205</v>
      </c>
      <c r="J1832">
        <f>IF(AND(D1832&lt;&gt;"dram",D1832&lt;&gt;"control"),H1832,0)</f>
        <v>40960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362</v>
      </c>
      <c r="C1833" t="s">
        <v>82</v>
      </c>
      <c r="D1833" t="s">
        <v>83</v>
      </c>
      <c r="E1833" t="s">
        <v>185</v>
      </c>
      <c r="F1833">
        <v>0</v>
      </c>
      <c r="G1833">
        <f>MAX(I1828,I1827)</f>
        <v>4044285</v>
      </c>
      <c r="H1833">
        <f>0</f>
        <v>40960</v>
      </c>
      <c r="I1833">
        <f>G1833+H1833</f>
        <v>4085245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363</v>
      </c>
      <c r="C1834" t="s">
        <v>87</v>
      </c>
      <c r="D1834" t="s">
        <v>79</v>
      </c>
      <c r="E1834" t="s">
        <v>185</v>
      </c>
      <c r="F1834">
        <v>1280</v>
      </c>
      <c r="G1834">
        <f>MAX(I1833,I1831)</f>
        <v>4085245</v>
      </c>
      <c r="H1834">
        <f>CEILING((dram_access_latency+F1834/dram_bandwidth)*frequency,1)</f>
        <v>119</v>
      </c>
      <c r="I1834">
        <f>G1834+H1834</f>
        <v>4085364</v>
      </c>
      <c r="J1834">
        <f>IF(AND(D1834&lt;&gt;"dram",D1834&lt;&gt;"control"),H1834,0)</f>
        <v>0</v>
      </c>
      <c r="K1834">
        <f>IF(D1834="dram",H1834,0)</f>
        <v>119</v>
      </c>
      <c r="L1834">
        <v>0</v>
      </c>
      <c r="M1834">
        <v>1280</v>
      </c>
    </row>
    <row r="1835" spans="1:13">
      <c r="A1835">
        <v>1833</v>
      </c>
      <c r="B1835" t="s">
        <v>359</v>
      </c>
      <c r="C1835" t="s">
        <v>78</v>
      </c>
      <c r="D1835" t="s">
        <v>79</v>
      </c>
      <c r="E1835" t="s">
        <v>186</v>
      </c>
      <c r="F1835">
        <v>1310720</v>
      </c>
      <c r="G1835">
        <f>MAX(I1833,I1834)</f>
        <v>4085364</v>
      </c>
      <c r="H1835">
        <f>CEILING((dram_access_latency+F1835/dram_bandwidth)*frequency,1)</f>
        <v>19376</v>
      </c>
      <c r="I1835">
        <f>G1835+H1835</f>
        <v>4104740</v>
      </c>
      <c r="J1835">
        <f>IF(AND(D1835&lt;&gt;"dram",D1835&lt;&gt;"control"),H1835,0)</f>
        <v>0</v>
      </c>
      <c r="K1835">
        <f>IF(D1835="dram",H1835,0)</f>
        <v>19376</v>
      </c>
      <c r="L1835">
        <v>1310720</v>
      </c>
      <c r="M1835">
        <v>0</v>
      </c>
    </row>
    <row r="1836" spans="1:13">
      <c r="A1836">
        <v>1834</v>
      </c>
      <c r="B1836" t="s">
        <v>361</v>
      </c>
      <c r="C1836" t="s">
        <v>78</v>
      </c>
      <c r="D1836" t="s">
        <v>79</v>
      </c>
      <c r="E1836" t="s">
        <v>186</v>
      </c>
      <c r="F1836">
        <v>40960</v>
      </c>
      <c r="G1836">
        <f>MAX(I1833,I1835)</f>
        <v>4104740</v>
      </c>
      <c r="H1836">
        <f>CEILING((dram_access_latency+F1836/dram_bandwidth)*frequency,1)</f>
        <v>703</v>
      </c>
      <c r="I1836">
        <f>G1836+H1836</f>
        <v>4105443</v>
      </c>
      <c r="J1836">
        <f>IF(AND(D1836&lt;&gt;"dram",D1836&lt;&gt;"control"),H1836,0)</f>
        <v>0</v>
      </c>
      <c r="K1836">
        <f>IF(D1836="dram",H1836,0)</f>
        <v>703</v>
      </c>
      <c r="L1836">
        <v>40960</v>
      </c>
      <c r="M1836">
        <v>0</v>
      </c>
    </row>
    <row r="1837" spans="1:13">
      <c r="A1837">
        <v>1835</v>
      </c>
      <c r="B1837" t="s">
        <v>61</v>
      </c>
      <c r="C1837" t="s">
        <v>85</v>
      </c>
      <c r="D1837" t="s">
        <v>17</v>
      </c>
      <c r="E1837" t="s">
        <v>186</v>
      </c>
      <c r="F1837">
        <v>0</v>
      </c>
      <c r="G1837">
        <f>MAX(I1832,I1800,I1835,I1802,I1836,I1834)</f>
        <v>4126205</v>
      </c>
      <c r="H1837">
        <f>'Operations'!I26</f>
        <v>40960</v>
      </c>
      <c r="I1837">
        <f>G1837+H1837</f>
        <v>4167165</v>
      </c>
      <c r="J1837">
        <f>IF(AND(D1837&lt;&gt;"dram",D1837&lt;&gt;"control"),H1837,0)</f>
        <v>40960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362</v>
      </c>
      <c r="C1838" t="s">
        <v>82</v>
      </c>
      <c r="D1838" t="s">
        <v>83</v>
      </c>
      <c r="E1838" t="s">
        <v>186</v>
      </c>
      <c r="F1838">
        <v>0</v>
      </c>
      <c r="G1838">
        <f>MAX(I1833,I1832)</f>
        <v>4085245</v>
      </c>
      <c r="H1838">
        <f>0</f>
        <v>40960</v>
      </c>
      <c r="I1838">
        <f>G1838+H1838</f>
        <v>4126205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363</v>
      </c>
      <c r="C1839" t="s">
        <v>87</v>
      </c>
      <c r="D1839" t="s">
        <v>79</v>
      </c>
      <c r="E1839" t="s">
        <v>186</v>
      </c>
      <c r="F1839">
        <v>1280</v>
      </c>
      <c r="G1839">
        <f>MAX(I1838,I1836)</f>
        <v>4126205</v>
      </c>
      <c r="H1839">
        <f>CEILING((dram_access_latency+F1839/dram_bandwidth)*frequency,1)</f>
        <v>119</v>
      </c>
      <c r="I1839">
        <f>G1839+H1839</f>
        <v>4126324</v>
      </c>
      <c r="J1839">
        <f>IF(AND(D1839&lt;&gt;"dram",D1839&lt;&gt;"control"),H1839,0)</f>
        <v>0</v>
      </c>
      <c r="K1839">
        <f>IF(D1839="dram",H1839,0)</f>
        <v>119</v>
      </c>
      <c r="L1839">
        <v>0</v>
      </c>
      <c r="M1839">
        <v>1280</v>
      </c>
    </row>
    <row r="1840" spans="1:13">
      <c r="A1840">
        <v>1838</v>
      </c>
      <c r="B1840" t="s">
        <v>359</v>
      </c>
      <c r="C1840" t="s">
        <v>78</v>
      </c>
      <c r="D1840" t="s">
        <v>79</v>
      </c>
      <c r="E1840" t="s">
        <v>187</v>
      </c>
      <c r="F1840">
        <v>1310720</v>
      </c>
      <c r="G1840">
        <f>MAX(I1838,I1839)</f>
        <v>4126324</v>
      </c>
      <c r="H1840">
        <f>CEILING((dram_access_latency+F1840/dram_bandwidth)*frequency,1)</f>
        <v>19376</v>
      </c>
      <c r="I1840">
        <f>G1840+H1840</f>
        <v>4145700</v>
      </c>
      <c r="J1840">
        <f>IF(AND(D1840&lt;&gt;"dram",D1840&lt;&gt;"control"),H1840,0)</f>
        <v>0</v>
      </c>
      <c r="K1840">
        <f>IF(D1840="dram",H1840,0)</f>
        <v>19376</v>
      </c>
      <c r="L1840">
        <v>1310720</v>
      </c>
      <c r="M1840">
        <v>0</v>
      </c>
    </row>
    <row r="1841" spans="1:13">
      <c r="A1841">
        <v>1839</v>
      </c>
      <c r="B1841" t="s">
        <v>361</v>
      </c>
      <c r="C1841" t="s">
        <v>78</v>
      </c>
      <c r="D1841" t="s">
        <v>79</v>
      </c>
      <c r="E1841" t="s">
        <v>187</v>
      </c>
      <c r="F1841">
        <v>40960</v>
      </c>
      <c r="G1841">
        <f>MAX(I1838,I1840)</f>
        <v>4145700</v>
      </c>
      <c r="H1841">
        <f>CEILING((dram_access_latency+F1841/dram_bandwidth)*frequency,1)</f>
        <v>703</v>
      </c>
      <c r="I1841">
        <f>G1841+H1841</f>
        <v>4146403</v>
      </c>
      <c r="J1841">
        <f>IF(AND(D1841&lt;&gt;"dram",D1841&lt;&gt;"control"),H1841,0)</f>
        <v>0</v>
      </c>
      <c r="K1841">
        <f>IF(D1841="dram",H1841,0)</f>
        <v>703</v>
      </c>
      <c r="L1841">
        <v>40960</v>
      </c>
      <c r="M1841">
        <v>0</v>
      </c>
    </row>
    <row r="1842" spans="1:13">
      <c r="A1842">
        <v>1840</v>
      </c>
      <c r="B1842" t="s">
        <v>61</v>
      </c>
      <c r="C1842" t="s">
        <v>85</v>
      </c>
      <c r="D1842" t="s">
        <v>17</v>
      </c>
      <c r="E1842" t="s">
        <v>187</v>
      </c>
      <c r="F1842">
        <v>0</v>
      </c>
      <c r="G1842">
        <f>MAX(I1837,I1800,I1840,I1802,I1841,I1839)</f>
        <v>4167165</v>
      </c>
      <c r="H1842">
        <f>'Operations'!I26</f>
        <v>40960</v>
      </c>
      <c r="I1842">
        <f>G1842+H1842</f>
        <v>4208125</v>
      </c>
      <c r="J1842">
        <f>IF(AND(D1842&lt;&gt;"dram",D1842&lt;&gt;"control"),H1842,0)</f>
        <v>40960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362</v>
      </c>
      <c r="C1843" t="s">
        <v>82</v>
      </c>
      <c r="D1843" t="s">
        <v>83</v>
      </c>
      <c r="E1843" t="s">
        <v>187</v>
      </c>
      <c r="F1843">
        <v>0</v>
      </c>
      <c r="G1843">
        <f>MAX(I1838,I1837)</f>
        <v>4126205</v>
      </c>
      <c r="H1843">
        <f>0</f>
        <v>40960</v>
      </c>
      <c r="I1843">
        <f>G1843+H1843</f>
        <v>4167165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363</v>
      </c>
      <c r="C1844" t="s">
        <v>87</v>
      </c>
      <c r="D1844" t="s">
        <v>79</v>
      </c>
      <c r="E1844" t="s">
        <v>187</v>
      </c>
      <c r="F1844">
        <v>1280</v>
      </c>
      <c r="G1844">
        <f>MAX(I1843,I1841)</f>
        <v>4167165</v>
      </c>
      <c r="H1844">
        <f>CEILING((dram_access_latency+F1844/dram_bandwidth)*frequency,1)</f>
        <v>119</v>
      </c>
      <c r="I1844">
        <f>G1844+H1844</f>
        <v>4167284</v>
      </c>
      <c r="J1844">
        <f>IF(AND(D1844&lt;&gt;"dram",D1844&lt;&gt;"control"),H1844,0)</f>
        <v>0</v>
      </c>
      <c r="K1844">
        <f>IF(D1844="dram",H1844,0)</f>
        <v>119</v>
      </c>
      <c r="L1844">
        <v>0</v>
      </c>
      <c r="M1844">
        <v>1280</v>
      </c>
    </row>
    <row r="1845" spans="1:13">
      <c r="A1845">
        <v>1843</v>
      </c>
      <c r="B1845" t="s">
        <v>359</v>
      </c>
      <c r="C1845" t="s">
        <v>78</v>
      </c>
      <c r="D1845" t="s">
        <v>79</v>
      </c>
      <c r="E1845" t="s">
        <v>188</v>
      </c>
      <c r="F1845">
        <v>1310720</v>
      </c>
      <c r="G1845">
        <f>MAX(I1843,I1844)</f>
        <v>4167284</v>
      </c>
      <c r="H1845">
        <f>CEILING((dram_access_latency+F1845/dram_bandwidth)*frequency,1)</f>
        <v>19376</v>
      </c>
      <c r="I1845">
        <f>G1845+H1845</f>
        <v>4186660</v>
      </c>
      <c r="J1845">
        <f>IF(AND(D1845&lt;&gt;"dram",D1845&lt;&gt;"control"),H1845,0)</f>
        <v>0</v>
      </c>
      <c r="K1845">
        <f>IF(D1845="dram",H1845,0)</f>
        <v>19376</v>
      </c>
      <c r="L1845">
        <v>1310720</v>
      </c>
      <c r="M1845">
        <v>0</v>
      </c>
    </row>
    <row r="1846" spans="1:13">
      <c r="A1846">
        <v>1844</v>
      </c>
      <c r="B1846" t="s">
        <v>361</v>
      </c>
      <c r="C1846" t="s">
        <v>78</v>
      </c>
      <c r="D1846" t="s">
        <v>79</v>
      </c>
      <c r="E1846" t="s">
        <v>188</v>
      </c>
      <c r="F1846">
        <v>40960</v>
      </c>
      <c r="G1846">
        <f>MAX(I1843,I1845)</f>
        <v>4186660</v>
      </c>
      <c r="H1846">
        <f>CEILING((dram_access_latency+F1846/dram_bandwidth)*frequency,1)</f>
        <v>703</v>
      </c>
      <c r="I1846">
        <f>G1846+H1846</f>
        <v>4187363</v>
      </c>
      <c r="J1846">
        <f>IF(AND(D1846&lt;&gt;"dram",D1846&lt;&gt;"control"),H1846,0)</f>
        <v>0</v>
      </c>
      <c r="K1846">
        <f>IF(D1846="dram",H1846,0)</f>
        <v>703</v>
      </c>
      <c r="L1846">
        <v>40960</v>
      </c>
      <c r="M1846">
        <v>0</v>
      </c>
    </row>
    <row r="1847" spans="1:13">
      <c r="A1847">
        <v>1845</v>
      </c>
      <c r="B1847" t="s">
        <v>61</v>
      </c>
      <c r="C1847" t="s">
        <v>85</v>
      </c>
      <c r="D1847" t="s">
        <v>17</v>
      </c>
      <c r="E1847" t="s">
        <v>188</v>
      </c>
      <c r="F1847">
        <v>0</v>
      </c>
      <c r="G1847">
        <f>MAX(I1842,I1800,I1845,I1802,I1846,I1844)</f>
        <v>4208125</v>
      </c>
      <c r="H1847">
        <f>'Operations'!I26</f>
        <v>40960</v>
      </c>
      <c r="I1847">
        <f>G1847+H1847</f>
        <v>4249085</v>
      </c>
      <c r="J1847">
        <f>IF(AND(D1847&lt;&gt;"dram",D1847&lt;&gt;"control"),H1847,0)</f>
        <v>40960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362</v>
      </c>
      <c r="C1848" t="s">
        <v>82</v>
      </c>
      <c r="D1848" t="s">
        <v>83</v>
      </c>
      <c r="E1848" t="s">
        <v>188</v>
      </c>
      <c r="F1848">
        <v>0</v>
      </c>
      <c r="G1848">
        <f>MAX(I1843,I1842)</f>
        <v>4167165</v>
      </c>
      <c r="H1848">
        <f>0</f>
        <v>40960</v>
      </c>
      <c r="I1848">
        <f>G1848+H1848</f>
        <v>4208125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363</v>
      </c>
      <c r="C1849" t="s">
        <v>87</v>
      </c>
      <c r="D1849" t="s">
        <v>79</v>
      </c>
      <c r="E1849" t="s">
        <v>188</v>
      </c>
      <c r="F1849">
        <v>1280</v>
      </c>
      <c r="G1849">
        <f>MAX(I1848,I1846)</f>
        <v>4208125</v>
      </c>
      <c r="H1849">
        <f>CEILING((dram_access_latency+F1849/dram_bandwidth)*frequency,1)</f>
        <v>119</v>
      </c>
      <c r="I1849">
        <f>G1849+H1849</f>
        <v>4208244</v>
      </c>
      <c r="J1849">
        <f>IF(AND(D1849&lt;&gt;"dram",D1849&lt;&gt;"control"),H1849,0)</f>
        <v>0</v>
      </c>
      <c r="K1849">
        <f>IF(D1849="dram",H1849,0)</f>
        <v>119</v>
      </c>
      <c r="L1849">
        <v>0</v>
      </c>
      <c r="M1849">
        <v>1280</v>
      </c>
    </row>
    <row r="1850" spans="1:13">
      <c r="A1850">
        <v>1848</v>
      </c>
      <c r="B1850" t="s">
        <v>359</v>
      </c>
      <c r="C1850" t="s">
        <v>78</v>
      </c>
      <c r="D1850" t="s">
        <v>79</v>
      </c>
      <c r="E1850" t="s">
        <v>189</v>
      </c>
      <c r="F1850">
        <v>1310720</v>
      </c>
      <c r="G1850">
        <f>MAX(I1848,I1849)</f>
        <v>4208244</v>
      </c>
      <c r="H1850">
        <f>CEILING((dram_access_latency+F1850/dram_bandwidth)*frequency,1)</f>
        <v>19376</v>
      </c>
      <c r="I1850">
        <f>G1850+H1850</f>
        <v>4227620</v>
      </c>
      <c r="J1850">
        <f>IF(AND(D1850&lt;&gt;"dram",D1850&lt;&gt;"control"),H1850,0)</f>
        <v>0</v>
      </c>
      <c r="K1850">
        <f>IF(D1850="dram",H1850,0)</f>
        <v>19376</v>
      </c>
      <c r="L1850">
        <v>1310720</v>
      </c>
      <c r="M1850">
        <v>0</v>
      </c>
    </row>
    <row r="1851" spans="1:13">
      <c r="A1851">
        <v>1849</v>
      </c>
      <c r="B1851" t="s">
        <v>361</v>
      </c>
      <c r="C1851" t="s">
        <v>78</v>
      </c>
      <c r="D1851" t="s">
        <v>79</v>
      </c>
      <c r="E1851" t="s">
        <v>189</v>
      </c>
      <c r="F1851">
        <v>40960</v>
      </c>
      <c r="G1851">
        <f>MAX(I1848,I1850)</f>
        <v>4227620</v>
      </c>
      <c r="H1851">
        <f>CEILING((dram_access_latency+F1851/dram_bandwidth)*frequency,1)</f>
        <v>703</v>
      </c>
      <c r="I1851">
        <f>G1851+H1851</f>
        <v>4228323</v>
      </c>
      <c r="J1851">
        <f>IF(AND(D1851&lt;&gt;"dram",D1851&lt;&gt;"control"),H1851,0)</f>
        <v>0</v>
      </c>
      <c r="K1851">
        <f>IF(D1851="dram",H1851,0)</f>
        <v>703</v>
      </c>
      <c r="L1851">
        <v>40960</v>
      </c>
      <c r="M1851">
        <v>0</v>
      </c>
    </row>
    <row r="1852" spans="1:13">
      <c r="A1852">
        <v>1850</v>
      </c>
      <c r="B1852" t="s">
        <v>61</v>
      </c>
      <c r="C1852" t="s">
        <v>85</v>
      </c>
      <c r="D1852" t="s">
        <v>17</v>
      </c>
      <c r="E1852" t="s">
        <v>189</v>
      </c>
      <c r="F1852">
        <v>0</v>
      </c>
      <c r="G1852">
        <f>MAX(I1847,I1800,I1850,I1802,I1851,I1849)</f>
        <v>4249085</v>
      </c>
      <c r="H1852">
        <f>'Operations'!I26</f>
        <v>40960</v>
      </c>
      <c r="I1852">
        <f>G1852+H1852</f>
        <v>4290045</v>
      </c>
      <c r="J1852">
        <f>IF(AND(D1852&lt;&gt;"dram",D1852&lt;&gt;"control"),H1852,0)</f>
        <v>40960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362</v>
      </c>
      <c r="C1853" t="s">
        <v>82</v>
      </c>
      <c r="D1853" t="s">
        <v>83</v>
      </c>
      <c r="E1853" t="s">
        <v>189</v>
      </c>
      <c r="F1853">
        <v>0</v>
      </c>
      <c r="G1853">
        <f>MAX(I1848,I1847)</f>
        <v>4208125</v>
      </c>
      <c r="H1853">
        <f>0</f>
        <v>40960</v>
      </c>
      <c r="I1853">
        <f>G1853+H1853</f>
        <v>4249085</v>
      </c>
      <c r="J1853">
        <f>IF(AND(D1853&lt;&gt;"dram",D1853&lt;&gt;"control"),H1853,0)</f>
        <v>0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363</v>
      </c>
      <c r="C1854" t="s">
        <v>87</v>
      </c>
      <c r="D1854" t="s">
        <v>79</v>
      </c>
      <c r="E1854" t="s">
        <v>189</v>
      </c>
      <c r="F1854">
        <v>1280</v>
      </c>
      <c r="G1854">
        <f>MAX(I1853,I1851)</f>
        <v>4249085</v>
      </c>
      <c r="H1854">
        <f>CEILING((dram_access_latency+F1854/dram_bandwidth)*frequency,1)</f>
        <v>119</v>
      </c>
      <c r="I1854">
        <f>G1854+H1854</f>
        <v>4249204</v>
      </c>
      <c r="J1854">
        <f>IF(AND(D1854&lt;&gt;"dram",D1854&lt;&gt;"control"),H1854,0)</f>
        <v>0</v>
      </c>
      <c r="K1854">
        <f>IF(D1854="dram",H1854,0)</f>
        <v>119</v>
      </c>
      <c r="L1854">
        <v>0</v>
      </c>
      <c r="M1854">
        <v>1280</v>
      </c>
    </row>
    <row r="1855" spans="1:13">
      <c r="A1855">
        <v>1853</v>
      </c>
      <c r="B1855" t="s">
        <v>359</v>
      </c>
      <c r="C1855" t="s">
        <v>78</v>
      </c>
      <c r="D1855" t="s">
        <v>79</v>
      </c>
      <c r="E1855" t="s">
        <v>190</v>
      </c>
      <c r="F1855">
        <v>1310720</v>
      </c>
      <c r="G1855">
        <f>MAX(I1853,I1854)</f>
        <v>4249204</v>
      </c>
      <c r="H1855">
        <f>CEILING((dram_access_latency+F1855/dram_bandwidth)*frequency,1)</f>
        <v>19376</v>
      </c>
      <c r="I1855">
        <f>G1855+H1855</f>
        <v>4268580</v>
      </c>
      <c r="J1855">
        <f>IF(AND(D1855&lt;&gt;"dram",D1855&lt;&gt;"control"),H1855,0)</f>
        <v>0</v>
      </c>
      <c r="K1855">
        <f>IF(D1855="dram",H1855,0)</f>
        <v>19376</v>
      </c>
      <c r="L1855">
        <v>1310720</v>
      </c>
      <c r="M1855">
        <v>0</v>
      </c>
    </row>
    <row r="1856" spans="1:13">
      <c r="A1856">
        <v>1854</v>
      </c>
      <c r="B1856" t="s">
        <v>361</v>
      </c>
      <c r="C1856" t="s">
        <v>78</v>
      </c>
      <c r="D1856" t="s">
        <v>79</v>
      </c>
      <c r="E1856" t="s">
        <v>190</v>
      </c>
      <c r="F1856">
        <v>40960</v>
      </c>
      <c r="G1856">
        <f>MAX(I1853,I1855)</f>
        <v>4268580</v>
      </c>
      <c r="H1856">
        <f>CEILING((dram_access_latency+F1856/dram_bandwidth)*frequency,1)</f>
        <v>703</v>
      </c>
      <c r="I1856">
        <f>G1856+H1856</f>
        <v>4269283</v>
      </c>
      <c r="J1856">
        <f>IF(AND(D1856&lt;&gt;"dram",D1856&lt;&gt;"control"),H1856,0)</f>
        <v>0</v>
      </c>
      <c r="K1856">
        <f>IF(D1856="dram",H1856,0)</f>
        <v>703</v>
      </c>
      <c r="L1856">
        <v>40960</v>
      </c>
      <c r="M1856">
        <v>0</v>
      </c>
    </row>
    <row r="1857" spans="1:13">
      <c r="A1857">
        <v>1855</v>
      </c>
      <c r="B1857" t="s">
        <v>61</v>
      </c>
      <c r="C1857" t="s">
        <v>85</v>
      </c>
      <c r="D1857" t="s">
        <v>17</v>
      </c>
      <c r="E1857" t="s">
        <v>190</v>
      </c>
      <c r="F1857">
        <v>0</v>
      </c>
      <c r="G1857">
        <f>MAX(I1852,I1800,I1855,I1802,I1856,I1854)</f>
        <v>4290045</v>
      </c>
      <c r="H1857">
        <f>'Operations'!I26</f>
        <v>40960</v>
      </c>
      <c r="I1857">
        <f>G1857+H1857</f>
        <v>4331005</v>
      </c>
      <c r="J1857">
        <f>IF(AND(D1857&lt;&gt;"dram",D1857&lt;&gt;"control"),H1857,0)</f>
        <v>40960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362</v>
      </c>
      <c r="C1858" t="s">
        <v>82</v>
      </c>
      <c r="D1858" t="s">
        <v>83</v>
      </c>
      <c r="E1858" t="s">
        <v>190</v>
      </c>
      <c r="F1858">
        <v>0</v>
      </c>
      <c r="G1858">
        <f>MAX(I1853,I1852)</f>
        <v>4249085</v>
      </c>
      <c r="H1858">
        <f>0</f>
        <v>40960</v>
      </c>
      <c r="I1858">
        <f>G1858+H1858</f>
        <v>4290045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363</v>
      </c>
      <c r="C1859" t="s">
        <v>87</v>
      </c>
      <c r="D1859" t="s">
        <v>79</v>
      </c>
      <c r="E1859" t="s">
        <v>190</v>
      </c>
      <c r="F1859">
        <v>1280</v>
      </c>
      <c r="G1859">
        <f>MAX(I1858,I1856)</f>
        <v>4290045</v>
      </c>
      <c r="H1859">
        <f>CEILING((dram_access_latency+F1859/dram_bandwidth)*frequency,1)</f>
        <v>119</v>
      </c>
      <c r="I1859">
        <f>G1859+H1859</f>
        <v>4290164</v>
      </c>
      <c r="J1859">
        <f>IF(AND(D1859&lt;&gt;"dram",D1859&lt;&gt;"control"),H1859,0)</f>
        <v>0</v>
      </c>
      <c r="K1859">
        <f>IF(D1859="dram",H1859,0)</f>
        <v>119</v>
      </c>
      <c r="L1859">
        <v>0</v>
      </c>
      <c r="M1859">
        <v>1280</v>
      </c>
    </row>
    <row r="1860" spans="1:13">
      <c r="A1860">
        <v>1858</v>
      </c>
      <c r="B1860" t="s">
        <v>359</v>
      </c>
      <c r="C1860" t="s">
        <v>78</v>
      </c>
      <c r="D1860" t="s">
        <v>79</v>
      </c>
      <c r="E1860" t="s">
        <v>191</v>
      </c>
      <c r="F1860">
        <v>1310720</v>
      </c>
      <c r="G1860">
        <f>MAX(I1858,I1859)</f>
        <v>4290164</v>
      </c>
      <c r="H1860">
        <f>CEILING((dram_access_latency+F1860/dram_bandwidth)*frequency,1)</f>
        <v>19376</v>
      </c>
      <c r="I1860">
        <f>G1860+H1860</f>
        <v>4309540</v>
      </c>
      <c r="J1860">
        <f>IF(AND(D1860&lt;&gt;"dram",D1860&lt;&gt;"control"),H1860,0)</f>
        <v>0</v>
      </c>
      <c r="K1860">
        <f>IF(D1860="dram",H1860,0)</f>
        <v>19376</v>
      </c>
      <c r="L1860">
        <v>1310720</v>
      </c>
      <c r="M1860">
        <v>0</v>
      </c>
    </row>
    <row r="1861" spans="1:13">
      <c r="A1861">
        <v>1859</v>
      </c>
      <c r="B1861" t="s">
        <v>361</v>
      </c>
      <c r="C1861" t="s">
        <v>78</v>
      </c>
      <c r="D1861" t="s">
        <v>79</v>
      </c>
      <c r="E1861" t="s">
        <v>191</v>
      </c>
      <c r="F1861">
        <v>40960</v>
      </c>
      <c r="G1861">
        <f>MAX(I1858,I1860)</f>
        <v>4309540</v>
      </c>
      <c r="H1861">
        <f>CEILING((dram_access_latency+F1861/dram_bandwidth)*frequency,1)</f>
        <v>703</v>
      </c>
      <c r="I1861">
        <f>G1861+H1861</f>
        <v>4310243</v>
      </c>
      <c r="J1861">
        <f>IF(AND(D1861&lt;&gt;"dram",D1861&lt;&gt;"control"),H1861,0)</f>
        <v>0</v>
      </c>
      <c r="K1861">
        <f>IF(D1861="dram",H1861,0)</f>
        <v>703</v>
      </c>
      <c r="L1861">
        <v>40960</v>
      </c>
      <c r="M1861">
        <v>0</v>
      </c>
    </row>
    <row r="1862" spans="1:13">
      <c r="A1862">
        <v>1860</v>
      </c>
      <c r="B1862" t="s">
        <v>61</v>
      </c>
      <c r="C1862" t="s">
        <v>85</v>
      </c>
      <c r="D1862" t="s">
        <v>17</v>
      </c>
      <c r="E1862" t="s">
        <v>191</v>
      </c>
      <c r="F1862">
        <v>0</v>
      </c>
      <c r="G1862">
        <f>MAX(I1857,I1800,I1860,I1802,I1861,I1859)</f>
        <v>4331005</v>
      </c>
      <c r="H1862">
        <f>'Operations'!I26</f>
        <v>40960</v>
      </c>
      <c r="I1862">
        <f>G1862+H1862</f>
        <v>4371965</v>
      </c>
      <c r="J1862">
        <f>IF(AND(D1862&lt;&gt;"dram",D1862&lt;&gt;"control"),H1862,0)</f>
        <v>40960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362</v>
      </c>
      <c r="C1863" t="s">
        <v>82</v>
      </c>
      <c r="D1863" t="s">
        <v>83</v>
      </c>
      <c r="E1863" t="s">
        <v>191</v>
      </c>
      <c r="F1863">
        <v>0</v>
      </c>
      <c r="G1863">
        <f>MAX(I1858,I1857)</f>
        <v>4290045</v>
      </c>
      <c r="H1863">
        <f>0</f>
        <v>40960</v>
      </c>
      <c r="I1863">
        <f>G1863+H1863</f>
        <v>4331005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363</v>
      </c>
      <c r="C1864" t="s">
        <v>87</v>
      </c>
      <c r="D1864" t="s">
        <v>79</v>
      </c>
      <c r="E1864" t="s">
        <v>191</v>
      </c>
      <c r="F1864">
        <v>1280</v>
      </c>
      <c r="G1864">
        <f>MAX(I1863,I1861)</f>
        <v>4331005</v>
      </c>
      <c r="H1864">
        <f>CEILING((dram_access_latency+F1864/dram_bandwidth)*frequency,1)</f>
        <v>119</v>
      </c>
      <c r="I1864">
        <f>G1864+H1864</f>
        <v>4331124</v>
      </c>
      <c r="J1864">
        <f>IF(AND(D1864&lt;&gt;"dram",D1864&lt;&gt;"control"),H1864,0)</f>
        <v>0</v>
      </c>
      <c r="K1864">
        <f>IF(D1864="dram",H1864,0)</f>
        <v>119</v>
      </c>
      <c r="L1864">
        <v>0</v>
      </c>
      <c r="M1864">
        <v>1280</v>
      </c>
    </row>
    <row r="1865" spans="1:13">
      <c r="A1865">
        <v>1863</v>
      </c>
      <c r="B1865" t="s">
        <v>359</v>
      </c>
      <c r="C1865" t="s">
        <v>78</v>
      </c>
      <c r="D1865" t="s">
        <v>79</v>
      </c>
      <c r="E1865" t="s">
        <v>192</v>
      </c>
      <c r="F1865">
        <v>1310720</v>
      </c>
      <c r="G1865">
        <f>MAX(I1863,I1864)</f>
        <v>4331124</v>
      </c>
      <c r="H1865">
        <f>CEILING((dram_access_latency+F1865/dram_bandwidth)*frequency,1)</f>
        <v>19376</v>
      </c>
      <c r="I1865">
        <f>G1865+H1865</f>
        <v>4350500</v>
      </c>
      <c r="J1865">
        <f>IF(AND(D1865&lt;&gt;"dram",D1865&lt;&gt;"control"),H1865,0)</f>
        <v>0</v>
      </c>
      <c r="K1865">
        <f>IF(D1865="dram",H1865,0)</f>
        <v>19376</v>
      </c>
      <c r="L1865">
        <v>1310720</v>
      </c>
      <c r="M1865">
        <v>0</v>
      </c>
    </row>
    <row r="1866" spans="1:13">
      <c r="A1866">
        <v>1864</v>
      </c>
      <c r="B1866" t="s">
        <v>361</v>
      </c>
      <c r="C1866" t="s">
        <v>78</v>
      </c>
      <c r="D1866" t="s">
        <v>79</v>
      </c>
      <c r="E1866" t="s">
        <v>192</v>
      </c>
      <c r="F1866">
        <v>40960</v>
      </c>
      <c r="G1866">
        <f>MAX(I1863,I1865)</f>
        <v>4350500</v>
      </c>
      <c r="H1866">
        <f>CEILING((dram_access_latency+F1866/dram_bandwidth)*frequency,1)</f>
        <v>703</v>
      </c>
      <c r="I1866">
        <f>G1866+H1866</f>
        <v>4351203</v>
      </c>
      <c r="J1866">
        <f>IF(AND(D1866&lt;&gt;"dram",D1866&lt;&gt;"control"),H1866,0)</f>
        <v>0</v>
      </c>
      <c r="K1866">
        <f>IF(D1866="dram",H1866,0)</f>
        <v>703</v>
      </c>
      <c r="L1866">
        <v>40960</v>
      </c>
      <c r="M1866">
        <v>0</v>
      </c>
    </row>
    <row r="1867" spans="1:13">
      <c r="A1867">
        <v>1865</v>
      </c>
      <c r="B1867" t="s">
        <v>61</v>
      </c>
      <c r="C1867" t="s">
        <v>85</v>
      </c>
      <c r="D1867" t="s">
        <v>17</v>
      </c>
      <c r="E1867" t="s">
        <v>192</v>
      </c>
      <c r="F1867">
        <v>0</v>
      </c>
      <c r="G1867">
        <f>MAX(I1862,I1800,I1865,I1802,I1866,I1864)</f>
        <v>4371965</v>
      </c>
      <c r="H1867">
        <f>'Operations'!I26</f>
        <v>40960</v>
      </c>
      <c r="I1867">
        <f>G1867+H1867</f>
        <v>4412925</v>
      </c>
      <c r="J1867">
        <f>IF(AND(D1867&lt;&gt;"dram",D1867&lt;&gt;"control"),H1867,0)</f>
        <v>40960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362</v>
      </c>
      <c r="C1868" t="s">
        <v>82</v>
      </c>
      <c r="D1868" t="s">
        <v>83</v>
      </c>
      <c r="E1868" t="s">
        <v>192</v>
      </c>
      <c r="F1868">
        <v>0</v>
      </c>
      <c r="G1868">
        <f>MAX(I1863,I1862)</f>
        <v>4331005</v>
      </c>
      <c r="H1868">
        <f>0</f>
        <v>40960</v>
      </c>
      <c r="I1868">
        <f>G1868+H1868</f>
        <v>4371965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363</v>
      </c>
      <c r="C1869" t="s">
        <v>87</v>
      </c>
      <c r="D1869" t="s">
        <v>79</v>
      </c>
      <c r="E1869" t="s">
        <v>192</v>
      </c>
      <c r="F1869">
        <v>1280</v>
      </c>
      <c r="G1869">
        <f>MAX(I1868,I1866)</f>
        <v>4371965</v>
      </c>
      <c r="H1869">
        <f>CEILING((dram_access_latency+F1869/dram_bandwidth)*frequency,1)</f>
        <v>119</v>
      </c>
      <c r="I1869">
        <f>G1869+H1869</f>
        <v>4372084</v>
      </c>
      <c r="J1869">
        <f>IF(AND(D1869&lt;&gt;"dram",D1869&lt;&gt;"control"),H1869,0)</f>
        <v>0</v>
      </c>
      <c r="K1869">
        <f>IF(D1869="dram",H1869,0)</f>
        <v>119</v>
      </c>
      <c r="L1869">
        <v>0</v>
      </c>
      <c r="M1869">
        <v>1280</v>
      </c>
    </row>
    <row r="1870" spans="1:13">
      <c r="A1870">
        <v>1868</v>
      </c>
      <c r="B1870" t="s">
        <v>359</v>
      </c>
      <c r="C1870" t="s">
        <v>78</v>
      </c>
      <c r="D1870" t="s">
        <v>79</v>
      </c>
      <c r="E1870" t="s">
        <v>193</v>
      </c>
      <c r="F1870">
        <v>1310720</v>
      </c>
      <c r="G1870">
        <f>MAX(I1868,I1869)</f>
        <v>4372084</v>
      </c>
      <c r="H1870">
        <f>CEILING((dram_access_latency+F1870/dram_bandwidth)*frequency,1)</f>
        <v>19376</v>
      </c>
      <c r="I1870">
        <f>G1870+H1870</f>
        <v>4391460</v>
      </c>
      <c r="J1870">
        <f>IF(AND(D1870&lt;&gt;"dram",D1870&lt;&gt;"control"),H1870,0)</f>
        <v>0</v>
      </c>
      <c r="K1870">
        <f>IF(D1870="dram",H1870,0)</f>
        <v>19376</v>
      </c>
      <c r="L1870">
        <v>1310720</v>
      </c>
      <c r="M1870">
        <v>0</v>
      </c>
    </row>
    <row r="1871" spans="1:13">
      <c r="A1871">
        <v>1869</v>
      </c>
      <c r="B1871" t="s">
        <v>361</v>
      </c>
      <c r="C1871" t="s">
        <v>78</v>
      </c>
      <c r="D1871" t="s">
        <v>79</v>
      </c>
      <c r="E1871" t="s">
        <v>193</v>
      </c>
      <c r="F1871">
        <v>40960</v>
      </c>
      <c r="G1871">
        <f>MAX(I1868,I1870)</f>
        <v>4391460</v>
      </c>
      <c r="H1871">
        <f>CEILING((dram_access_latency+F1871/dram_bandwidth)*frequency,1)</f>
        <v>703</v>
      </c>
      <c r="I1871">
        <f>G1871+H1871</f>
        <v>4392163</v>
      </c>
      <c r="J1871">
        <f>IF(AND(D1871&lt;&gt;"dram",D1871&lt;&gt;"control"),H1871,0)</f>
        <v>0</v>
      </c>
      <c r="K1871">
        <f>IF(D1871="dram",H1871,0)</f>
        <v>703</v>
      </c>
      <c r="L1871">
        <v>40960</v>
      </c>
      <c r="M1871">
        <v>0</v>
      </c>
    </row>
    <row r="1872" spans="1:13">
      <c r="A1872">
        <v>1870</v>
      </c>
      <c r="B1872" t="s">
        <v>61</v>
      </c>
      <c r="C1872" t="s">
        <v>85</v>
      </c>
      <c r="D1872" t="s">
        <v>17</v>
      </c>
      <c r="E1872" t="s">
        <v>193</v>
      </c>
      <c r="F1872">
        <v>0</v>
      </c>
      <c r="G1872">
        <f>MAX(I1867,I1800,I1870,I1802,I1871,I1869)</f>
        <v>4412925</v>
      </c>
      <c r="H1872">
        <f>'Operations'!I26</f>
        <v>40960</v>
      </c>
      <c r="I1872">
        <f>G1872+H1872</f>
        <v>4453885</v>
      </c>
      <c r="J1872">
        <f>IF(AND(D1872&lt;&gt;"dram",D1872&lt;&gt;"control"),H1872,0)</f>
        <v>40960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362</v>
      </c>
      <c r="C1873" t="s">
        <v>82</v>
      </c>
      <c r="D1873" t="s">
        <v>83</v>
      </c>
      <c r="E1873" t="s">
        <v>193</v>
      </c>
      <c r="F1873">
        <v>0</v>
      </c>
      <c r="G1873">
        <f>MAX(I1868,I1867)</f>
        <v>4371965</v>
      </c>
      <c r="H1873">
        <f>0</f>
        <v>40960</v>
      </c>
      <c r="I1873">
        <f>G1873+H1873</f>
        <v>4412925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363</v>
      </c>
      <c r="C1874" t="s">
        <v>87</v>
      </c>
      <c r="D1874" t="s">
        <v>79</v>
      </c>
      <c r="E1874" t="s">
        <v>193</v>
      </c>
      <c r="F1874">
        <v>1280</v>
      </c>
      <c r="G1874">
        <f>MAX(I1873,I1871)</f>
        <v>4412925</v>
      </c>
      <c r="H1874">
        <f>CEILING((dram_access_latency+F1874/dram_bandwidth)*frequency,1)</f>
        <v>119</v>
      </c>
      <c r="I1874">
        <f>G1874+H1874</f>
        <v>4413044</v>
      </c>
      <c r="J1874">
        <f>IF(AND(D1874&lt;&gt;"dram",D1874&lt;&gt;"control"),H1874,0)</f>
        <v>0</v>
      </c>
      <c r="K1874">
        <f>IF(D1874="dram",H1874,0)</f>
        <v>119</v>
      </c>
      <c r="L1874">
        <v>0</v>
      </c>
      <c r="M1874">
        <v>1280</v>
      </c>
    </row>
    <row r="1875" spans="1:13">
      <c r="A1875">
        <v>1873</v>
      </c>
      <c r="B1875" t="s">
        <v>359</v>
      </c>
      <c r="C1875" t="s">
        <v>78</v>
      </c>
      <c r="D1875" t="s">
        <v>79</v>
      </c>
      <c r="E1875" t="s">
        <v>194</v>
      </c>
      <c r="F1875">
        <v>1310720</v>
      </c>
      <c r="G1875">
        <f>MAX(I1873,I1874)</f>
        <v>4413044</v>
      </c>
      <c r="H1875">
        <f>CEILING((dram_access_latency+F1875/dram_bandwidth)*frequency,1)</f>
        <v>19376</v>
      </c>
      <c r="I1875">
        <f>G1875+H1875</f>
        <v>4432420</v>
      </c>
      <c r="J1875">
        <f>IF(AND(D1875&lt;&gt;"dram",D1875&lt;&gt;"control"),H1875,0)</f>
        <v>0</v>
      </c>
      <c r="K1875">
        <f>IF(D1875="dram",H1875,0)</f>
        <v>19376</v>
      </c>
      <c r="L1875">
        <v>1310720</v>
      </c>
      <c r="M1875">
        <v>0</v>
      </c>
    </row>
    <row r="1876" spans="1:13">
      <c r="A1876">
        <v>1874</v>
      </c>
      <c r="B1876" t="s">
        <v>361</v>
      </c>
      <c r="C1876" t="s">
        <v>78</v>
      </c>
      <c r="D1876" t="s">
        <v>79</v>
      </c>
      <c r="E1876" t="s">
        <v>194</v>
      </c>
      <c r="F1876">
        <v>40960</v>
      </c>
      <c r="G1876">
        <f>MAX(I1873,I1875)</f>
        <v>4432420</v>
      </c>
      <c r="H1876">
        <f>CEILING((dram_access_latency+F1876/dram_bandwidth)*frequency,1)</f>
        <v>703</v>
      </c>
      <c r="I1876">
        <f>G1876+H1876</f>
        <v>4433123</v>
      </c>
      <c r="J1876">
        <f>IF(AND(D1876&lt;&gt;"dram",D1876&lt;&gt;"control"),H1876,0)</f>
        <v>0</v>
      </c>
      <c r="K1876">
        <f>IF(D1876="dram",H1876,0)</f>
        <v>703</v>
      </c>
      <c r="L1876">
        <v>40960</v>
      </c>
      <c r="M1876">
        <v>0</v>
      </c>
    </row>
    <row r="1877" spans="1:13">
      <c r="A1877">
        <v>1875</v>
      </c>
      <c r="B1877" t="s">
        <v>61</v>
      </c>
      <c r="C1877" t="s">
        <v>85</v>
      </c>
      <c r="D1877" t="s">
        <v>17</v>
      </c>
      <c r="E1877" t="s">
        <v>194</v>
      </c>
      <c r="F1877">
        <v>0</v>
      </c>
      <c r="G1877">
        <f>MAX(I1872,I1800,I1875,I1802,I1876,I1874)</f>
        <v>4453885</v>
      </c>
      <c r="H1877">
        <f>'Operations'!I26</f>
        <v>40960</v>
      </c>
      <c r="I1877">
        <f>G1877+H1877</f>
        <v>4494845</v>
      </c>
      <c r="J1877">
        <f>IF(AND(D1877&lt;&gt;"dram",D1877&lt;&gt;"control"),H1877,0)</f>
        <v>40960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362</v>
      </c>
      <c r="C1878" t="s">
        <v>82</v>
      </c>
      <c r="D1878" t="s">
        <v>83</v>
      </c>
      <c r="E1878" t="s">
        <v>194</v>
      </c>
      <c r="F1878">
        <v>0</v>
      </c>
      <c r="G1878">
        <f>MAX(I1873,I1872)</f>
        <v>4412925</v>
      </c>
      <c r="H1878">
        <f>0</f>
        <v>40960</v>
      </c>
      <c r="I1878">
        <f>G1878+H1878</f>
        <v>4453885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363</v>
      </c>
      <c r="C1879" t="s">
        <v>87</v>
      </c>
      <c r="D1879" t="s">
        <v>79</v>
      </c>
      <c r="E1879" t="s">
        <v>194</v>
      </c>
      <c r="F1879">
        <v>1280</v>
      </c>
      <c r="G1879">
        <f>MAX(I1878,I1876)</f>
        <v>4453885</v>
      </c>
      <c r="H1879">
        <f>CEILING((dram_access_latency+F1879/dram_bandwidth)*frequency,1)</f>
        <v>119</v>
      </c>
      <c r="I1879">
        <f>G1879+H1879</f>
        <v>4454004</v>
      </c>
      <c r="J1879">
        <f>IF(AND(D1879&lt;&gt;"dram",D1879&lt;&gt;"control"),H1879,0)</f>
        <v>0</v>
      </c>
      <c r="K1879">
        <f>IF(D1879="dram",H1879,0)</f>
        <v>119</v>
      </c>
      <c r="L1879">
        <v>0</v>
      </c>
      <c r="M1879">
        <v>1280</v>
      </c>
    </row>
    <row r="1880" spans="1:13">
      <c r="A1880">
        <v>1878</v>
      </c>
      <c r="B1880" t="s">
        <v>359</v>
      </c>
      <c r="C1880" t="s">
        <v>78</v>
      </c>
      <c r="D1880" t="s">
        <v>79</v>
      </c>
      <c r="E1880" t="s">
        <v>206</v>
      </c>
      <c r="F1880">
        <v>1310720</v>
      </c>
      <c r="G1880">
        <f>MAX(I1878,I1879)</f>
        <v>4454004</v>
      </c>
      <c r="H1880">
        <f>CEILING((dram_access_latency+F1880/dram_bandwidth)*frequency,1)</f>
        <v>19376</v>
      </c>
      <c r="I1880">
        <f>G1880+H1880</f>
        <v>4473380</v>
      </c>
      <c r="J1880">
        <f>IF(AND(D1880&lt;&gt;"dram",D1880&lt;&gt;"control"),H1880,0)</f>
        <v>0</v>
      </c>
      <c r="K1880">
        <f>IF(D1880="dram",H1880,0)</f>
        <v>19376</v>
      </c>
      <c r="L1880">
        <v>1310720</v>
      </c>
      <c r="M1880">
        <v>0</v>
      </c>
    </row>
    <row r="1881" spans="1:13">
      <c r="A1881">
        <v>1879</v>
      </c>
      <c r="B1881" t="s">
        <v>361</v>
      </c>
      <c r="C1881" t="s">
        <v>78</v>
      </c>
      <c r="D1881" t="s">
        <v>79</v>
      </c>
      <c r="E1881" t="s">
        <v>206</v>
      </c>
      <c r="F1881">
        <v>40960</v>
      </c>
      <c r="G1881">
        <f>MAX(I1878,I1880)</f>
        <v>4473380</v>
      </c>
      <c r="H1881">
        <f>CEILING((dram_access_latency+F1881/dram_bandwidth)*frequency,1)</f>
        <v>703</v>
      </c>
      <c r="I1881">
        <f>G1881+H1881</f>
        <v>4474083</v>
      </c>
      <c r="J1881">
        <f>IF(AND(D1881&lt;&gt;"dram",D1881&lt;&gt;"control"),H1881,0)</f>
        <v>0</v>
      </c>
      <c r="K1881">
        <f>IF(D1881="dram",H1881,0)</f>
        <v>703</v>
      </c>
      <c r="L1881">
        <v>40960</v>
      </c>
      <c r="M1881">
        <v>0</v>
      </c>
    </row>
    <row r="1882" spans="1:13">
      <c r="A1882">
        <v>1880</v>
      </c>
      <c r="B1882" t="s">
        <v>61</v>
      </c>
      <c r="C1882" t="s">
        <v>85</v>
      </c>
      <c r="D1882" t="s">
        <v>17</v>
      </c>
      <c r="E1882" t="s">
        <v>206</v>
      </c>
      <c r="F1882">
        <v>0</v>
      </c>
      <c r="G1882">
        <f>MAX(I1877,I1800,I1880,I1802,I1881,I1879)</f>
        <v>4494845</v>
      </c>
      <c r="H1882">
        <f>'Operations'!I26</f>
        <v>40960</v>
      </c>
      <c r="I1882">
        <f>G1882+H1882</f>
        <v>4535805</v>
      </c>
      <c r="J1882">
        <f>IF(AND(D1882&lt;&gt;"dram",D1882&lt;&gt;"control"),H1882,0)</f>
        <v>40960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362</v>
      </c>
      <c r="C1883" t="s">
        <v>82</v>
      </c>
      <c r="D1883" t="s">
        <v>83</v>
      </c>
      <c r="E1883" t="s">
        <v>206</v>
      </c>
      <c r="F1883">
        <v>0</v>
      </c>
      <c r="G1883">
        <f>MAX(I1878,I1877)</f>
        <v>4453885</v>
      </c>
      <c r="H1883">
        <f>0</f>
        <v>40960</v>
      </c>
      <c r="I1883">
        <f>G1883+H1883</f>
        <v>4494845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363</v>
      </c>
      <c r="C1884" t="s">
        <v>87</v>
      </c>
      <c r="D1884" t="s">
        <v>79</v>
      </c>
      <c r="E1884" t="s">
        <v>206</v>
      </c>
      <c r="F1884">
        <v>1280</v>
      </c>
      <c r="G1884">
        <f>MAX(I1883,I1881)</f>
        <v>4494845</v>
      </c>
      <c r="H1884">
        <f>CEILING((dram_access_latency+F1884/dram_bandwidth)*frequency,1)</f>
        <v>119</v>
      </c>
      <c r="I1884">
        <f>G1884+H1884</f>
        <v>4494964</v>
      </c>
      <c r="J1884">
        <f>IF(AND(D1884&lt;&gt;"dram",D1884&lt;&gt;"control"),H1884,0)</f>
        <v>0</v>
      </c>
      <c r="K1884">
        <f>IF(D1884="dram",H1884,0)</f>
        <v>119</v>
      </c>
      <c r="L1884">
        <v>0</v>
      </c>
      <c r="M1884">
        <v>1280</v>
      </c>
    </row>
    <row r="1885" spans="1:13">
      <c r="A1885">
        <v>1883</v>
      </c>
      <c r="B1885" t="s">
        <v>359</v>
      </c>
      <c r="C1885" t="s">
        <v>78</v>
      </c>
      <c r="D1885" t="s">
        <v>79</v>
      </c>
      <c r="E1885" t="s">
        <v>207</v>
      </c>
      <c r="F1885">
        <v>1310720</v>
      </c>
      <c r="G1885">
        <f>MAX(I1883,I1884)</f>
        <v>4494964</v>
      </c>
      <c r="H1885">
        <f>CEILING((dram_access_latency+F1885/dram_bandwidth)*frequency,1)</f>
        <v>19376</v>
      </c>
      <c r="I1885">
        <f>G1885+H1885</f>
        <v>4514340</v>
      </c>
      <c r="J1885">
        <f>IF(AND(D1885&lt;&gt;"dram",D1885&lt;&gt;"control"),H1885,0)</f>
        <v>0</v>
      </c>
      <c r="K1885">
        <f>IF(D1885="dram",H1885,0)</f>
        <v>19376</v>
      </c>
      <c r="L1885">
        <v>1310720</v>
      </c>
      <c r="M1885">
        <v>0</v>
      </c>
    </row>
    <row r="1886" spans="1:13">
      <c r="A1886">
        <v>1884</v>
      </c>
      <c r="B1886" t="s">
        <v>361</v>
      </c>
      <c r="C1886" t="s">
        <v>78</v>
      </c>
      <c r="D1886" t="s">
        <v>79</v>
      </c>
      <c r="E1886" t="s">
        <v>207</v>
      </c>
      <c r="F1886">
        <v>40960</v>
      </c>
      <c r="G1886">
        <f>MAX(I1883,I1885)</f>
        <v>4514340</v>
      </c>
      <c r="H1886">
        <f>CEILING((dram_access_latency+F1886/dram_bandwidth)*frequency,1)</f>
        <v>703</v>
      </c>
      <c r="I1886">
        <f>G1886+H1886</f>
        <v>4515043</v>
      </c>
      <c r="J1886">
        <f>IF(AND(D1886&lt;&gt;"dram",D1886&lt;&gt;"control"),H1886,0)</f>
        <v>0</v>
      </c>
      <c r="K1886">
        <f>IF(D1886="dram",H1886,0)</f>
        <v>703</v>
      </c>
      <c r="L1886">
        <v>40960</v>
      </c>
      <c r="M1886">
        <v>0</v>
      </c>
    </row>
    <row r="1887" spans="1:13">
      <c r="A1887">
        <v>1885</v>
      </c>
      <c r="B1887" t="s">
        <v>61</v>
      </c>
      <c r="C1887" t="s">
        <v>85</v>
      </c>
      <c r="D1887" t="s">
        <v>17</v>
      </c>
      <c r="E1887" t="s">
        <v>207</v>
      </c>
      <c r="F1887">
        <v>0</v>
      </c>
      <c r="G1887">
        <f>MAX(I1882,I1800,I1885,I1802,I1886,I1884)</f>
        <v>4535805</v>
      </c>
      <c r="H1887">
        <f>'Operations'!I26</f>
        <v>40960</v>
      </c>
      <c r="I1887">
        <f>G1887+H1887</f>
        <v>4576765</v>
      </c>
      <c r="J1887">
        <f>IF(AND(D1887&lt;&gt;"dram",D1887&lt;&gt;"control"),H1887,0)</f>
        <v>40960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362</v>
      </c>
      <c r="C1888" t="s">
        <v>82</v>
      </c>
      <c r="D1888" t="s">
        <v>83</v>
      </c>
      <c r="E1888" t="s">
        <v>207</v>
      </c>
      <c r="F1888">
        <v>0</v>
      </c>
      <c r="G1888">
        <f>MAX(I1883,I1882)</f>
        <v>4494845</v>
      </c>
      <c r="H1888">
        <f>0</f>
        <v>40960</v>
      </c>
      <c r="I1888">
        <f>G1888+H1888</f>
        <v>4535805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363</v>
      </c>
      <c r="C1889" t="s">
        <v>87</v>
      </c>
      <c r="D1889" t="s">
        <v>79</v>
      </c>
      <c r="E1889" t="s">
        <v>207</v>
      </c>
      <c r="F1889">
        <v>1280</v>
      </c>
      <c r="G1889">
        <f>MAX(I1888,I1886)</f>
        <v>4535805</v>
      </c>
      <c r="H1889">
        <f>CEILING((dram_access_latency+F1889/dram_bandwidth)*frequency,1)</f>
        <v>119</v>
      </c>
      <c r="I1889">
        <f>G1889+H1889</f>
        <v>4535924</v>
      </c>
      <c r="J1889">
        <f>IF(AND(D1889&lt;&gt;"dram",D1889&lt;&gt;"control"),H1889,0)</f>
        <v>0</v>
      </c>
      <c r="K1889">
        <f>IF(D1889="dram",H1889,0)</f>
        <v>119</v>
      </c>
      <c r="L1889">
        <v>0</v>
      </c>
      <c r="M1889">
        <v>1280</v>
      </c>
    </row>
    <row r="1890" spans="1:13">
      <c r="A1890">
        <v>1888</v>
      </c>
      <c r="B1890" t="s">
        <v>359</v>
      </c>
      <c r="C1890" t="s">
        <v>78</v>
      </c>
      <c r="D1890" t="s">
        <v>79</v>
      </c>
      <c r="E1890" t="s">
        <v>208</v>
      </c>
      <c r="F1890">
        <v>1310720</v>
      </c>
      <c r="G1890">
        <f>MAX(I1888,I1889)</f>
        <v>4535924</v>
      </c>
      <c r="H1890">
        <f>CEILING((dram_access_latency+F1890/dram_bandwidth)*frequency,1)</f>
        <v>19376</v>
      </c>
      <c r="I1890">
        <f>G1890+H1890</f>
        <v>4555300</v>
      </c>
      <c r="J1890">
        <f>IF(AND(D1890&lt;&gt;"dram",D1890&lt;&gt;"control"),H1890,0)</f>
        <v>0</v>
      </c>
      <c r="K1890">
        <f>IF(D1890="dram",H1890,0)</f>
        <v>19376</v>
      </c>
      <c r="L1890">
        <v>1310720</v>
      </c>
      <c r="M1890">
        <v>0</v>
      </c>
    </row>
    <row r="1891" spans="1:13">
      <c r="A1891">
        <v>1889</v>
      </c>
      <c r="B1891" t="s">
        <v>361</v>
      </c>
      <c r="C1891" t="s">
        <v>78</v>
      </c>
      <c r="D1891" t="s">
        <v>79</v>
      </c>
      <c r="E1891" t="s">
        <v>208</v>
      </c>
      <c r="F1891">
        <v>40960</v>
      </c>
      <c r="G1891">
        <f>MAX(I1888,I1890)</f>
        <v>4555300</v>
      </c>
      <c r="H1891">
        <f>CEILING((dram_access_latency+F1891/dram_bandwidth)*frequency,1)</f>
        <v>703</v>
      </c>
      <c r="I1891">
        <f>G1891+H1891</f>
        <v>4556003</v>
      </c>
      <c r="J1891">
        <f>IF(AND(D1891&lt;&gt;"dram",D1891&lt;&gt;"control"),H1891,0)</f>
        <v>0</v>
      </c>
      <c r="K1891">
        <f>IF(D1891="dram",H1891,0)</f>
        <v>703</v>
      </c>
      <c r="L1891">
        <v>40960</v>
      </c>
      <c r="M1891">
        <v>0</v>
      </c>
    </row>
    <row r="1892" spans="1:13">
      <c r="A1892">
        <v>1890</v>
      </c>
      <c r="B1892" t="s">
        <v>61</v>
      </c>
      <c r="C1892" t="s">
        <v>85</v>
      </c>
      <c r="D1892" t="s">
        <v>17</v>
      </c>
      <c r="E1892" t="s">
        <v>208</v>
      </c>
      <c r="F1892">
        <v>0</v>
      </c>
      <c r="G1892">
        <f>MAX(I1887,I1800,I1890,I1802,I1891,I1889)</f>
        <v>4576765</v>
      </c>
      <c r="H1892">
        <f>'Operations'!I26</f>
        <v>40960</v>
      </c>
      <c r="I1892">
        <f>G1892+H1892</f>
        <v>4617725</v>
      </c>
      <c r="J1892">
        <f>IF(AND(D1892&lt;&gt;"dram",D1892&lt;&gt;"control"),H1892,0)</f>
        <v>40960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362</v>
      </c>
      <c r="C1893" t="s">
        <v>82</v>
      </c>
      <c r="D1893" t="s">
        <v>83</v>
      </c>
      <c r="E1893" t="s">
        <v>208</v>
      </c>
      <c r="F1893">
        <v>0</v>
      </c>
      <c r="G1893">
        <f>MAX(I1888,I1887)</f>
        <v>4535805</v>
      </c>
      <c r="H1893">
        <f>0</f>
        <v>40960</v>
      </c>
      <c r="I1893">
        <f>G1893+H1893</f>
        <v>4576765</v>
      </c>
      <c r="J1893">
        <f>IF(AND(D1893&lt;&gt;"dram",D1893&lt;&gt;"control"),H1893,0)</f>
        <v>0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363</v>
      </c>
      <c r="C1894" t="s">
        <v>87</v>
      </c>
      <c r="D1894" t="s">
        <v>79</v>
      </c>
      <c r="E1894" t="s">
        <v>208</v>
      </c>
      <c r="F1894">
        <v>1280</v>
      </c>
      <c r="G1894">
        <f>MAX(I1893,I1891)</f>
        <v>4576765</v>
      </c>
      <c r="H1894">
        <f>CEILING((dram_access_latency+F1894/dram_bandwidth)*frequency,1)</f>
        <v>119</v>
      </c>
      <c r="I1894">
        <f>G1894+H1894</f>
        <v>4576884</v>
      </c>
      <c r="J1894">
        <f>IF(AND(D1894&lt;&gt;"dram",D1894&lt;&gt;"control"),H1894,0)</f>
        <v>0</v>
      </c>
      <c r="K1894">
        <f>IF(D1894="dram",H1894,0)</f>
        <v>119</v>
      </c>
      <c r="L1894">
        <v>0</v>
      </c>
      <c r="M1894">
        <v>1280</v>
      </c>
    </row>
    <row r="1895" spans="1:13">
      <c r="A1895">
        <v>1893</v>
      </c>
      <c r="B1895" t="s">
        <v>359</v>
      </c>
      <c r="C1895" t="s">
        <v>78</v>
      </c>
      <c r="D1895" t="s">
        <v>79</v>
      </c>
      <c r="E1895" t="s">
        <v>209</v>
      </c>
      <c r="F1895">
        <v>1310720</v>
      </c>
      <c r="G1895">
        <f>MAX(I1893,I1894)</f>
        <v>4576884</v>
      </c>
      <c r="H1895">
        <f>CEILING((dram_access_latency+F1895/dram_bandwidth)*frequency,1)</f>
        <v>19376</v>
      </c>
      <c r="I1895">
        <f>G1895+H1895</f>
        <v>4596260</v>
      </c>
      <c r="J1895">
        <f>IF(AND(D1895&lt;&gt;"dram",D1895&lt;&gt;"control"),H1895,0)</f>
        <v>0</v>
      </c>
      <c r="K1895">
        <f>IF(D1895="dram",H1895,0)</f>
        <v>19376</v>
      </c>
      <c r="L1895">
        <v>1310720</v>
      </c>
      <c r="M1895">
        <v>0</v>
      </c>
    </row>
    <row r="1896" spans="1:13">
      <c r="A1896">
        <v>1894</v>
      </c>
      <c r="B1896" t="s">
        <v>361</v>
      </c>
      <c r="C1896" t="s">
        <v>78</v>
      </c>
      <c r="D1896" t="s">
        <v>79</v>
      </c>
      <c r="E1896" t="s">
        <v>209</v>
      </c>
      <c r="F1896">
        <v>40960</v>
      </c>
      <c r="G1896">
        <f>MAX(I1893,I1895)</f>
        <v>4596260</v>
      </c>
      <c r="H1896">
        <f>CEILING((dram_access_latency+F1896/dram_bandwidth)*frequency,1)</f>
        <v>703</v>
      </c>
      <c r="I1896">
        <f>G1896+H1896</f>
        <v>4596963</v>
      </c>
      <c r="J1896">
        <f>IF(AND(D1896&lt;&gt;"dram",D1896&lt;&gt;"control"),H1896,0)</f>
        <v>0</v>
      </c>
      <c r="K1896">
        <f>IF(D1896="dram",H1896,0)</f>
        <v>703</v>
      </c>
      <c r="L1896">
        <v>40960</v>
      </c>
      <c r="M1896">
        <v>0</v>
      </c>
    </row>
    <row r="1897" spans="1:13">
      <c r="A1897">
        <v>1895</v>
      </c>
      <c r="B1897" t="s">
        <v>61</v>
      </c>
      <c r="C1897" t="s">
        <v>85</v>
      </c>
      <c r="D1897" t="s">
        <v>17</v>
      </c>
      <c r="E1897" t="s">
        <v>209</v>
      </c>
      <c r="F1897">
        <v>0</v>
      </c>
      <c r="G1897">
        <f>MAX(I1892,I1800,I1895,I1802,I1896,I1894)</f>
        <v>4617725</v>
      </c>
      <c r="H1897">
        <f>'Operations'!I26</f>
        <v>40960</v>
      </c>
      <c r="I1897">
        <f>G1897+H1897</f>
        <v>4658685</v>
      </c>
      <c r="J1897">
        <f>IF(AND(D1897&lt;&gt;"dram",D1897&lt;&gt;"control"),H1897,0)</f>
        <v>40960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362</v>
      </c>
      <c r="C1898" t="s">
        <v>82</v>
      </c>
      <c r="D1898" t="s">
        <v>83</v>
      </c>
      <c r="E1898" t="s">
        <v>209</v>
      </c>
      <c r="F1898">
        <v>0</v>
      </c>
      <c r="G1898">
        <f>MAX(I1893,I1892)</f>
        <v>4576765</v>
      </c>
      <c r="H1898">
        <f>0</f>
        <v>40960</v>
      </c>
      <c r="I1898">
        <f>G1898+H1898</f>
        <v>4617725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363</v>
      </c>
      <c r="C1899" t="s">
        <v>87</v>
      </c>
      <c r="D1899" t="s">
        <v>79</v>
      </c>
      <c r="E1899" t="s">
        <v>209</v>
      </c>
      <c r="F1899">
        <v>1280</v>
      </c>
      <c r="G1899">
        <f>MAX(I1898,I1896)</f>
        <v>4617725</v>
      </c>
      <c r="H1899">
        <f>CEILING((dram_access_latency+F1899/dram_bandwidth)*frequency,1)</f>
        <v>119</v>
      </c>
      <c r="I1899">
        <f>G1899+H1899</f>
        <v>4617844</v>
      </c>
      <c r="J1899">
        <f>IF(AND(D1899&lt;&gt;"dram",D1899&lt;&gt;"control"),H1899,0)</f>
        <v>0</v>
      </c>
      <c r="K1899">
        <f>IF(D1899="dram",H1899,0)</f>
        <v>119</v>
      </c>
      <c r="L1899">
        <v>0</v>
      </c>
      <c r="M1899">
        <v>1280</v>
      </c>
    </row>
    <row r="1900" spans="1:13">
      <c r="A1900">
        <v>1898</v>
      </c>
      <c r="B1900" t="s">
        <v>359</v>
      </c>
      <c r="C1900" t="s">
        <v>78</v>
      </c>
      <c r="D1900" t="s">
        <v>79</v>
      </c>
      <c r="E1900" t="s">
        <v>210</v>
      </c>
      <c r="F1900">
        <v>1310720</v>
      </c>
      <c r="G1900">
        <f>MAX(I1898,I1899)</f>
        <v>4617844</v>
      </c>
      <c r="H1900">
        <f>CEILING((dram_access_latency+F1900/dram_bandwidth)*frequency,1)</f>
        <v>19376</v>
      </c>
      <c r="I1900">
        <f>G1900+H1900</f>
        <v>4637220</v>
      </c>
      <c r="J1900">
        <f>IF(AND(D1900&lt;&gt;"dram",D1900&lt;&gt;"control"),H1900,0)</f>
        <v>0</v>
      </c>
      <c r="K1900">
        <f>IF(D1900="dram",H1900,0)</f>
        <v>19376</v>
      </c>
      <c r="L1900">
        <v>1310720</v>
      </c>
      <c r="M1900">
        <v>0</v>
      </c>
    </row>
    <row r="1901" spans="1:13">
      <c r="A1901">
        <v>1899</v>
      </c>
      <c r="B1901" t="s">
        <v>361</v>
      </c>
      <c r="C1901" t="s">
        <v>78</v>
      </c>
      <c r="D1901" t="s">
        <v>79</v>
      </c>
      <c r="E1901" t="s">
        <v>210</v>
      </c>
      <c r="F1901">
        <v>40960</v>
      </c>
      <c r="G1901">
        <f>MAX(I1898,I1900)</f>
        <v>4637220</v>
      </c>
      <c r="H1901">
        <f>CEILING((dram_access_latency+F1901/dram_bandwidth)*frequency,1)</f>
        <v>703</v>
      </c>
      <c r="I1901">
        <f>G1901+H1901</f>
        <v>4637923</v>
      </c>
      <c r="J1901">
        <f>IF(AND(D1901&lt;&gt;"dram",D1901&lt;&gt;"control"),H1901,0)</f>
        <v>0</v>
      </c>
      <c r="K1901">
        <f>IF(D1901="dram",H1901,0)</f>
        <v>703</v>
      </c>
      <c r="L1901">
        <v>40960</v>
      </c>
      <c r="M1901">
        <v>0</v>
      </c>
    </row>
    <row r="1902" spans="1:13">
      <c r="A1902">
        <v>1900</v>
      </c>
      <c r="B1902" t="s">
        <v>61</v>
      </c>
      <c r="C1902" t="s">
        <v>85</v>
      </c>
      <c r="D1902" t="s">
        <v>17</v>
      </c>
      <c r="E1902" t="s">
        <v>210</v>
      </c>
      <c r="F1902">
        <v>0</v>
      </c>
      <c r="G1902">
        <f>MAX(I1897,I1800,I1900,I1802,I1901,I1899)</f>
        <v>4658685</v>
      </c>
      <c r="H1902">
        <f>'Operations'!I26</f>
        <v>40960</v>
      </c>
      <c r="I1902">
        <f>G1902+H1902</f>
        <v>4699645</v>
      </c>
      <c r="J1902">
        <f>IF(AND(D1902&lt;&gt;"dram",D1902&lt;&gt;"control"),H1902,0)</f>
        <v>40960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362</v>
      </c>
      <c r="C1903" t="s">
        <v>82</v>
      </c>
      <c r="D1903" t="s">
        <v>83</v>
      </c>
      <c r="E1903" t="s">
        <v>210</v>
      </c>
      <c r="F1903">
        <v>0</v>
      </c>
      <c r="G1903">
        <f>MAX(I1898,I1897)</f>
        <v>4617725</v>
      </c>
      <c r="H1903">
        <f>0</f>
        <v>40960</v>
      </c>
      <c r="I1903">
        <f>G1903+H1903</f>
        <v>4658685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363</v>
      </c>
      <c r="C1904" t="s">
        <v>87</v>
      </c>
      <c r="D1904" t="s">
        <v>79</v>
      </c>
      <c r="E1904" t="s">
        <v>210</v>
      </c>
      <c r="F1904">
        <v>1280</v>
      </c>
      <c r="G1904">
        <f>MAX(I1903,I1901)</f>
        <v>4658685</v>
      </c>
      <c r="H1904">
        <f>CEILING((dram_access_latency+F1904/dram_bandwidth)*frequency,1)</f>
        <v>119</v>
      </c>
      <c r="I1904">
        <f>G1904+H1904</f>
        <v>4658804</v>
      </c>
      <c r="J1904">
        <f>IF(AND(D1904&lt;&gt;"dram",D1904&lt;&gt;"control"),H1904,0)</f>
        <v>0</v>
      </c>
      <c r="K1904">
        <f>IF(D1904="dram",H1904,0)</f>
        <v>119</v>
      </c>
      <c r="L1904">
        <v>0</v>
      </c>
      <c r="M1904">
        <v>1280</v>
      </c>
    </row>
    <row r="1905" spans="1:13">
      <c r="A1905">
        <v>1903</v>
      </c>
      <c r="B1905" t="s">
        <v>359</v>
      </c>
      <c r="C1905" t="s">
        <v>78</v>
      </c>
      <c r="D1905" t="s">
        <v>79</v>
      </c>
      <c r="E1905" t="s">
        <v>211</v>
      </c>
      <c r="F1905">
        <v>1310720</v>
      </c>
      <c r="G1905">
        <f>MAX(I1903,I1904)</f>
        <v>4658804</v>
      </c>
      <c r="H1905">
        <f>CEILING((dram_access_latency+F1905/dram_bandwidth)*frequency,1)</f>
        <v>19376</v>
      </c>
      <c r="I1905">
        <f>G1905+H1905</f>
        <v>4678180</v>
      </c>
      <c r="J1905">
        <f>IF(AND(D1905&lt;&gt;"dram",D1905&lt;&gt;"control"),H1905,0)</f>
        <v>0</v>
      </c>
      <c r="K1905">
        <f>IF(D1905="dram",H1905,0)</f>
        <v>19376</v>
      </c>
      <c r="L1905">
        <v>1310720</v>
      </c>
      <c r="M1905">
        <v>0</v>
      </c>
    </row>
    <row r="1906" spans="1:13">
      <c r="A1906">
        <v>1904</v>
      </c>
      <c r="B1906" t="s">
        <v>361</v>
      </c>
      <c r="C1906" t="s">
        <v>78</v>
      </c>
      <c r="D1906" t="s">
        <v>79</v>
      </c>
      <c r="E1906" t="s">
        <v>211</v>
      </c>
      <c r="F1906">
        <v>40960</v>
      </c>
      <c r="G1906">
        <f>MAX(I1903,I1905)</f>
        <v>4678180</v>
      </c>
      <c r="H1906">
        <f>CEILING((dram_access_latency+F1906/dram_bandwidth)*frequency,1)</f>
        <v>703</v>
      </c>
      <c r="I1906">
        <f>G1906+H1906</f>
        <v>4678883</v>
      </c>
      <c r="J1906">
        <f>IF(AND(D1906&lt;&gt;"dram",D1906&lt;&gt;"control"),H1906,0)</f>
        <v>0</v>
      </c>
      <c r="K1906">
        <f>IF(D1906="dram",H1906,0)</f>
        <v>703</v>
      </c>
      <c r="L1906">
        <v>40960</v>
      </c>
      <c r="M1906">
        <v>0</v>
      </c>
    </row>
    <row r="1907" spans="1:13">
      <c r="A1907">
        <v>1905</v>
      </c>
      <c r="B1907" t="s">
        <v>61</v>
      </c>
      <c r="C1907" t="s">
        <v>85</v>
      </c>
      <c r="D1907" t="s">
        <v>17</v>
      </c>
      <c r="E1907" t="s">
        <v>211</v>
      </c>
      <c r="F1907">
        <v>0</v>
      </c>
      <c r="G1907">
        <f>MAX(I1902,I1800,I1905,I1802,I1906,I1904)</f>
        <v>4699645</v>
      </c>
      <c r="H1907">
        <f>'Operations'!I26</f>
        <v>40960</v>
      </c>
      <c r="I1907">
        <f>G1907+H1907</f>
        <v>4740605</v>
      </c>
      <c r="J1907">
        <f>IF(AND(D1907&lt;&gt;"dram",D1907&lt;&gt;"control"),H1907,0)</f>
        <v>40960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362</v>
      </c>
      <c r="C1908" t="s">
        <v>82</v>
      </c>
      <c r="D1908" t="s">
        <v>83</v>
      </c>
      <c r="E1908" t="s">
        <v>211</v>
      </c>
      <c r="F1908">
        <v>0</v>
      </c>
      <c r="G1908">
        <f>MAX(I1903,I1902)</f>
        <v>4658685</v>
      </c>
      <c r="H1908">
        <f>0</f>
        <v>40960</v>
      </c>
      <c r="I1908">
        <f>G1908+H1908</f>
        <v>4699645</v>
      </c>
      <c r="J1908">
        <f>IF(AND(D1908&lt;&gt;"dram",D1908&lt;&gt;"control"),H1908,0)</f>
        <v>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363</v>
      </c>
      <c r="C1909" t="s">
        <v>87</v>
      </c>
      <c r="D1909" t="s">
        <v>79</v>
      </c>
      <c r="E1909" t="s">
        <v>211</v>
      </c>
      <c r="F1909">
        <v>1280</v>
      </c>
      <c r="G1909">
        <f>MAX(I1908,I1906)</f>
        <v>4699645</v>
      </c>
      <c r="H1909">
        <f>CEILING((dram_access_latency+F1909/dram_bandwidth)*frequency,1)</f>
        <v>119</v>
      </c>
      <c r="I1909">
        <f>G1909+H1909</f>
        <v>4699764</v>
      </c>
      <c r="J1909">
        <f>IF(AND(D1909&lt;&gt;"dram",D1909&lt;&gt;"control"),H1909,0)</f>
        <v>0</v>
      </c>
      <c r="K1909">
        <f>IF(D1909="dram",H1909,0)</f>
        <v>119</v>
      </c>
      <c r="L1909">
        <v>0</v>
      </c>
      <c r="M1909">
        <v>1280</v>
      </c>
    </row>
    <row r="1910" spans="1:13">
      <c r="A1910">
        <v>1908</v>
      </c>
      <c r="B1910" t="s">
        <v>359</v>
      </c>
      <c r="C1910" t="s">
        <v>78</v>
      </c>
      <c r="D1910" t="s">
        <v>79</v>
      </c>
      <c r="E1910" t="s">
        <v>212</v>
      </c>
      <c r="F1910">
        <v>1310720</v>
      </c>
      <c r="G1910">
        <f>MAX(I1908,I1909)</f>
        <v>4699764</v>
      </c>
      <c r="H1910">
        <f>CEILING((dram_access_latency+F1910/dram_bandwidth)*frequency,1)</f>
        <v>19376</v>
      </c>
      <c r="I1910">
        <f>G1910+H1910</f>
        <v>4719140</v>
      </c>
      <c r="J1910">
        <f>IF(AND(D1910&lt;&gt;"dram",D1910&lt;&gt;"control"),H1910,0)</f>
        <v>0</v>
      </c>
      <c r="K1910">
        <f>IF(D1910="dram",H1910,0)</f>
        <v>19376</v>
      </c>
      <c r="L1910">
        <v>1310720</v>
      </c>
      <c r="M1910">
        <v>0</v>
      </c>
    </row>
    <row r="1911" spans="1:13">
      <c r="A1911">
        <v>1909</v>
      </c>
      <c r="B1911" t="s">
        <v>361</v>
      </c>
      <c r="C1911" t="s">
        <v>78</v>
      </c>
      <c r="D1911" t="s">
        <v>79</v>
      </c>
      <c r="E1911" t="s">
        <v>212</v>
      </c>
      <c r="F1911">
        <v>40960</v>
      </c>
      <c r="G1911">
        <f>MAX(I1908,I1910)</f>
        <v>4719140</v>
      </c>
      <c r="H1911">
        <f>CEILING((dram_access_latency+F1911/dram_bandwidth)*frequency,1)</f>
        <v>703</v>
      </c>
      <c r="I1911">
        <f>G1911+H1911</f>
        <v>4719843</v>
      </c>
      <c r="J1911">
        <f>IF(AND(D1911&lt;&gt;"dram",D1911&lt;&gt;"control"),H1911,0)</f>
        <v>0</v>
      </c>
      <c r="K1911">
        <f>IF(D1911="dram",H1911,0)</f>
        <v>703</v>
      </c>
      <c r="L1911">
        <v>40960</v>
      </c>
      <c r="M1911">
        <v>0</v>
      </c>
    </row>
    <row r="1912" spans="1:13">
      <c r="A1912">
        <v>1910</v>
      </c>
      <c r="B1912" t="s">
        <v>61</v>
      </c>
      <c r="C1912" t="s">
        <v>85</v>
      </c>
      <c r="D1912" t="s">
        <v>17</v>
      </c>
      <c r="E1912" t="s">
        <v>212</v>
      </c>
      <c r="F1912">
        <v>0</v>
      </c>
      <c r="G1912">
        <f>MAX(I1907,I1800,I1910,I1802,I1911,I1909)</f>
        <v>4740605</v>
      </c>
      <c r="H1912">
        <f>'Operations'!I26</f>
        <v>40960</v>
      </c>
      <c r="I1912">
        <f>G1912+H1912</f>
        <v>4781565</v>
      </c>
      <c r="J1912">
        <f>IF(AND(D1912&lt;&gt;"dram",D1912&lt;&gt;"control"),H1912,0)</f>
        <v>40960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362</v>
      </c>
      <c r="C1913" t="s">
        <v>82</v>
      </c>
      <c r="D1913" t="s">
        <v>83</v>
      </c>
      <c r="E1913" t="s">
        <v>212</v>
      </c>
      <c r="F1913">
        <v>0</v>
      </c>
      <c r="G1913">
        <f>MAX(I1908,I1907)</f>
        <v>4699645</v>
      </c>
      <c r="H1913">
        <f>0</f>
        <v>40960</v>
      </c>
      <c r="I1913">
        <f>G1913+H1913</f>
        <v>4740605</v>
      </c>
      <c r="J1913">
        <f>IF(AND(D1913&lt;&gt;"dram",D1913&lt;&gt;"control"),H1913,0)</f>
        <v>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363</v>
      </c>
      <c r="C1914" t="s">
        <v>87</v>
      </c>
      <c r="D1914" t="s">
        <v>79</v>
      </c>
      <c r="E1914" t="s">
        <v>212</v>
      </c>
      <c r="F1914">
        <v>1280</v>
      </c>
      <c r="G1914">
        <f>MAX(I1913,I1911)</f>
        <v>4740605</v>
      </c>
      <c r="H1914">
        <f>CEILING((dram_access_latency+F1914/dram_bandwidth)*frequency,1)</f>
        <v>119</v>
      </c>
      <c r="I1914">
        <f>G1914+H1914</f>
        <v>4740724</v>
      </c>
      <c r="J1914">
        <f>IF(AND(D1914&lt;&gt;"dram",D1914&lt;&gt;"control"),H1914,0)</f>
        <v>0</v>
      </c>
      <c r="K1914">
        <f>IF(D1914="dram",H1914,0)</f>
        <v>119</v>
      </c>
      <c r="L1914">
        <v>0</v>
      </c>
      <c r="M1914">
        <v>1280</v>
      </c>
    </row>
    <row r="1915" spans="1:13">
      <c r="A1915">
        <v>1913</v>
      </c>
      <c r="B1915" t="s">
        <v>359</v>
      </c>
      <c r="C1915" t="s">
        <v>78</v>
      </c>
      <c r="D1915" t="s">
        <v>79</v>
      </c>
      <c r="E1915" t="s">
        <v>213</v>
      </c>
      <c r="F1915">
        <v>1310720</v>
      </c>
      <c r="G1915">
        <f>MAX(I1913,I1914)</f>
        <v>4740724</v>
      </c>
      <c r="H1915">
        <f>CEILING((dram_access_latency+F1915/dram_bandwidth)*frequency,1)</f>
        <v>19376</v>
      </c>
      <c r="I1915">
        <f>G1915+H1915</f>
        <v>4760100</v>
      </c>
      <c r="J1915">
        <f>IF(AND(D1915&lt;&gt;"dram",D1915&lt;&gt;"control"),H1915,0)</f>
        <v>0</v>
      </c>
      <c r="K1915">
        <f>IF(D1915="dram",H1915,0)</f>
        <v>19376</v>
      </c>
      <c r="L1915">
        <v>1310720</v>
      </c>
      <c r="M1915">
        <v>0</v>
      </c>
    </row>
    <row r="1916" spans="1:13">
      <c r="A1916">
        <v>1914</v>
      </c>
      <c r="B1916" t="s">
        <v>361</v>
      </c>
      <c r="C1916" t="s">
        <v>78</v>
      </c>
      <c r="D1916" t="s">
        <v>79</v>
      </c>
      <c r="E1916" t="s">
        <v>213</v>
      </c>
      <c r="F1916">
        <v>40960</v>
      </c>
      <c r="G1916">
        <f>MAX(I1913,I1915)</f>
        <v>4760100</v>
      </c>
      <c r="H1916">
        <f>CEILING((dram_access_latency+F1916/dram_bandwidth)*frequency,1)</f>
        <v>703</v>
      </c>
      <c r="I1916">
        <f>G1916+H1916</f>
        <v>4760803</v>
      </c>
      <c r="J1916">
        <f>IF(AND(D1916&lt;&gt;"dram",D1916&lt;&gt;"control"),H1916,0)</f>
        <v>0</v>
      </c>
      <c r="K1916">
        <f>IF(D1916="dram",H1916,0)</f>
        <v>703</v>
      </c>
      <c r="L1916">
        <v>40960</v>
      </c>
      <c r="M1916">
        <v>0</v>
      </c>
    </row>
    <row r="1917" spans="1:13">
      <c r="A1917">
        <v>1915</v>
      </c>
      <c r="B1917" t="s">
        <v>61</v>
      </c>
      <c r="C1917" t="s">
        <v>85</v>
      </c>
      <c r="D1917" t="s">
        <v>17</v>
      </c>
      <c r="E1917" t="s">
        <v>213</v>
      </c>
      <c r="F1917">
        <v>0</v>
      </c>
      <c r="G1917">
        <f>MAX(I1912,I1800,I1915,I1802,I1916,I1914)</f>
        <v>4781565</v>
      </c>
      <c r="H1917">
        <f>'Operations'!I26</f>
        <v>40960</v>
      </c>
      <c r="I1917">
        <f>G1917+H1917</f>
        <v>4822525</v>
      </c>
      <c r="J1917">
        <f>IF(AND(D1917&lt;&gt;"dram",D1917&lt;&gt;"control"),H1917,0)</f>
        <v>40960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362</v>
      </c>
      <c r="C1918" t="s">
        <v>82</v>
      </c>
      <c r="D1918" t="s">
        <v>83</v>
      </c>
      <c r="E1918" t="s">
        <v>213</v>
      </c>
      <c r="F1918">
        <v>0</v>
      </c>
      <c r="G1918">
        <f>MAX(I1913,I1912)</f>
        <v>4740605</v>
      </c>
      <c r="H1918">
        <f>0</f>
        <v>40960</v>
      </c>
      <c r="I1918">
        <f>G1918+H1918</f>
        <v>4781565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363</v>
      </c>
      <c r="C1919" t="s">
        <v>87</v>
      </c>
      <c r="D1919" t="s">
        <v>79</v>
      </c>
      <c r="E1919" t="s">
        <v>213</v>
      </c>
      <c r="F1919">
        <v>1280</v>
      </c>
      <c r="G1919">
        <f>MAX(I1918,I1916)</f>
        <v>4781565</v>
      </c>
      <c r="H1919">
        <f>CEILING((dram_access_latency+F1919/dram_bandwidth)*frequency,1)</f>
        <v>119</v>
      </c>
      <c r="I1919">
        <f>G1919+H1919</f>
        <v>4781684</v>
      </c>
      <c r="J1919">
        <f>IF(AND(D1919&lt;&gt;"dram",D1919&lt;&gt;"control"),H1919,0)</f>
        <v>0</v>
      </c>
      <c r="K1919">
        <f>IF(D1919="dram",H1919,0)</f>
        <v>119</v>
      </c>
      <c r="L1919">
        <v>0</v>
      </c>
      <c r="M1919">
        <v>1280</v>
      </c>
    </row>
    <row r="1920" spans="1:13">
      <c r="A1920">
        <v>1918</v>
      </c>
      <c r="B1920" t="s">
        <v>359</v>
      </c>
      <c r="C1920" t="s">
        <v>78</v>
      </c>
      <c r="D1920" t="s">
        <v>79</v>
      </c>
      <c r="E1920" t="s">
        <v>214</v>
      </c>
      <c r="F1920">
        <v>1310720</v>
      </c>
      <c r="G1920">
        <f>MAX(I1918,I1919)</f>
        <v>4781684</v>
      </c>
      <c r="H1920">
        <f>CEILING((dram_access_latency+F1920/dram_bandwidth)*frequency,1)</f>
        <v>19376</v>
      </c>
      <c r="I1920">
        <f>G1920+H1920</f>
        <v>4801060</v>
      </c>
      <c r="J1920">
        <f>IF(AND(D1920&lt;&gt;"dram",D1920&lt;&gt;"control"),H1920,0)</f>
        <v>0</v>
      </c>
      <c r="K1920">
        <f>IF(D1920="dram",H1920,0)</f>
        <v>19376</v>
      </c>
      <c r="L1920">
        <v>1310720</v>
      </c>
      <c r="M1920">
        <v>0</v>
      </c>
    </row>
    <row r="1921" spans="1:13">
      <c r="A1921">
        <v>1919</v>
      </c>
      <c r="B1921" t="s">
        <v>361</v>
      </c>
      <c r="C1921" t="s">
        <v>78</v>
      </c>
      <c r="D1921" t="s">
        <v>79</v>
      </c>
      <c r="E1921" t="s">
        <v>214</v>
      </c>
      <c r="F1921">
        <v>40960</v>
      </c>
      <c r="G1921">
        <f>MAX(I1918,I1920)</f>
        <v>4801060</v>
      </c>
      <c r="H1921">
        <f>CEILING((dram_access_latency+F1921/dram_bandwidth)*frequency,1)</f>
        <v>703</v>
      </c>
      <c r="I1921">
        <f>G1921+H1921</f>
        <v>4801763</v>
      </c>
      <c r="J1921">
        <f>IF(AND(D1921&lt;&gt;"dram",D1921&lt;&gt;"control"),H1921,0)</f>
        <v>0</v>
      </c>
      <c r="K1921">
        <f>IF(D1921="dram",H1921,0)</f>
        <v>703</v>
      </c>
      <c r="L1921">
        <v>40960</v>
      </c>
      <c r="M1921">
        <v>0</v>
      </c>
    </row>
    <row r="1922" spans="1:13">
      <c r="A1922">
        <v>1920</v>
      </c>
      <c r="B1922" t="s">
        <v>61</v>
      </c>
      <c r="C1922" t="s">
        <v>85</v>
      </c>
      <c r="D1922" t="s">
        <v>17</v>
      </c>
      <c r="E1922" t="s">
        <v>214</v>
      </c>
      <c r="F1922">
        <v>0</v>
      </c>
      <c r="G1922">
        <f>MAX(I1917,I1800,I1920,I1802,I1921,I1919)</f>
        <v>4822525</v>
      </c>
      <c r="H1922">
        <f>'Operations'!I26</f>
        <v>40960</v>
      </c>
      <c r="I1922">
        <f>G1922+H1922</f>
        <v>4863485</v>
      </c>
      <c r="J1922">
        <f>IF(AND(D1922&lt;&gt;"dram",D1922&lt;&gt;"control"),H1922,0)</f>
        <v>40960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362</v>
      </c>
      <c r="C1923" t="s">
        <v>82</v>
      </c>
      <c r="D1923" t="s">
        <v>83</v>
      </c>
      <c r="E1923" t="s">
        <v>214</v>
      </c>
      <c r="F1923">
        <v>0</v>
      </c>
      <c r="G1923">
        <f>MAX(I1918,I1917)</f>
        <v>4781565</v>
      </c>
      <c r="H1923">
        <f>0</f>
        <v>40960</v>
      </c>
      <c r="I1923">
        <f>G1923+H1923</f>
        <v>4822525</v>
      </c>
      <c r="J1923">
        <f>IF(AND(D1923&lt;&gt;"dram",D1923&lt;&gt;"control"),H1923,0)</f>
        <v>0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363</v>
      </c>
      <c r="C1924" t="s">
        <v>87</v>
      </c>
      <c r="D1924" t="s">
        <v>79</v>
      </c>
      <c r="E1924" t="s">
        <v>214</v>
      </c>
      <c r="F1924">
        <v>1280</v>
      </c>
      <c r="G1924">
        <f>MAX(I1923,I1921)</f>
        <v>4822525</v>
      </c>
      <c r="H1924">
        <f>CEILING((dram_access_latency+F1924/dram_bandwidth)*frequency,1)</f>
        <v>119</v>
      </c>
      <c r="I1924">
        <f>G1924+H1924</f>
        <v>4822644</v>
      </c>
      <c r="J1924">
        <f>IF(AND(D1924&lt;&gt;"dram",D1924&lt;&gt;"control"),H1924,0)</f>
        <v>0</v>
      </c>
      <c r="K1924">
        <f>IF(D1924="dram",H1924,0)</f>
        <v>119</v>
      </c>
      <c r="L1924">
        <v>0</v>
      </c>
      <c r="M1924">
        <v>1280</v>
      </c>
    </row>
    <row r="1925" spans="1:13">
      <c r="A1925">
        <v>1923</v>
      </c>
      <c r="B1925" t="s">
        <v>359</v>
      </c>
      <c r="C1925" t="s">
        <v>78</v>
      </c>
      <c r="D1925" t="s">
        <v>79</v>
      </c>
      <c r="E1925" t="s">
        <v>215</v>
      </c>
      <c r="F1925">
        <v>1310720</v>
      </c>
      <c r="G1925">
        <f>MAX(I1923,I1924)</f>
        <v>4822644</v>
      </c>
      <c r="H1925">
        <f>CEILING((dram_access_latency+F1925/dram_bandwidth)*frequency,1)</f>
        <v>19376</v>
      </c>
      <c r="I1925">
        <f>G1925+H1925</f>
        <v>4842020</v>
      </c>
      <c r="J1925">
        <f>IF(AND(D1925&lt;&gt;"dram",D1925&lt;&gt;"control"),H1925,0)</f>
        <v>0</v>
      </c>
      <c r="K1925">
        <f>IF(D1925="dram",H1925,0)</f>
        <v>19376</v>
      </c>
      <c r="L1925">
        <v>1310720</v>
      </c>
      <c r="M1925">
        <v>0</v>
      </c>
    </row>
    <row r="1926" spans="1:13">
      <c r="A1926">
        <v>1924</v>
      </c>
      <c r="B1926" t="s">
        <v>361</v>
      </c>
      <c r="C1926" t="s">
        <v>78</v>
      </c>
      <c r="D1926" t="s">
        <v>79</v>
      </c>
      <c r="E1926" t="s">
        <v>215</v>
      </c>
      <c r="F1926">
        <v>40960</v>
      </c>
      <c r="G1926">
        <f>MAX(I1923,I1925)</f>
        <v>4842020</v>
      </c>
      <c r="H1926">
        <f>CEILING((dram_access_latency+F1926/dram_bandwidth)*frequency,1)</f>
        <v>703</v>
      </c>
      <c r="I1926">
        <f>G1926+H1926</f>
        <v>4842723</v>
      </c>
      <c r="J1926">
        <f>IF(AND(D1926&lt;&gt;"dram",D1926&lt;&gt;"control"),H1926,0)</f>
        <v>0</v>
      </c>
      <c r="K1926">
        <f>IF(D1926="dram",H1926,0)</f>
        <v>703</v>
      </c>
      <c r="L1926">
        <v>40960</v>
      </c>
      <c r="M1926">
        <v>0</v>
      </c>
    </row>
    <row r="1927" spans="1:13">
      <c r="A1927">
        <v>1925</v>
      </c>
      <c r="B1927" t="s">
        <v>61</v>
      </c>
      <c r="C1927" t="s">
        <v>85</v>
      </c>
      <c r="D1927" t="s">
        <v>17</v>
      </c>
      <c r="E1927" t="s">
        <v>215</v>
      </c>
      <c r="F1927">
        <v>0</v>
      </c>
      <c r="G1927">
        <f>MAX(I1922,I1800,I1925,I1802,I1926,I1924)</f>
        <v>4863485</v>
      </c>
      <c r="H1927">
        <f>'Operations'!I26</f>
        <v>40960</v>
      </c>
      <c r="I1927">
        <f>G1927+H1927</f>
        <v>4904445</v>
      </c>
      <c r="J1927">
        <f>IF(AND(D1927&lt;&gt;"dram",D1927&lt;&gt;"control"),H1927,0)</f>
        <v>40960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362</v>
      </c>
      <c r="C1928" t="s">
        <v>82</v>
      </c>
      <c r="D1928" t="s">
        <v>83</v>
      </c>
      <c r="E1928" t="s">
        <v>215</v>
      </c>
      <c r="F1928">
        <v>0</v>
      </c>
      <c r="G1928">
        <f>MAX(I1923,I1922)</f>
        <v>4822525</v>
      </c>
      <c r="H1928">
        <f>0</f>
        <v>40960</v>
      </c>
      <c r="I1928">
        <f>G1928+H1928</f>
        <v>4863485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363</v>
      </c>
      <c r="C1929" t="s">
        <v>87</v>
      </c>
      <c r="D1929" t="s">
        <v>79</v>
      </c>
      <c r="E1929" t="s">
        <v>215</v>
      </c>
      <c r="F1929">
        <v>1280</v>
      </c>
      <c r="G1929">
        <f>MAX(I1928,I1926)</f>
        <v>4863485</v>
      </c>
      <c r="H1929">
        <f>CEILING((dram_access_latency+F1929/dram_bandwidth)*frequency,1)</f>
        <v>119</v>
      </c>
      <c r="I1929">
        <f>G1929+H1929</f>
        <v>4863604</v>
      </c>
      <c r="J1929">
        <f>IF(AND(D1929&lt;&gt;"dram",D1929&lt;&gt;"control"),H1929,0)</f>
        <v>0</v>
      </c>
      <c r="K1929">
        <f>IF(D1929="dram",H1929,0)</f>
        <v>119</v>
      </c>
      <c r="L1929">
        <v>0</v>
      </c>
      <c r="M1929">
        <v>1280</v>
      </c>
    </row>
    <row r="1930" spans="1:13">
      <c r="A1930">
        <v>1928</v>
      </c>
      <c r="B1930" t="s">
        <v>359</v>
      </c>
      <c r="C1930" t="s">
        <v>78</v>
      </c>
      <c r="D1930" t="s">
        <v>79</v>
      </c>
      <c r="E1930" t="s">
        <v>216</v>
      </c>
      <c r="F1930">
        <v>1310720</v>
      </c>
      <c r="G1930">
        <f>MAX(I1928,I1929)</f>
        <v>4863604</v>
      </c>
      <c r="H1930">
        <f>CEILING((dram_access_latency+F1930/dram_bandwidth)*frequency,1)</f>
        <v>19376</v>
      </c>
      <c r="I1930">
        <f>G1930+H1930</f>
        <v>4882980</v>
      </c>
      <c r="J1930">
        <f>IF(AND(D1930&lt;&gt;"dram",D1930&lt;&gt;"control"),H1930,0)</f>
        <v>0</v>
      </c>
      <c r="K1930">
        <f>IF(D1930="dram",H1930,0)</f>
        <v>19376</v>
      </c>
      <c r="L1930">
        <v>1310720</v>
      </c>
      <c r="M1930">
        <v>0</v>
      </c>
    </row>
    <row r="1931" spans="1:13">
      <c r="A1931">
        <v>1929</v>
      </c>
      <c r="B1931" t="s">
        <v>361</v>
      </c>
      <c r="C1931" t="s">
        <v>78</v>
      </c>
      <c r="D1931" t="s">
        <v>79</v>
      </c>
      <c r="E1931" t="s">
        <v>216</v>
      </c>
      <c r="F1931">
        <v>40960</v>
      </c>
      <c r="G1931">
        <f>MAX(I1928,I1930)</f>
        <v>4882980</v>
      </c>
      <c r="H1931">
        <f>CEILING((dram_access_latency+F1931/dram_bandwidth)*frequency,1)</f>
        <v>703</v>
      </c>
      <c r="I1931">
        <f>G1931+H1931</f>
        <v>4883683</v>
      </c>
      <c r="J1931">
        <f>IF(AND(D1931&lt;&gt;"dram",D1931&lt;&gt;"control"),H1931,0)</f>
        <v>0</v>
      </c>
      <c r="K1931">
        <f>IF(D1931="dram",H1931,0)</f>
        <v>703</v>
      </c>
      <c r="L1931">
        <v>40960</v>
      </c>
      <c r="M1931">
        <v>0</v>
      </c>
    </row>
    <row r="1932" spans="1:13">
      <c r="A1932">
        <v>1930</v>
      </c>
      <c r="B1932" t="s">
        <v>61</v>
      </c>
      <c r="C1932" t="s">
        <v>85</v>
      </c>
      <c r="D1932" t="s">
        <v>17</v>
      </c>
      <c r="E1932" t="s">
        <v>216</v>
      </c>
      <c r="F1932">
        <v>0</v>
      </c>
      <c r="G1932">
        <f>MAX(I1927,I1800,I1930,I1802,I1931,I1929)</f>
        <v>4904445</v>
      </c>
      <c r="H1932">
        <f>'Operations'!I26</f>
        <v>40960</v>
      </c>
      <c r="I1932">
        <f>G1932+H1932</f>
        <v>4945405</v>
      </c>
      <c r="J1932">
        <f>IF(AND(D1932&lt;&gt;"dram",D1932&lt;&gt;"control"),H1932,0)</f>
        <v>40960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362</v>
      </c>
      <c r="C1933" t="s">
        <v>82</v>
      </c>
      <c r="D1933" t="s">
        <v>83</v>
      </c>
      <c r="E1933" t="s">
        <v>216</v>
      </c>
      <c r="F1933">
        <v>0</v>
      </c>
      <c r="G1933">
        <f>MAX(I1928,I1927)</f>
        <v>4863485</v>
      </c>
      <c r="H1933">
        <f>0</f>
        <v>40960</v>
      </c>
      <c r="I1933">
        <f>G1933+H1933</f>
        <v>4904445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363</v>
      </c>
      <c r="C1934" t="s">
        <v>87</v>
      </c>
      <c r="D1934" t="s">
        <v>79</v>
      </c>
      <c r="E1934" t="s">
        <v>216</v>
      </c>
      <c r="F1934">
        <v>1280</v>
      </c>
      <c r="G1934">
        <f>MAX(I1933,I1931)</f>
        <v>4904445</v>
      </c>
      <c r="H1934">
        <f>CEILING((dram_access_latency+F1934/dram_bandwidth)*frequency,1)</f>
        <v>119</v>
      </c>
      <c r="I1934">
        <f>G1934+H1934</f>
        <v>4904564</v>
      </c>
      <c r="J1934">
        <f>IF(AND(D1934&lt;&gt;"dram",D1934&lt;&gt;"control"),H1934,0)</f>
        <v>0</v>
      </c>
      <c r="K1934">
        <f>IF(D1934="dram",H1934,0)</f>
        <v>119</v>
      </c>
      <c r="L1934">
        <v>0</v>
      </c>
      <c r="M1934">
        <v>1280</v>
      </c>
    </row>
    <row r="1935" spans="1:13">
      <c r="A1935">
        <v>1933</v>
      </c>
      <c r="B1935" t="s">
        <v>359</v>
      </c>
      <c r="C1935" t="s">
        <v>78</v>
      </c>
      <c r="D1935" t="s">
        <v>79</v>
      </c>
      <c r="E1935" t="s">
        <v>217</v>
      </c>
      <c r="F1935">
        <v>1310720</v>
      </c>
      <c r="G1935">
        <f>MAX(I1933,I1934)</f>
        <v>4904564</v>
      </c>
      <c r="H1935">
        <f>CEILING((dram_access_latency+F1935/dram_bandwidth)*frequency,1)</f>
        <v>19376</v>
      </c>
      <c r="I1935">
        <f>G1935+H1935</f>
        <v>4923940</v>
      </c>
      <c r="J1935">
        <f>IF(AND(D1935&lt;&gt;"dram",D1935&lt;&gt;"control"),H1935,0)</f>
        <v>0</v>
      </c>
      <c r="K1935">
        <f>IF(D1935="dram",H1935,0)</f>
        <v>19376</v>
      </c>
      <c r="L1935">
        <v>1310720</v>
      </c>
      <c r="M1935">
        <v>0</v>
      </c>
    </row>
    <row r="1936" spans="1:13">
      <c r="A1936">
        <v>1934</v>
      </c>
      <c r="B1936" t="s">
        <v>361</v>
      </c>
      <c r="C1936" t="s">
        <v>78</v>
      </c>
      <c r="D1936" t="s">
        <v>79</v>
      </c>
      <c r="E1936" t="s">
        <v>217</v>
      </c>
      <c r="F1936">
        <v>40960</v>
      </c>
      <c r="G1936">
        <f>MAX(I1933,I1935)</f>
        <v>4923940</v>
      </c>
      <c r="H1936">
        <f>CEILING((dram_access_latency+F1936/dram_bandwidth)*frequency,1)</f>
        <v>703</v>
      </c>
      <c r="I1936">
        <f>G1936+H1936</f>
        <v>4924643</v>
      </c>
      <c r="J1936">
        <f>IF(AND(D1936&lt;&gt;"dram",D1936&lt;&gt;"control"),H1936,0)</f>
        <v>0</v>
      </c>
      <c r="K1936">
        <f>IF(D1936="dram",H1936,0)</f>
        <v>703</v>
      </c>
      <c r="L1936">
        <v>40960</v>
      </c>
      <c r="M1936">
        <v>0</v>
      </c>
    </row>
    <row r="1937" spans="1:13">
      <c r="A1937">
        <v>1935</v>
      </c>
      <c r="B1937" t="s">
        <v>61</v>
      </c>
      <c r="C1937" t="s">
        <v>85</v>
      </c>
      <c r="D1937" t="s">
        <v>17</v>
      </c>
      <c r="E1937" t="s">
        <v>217</v>
      </c>
      <c r="F1937">
        <v>0</v>
      </c>
      <c r="G1937">
        <f>MAX(I1932,I1800,I1935,I1802,I1936,I1934)</f>
        <v>4945405</v>
      </c>
      <c r="H1937">
        <f>'Operations'!I26</f>
        <v>40960</v>
      </c>
      <c r="I1937">
        <f>G1937+H1937</f>
        <v>4986365</v>
      </c>
      <c r="J1937">
        <f>IF(AND(D1937&lt;&gt;"dram",D1937&lt;&gt;"control"),H1937,0)</f>
        <v>40960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362</v>
      </c>
      <c r="C1938" t="s">
        <v>82</v>
      </c>
      <c r="D1938" t="s">
        <v>83</v>
      </c>
      <c r="E1938" t="s">
        <v>217</v>
      </c>
      <c r="F1938">
        <v>0</v>
      </c>
      <c r="G1938">
        <f>MAX(I1933,I1932)</f>
        <v>4904445</v>
      </c>
      <c r="H1938">
        <f>0</f>
        <v>40960</v>
      </c>
      <c r="I1938">
        <f>G1938+H1938</f>
        <v>4945405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363</v>
      </c>
      <c r="C1939" t="s">
        <v>87</v>
      </c>
      <c r="D1939" t="s">
        <v>79</v>
      </c>
      <c r="E1939" t="s">
        <v>217</v>
      </c>
      <c r="F1939">
        <v>1280</v>
      </c>
      <c r="G1939">
        <f>MAX(I1938,I1936)</f>
        <v>4945405</v>
      </c>
      <c r="H1939">
        <f>CEILING((dram_access_latency+F1939/dram_bandwidth)*frequency,1)</f>
        <v>119</v>
      </c>
      <c r="I1939">
        <f>G1939+H1939</f>
        <v>4945524</v>
      </c>
      <c r="J1939">
        <f>IF(AND(D1939&lt;&gt;"dram",D1939&lt;&gt;"control"),H1939,0)</f>
        <v>0</v>
      </c>
      <c r="K1939">
        <f>IF(D1939="dram",H1939,0)</f>
        <v>119</v>
      </c>
      <c r="L1939">
        <v>0</v>
      </c>
      <c r="M1939">
        <v>1280</v>
      </c>
    </row>
    <row r="1940" spans="1:13">
      <c r="A1940">
        <v>1938</v>
      </c>
      <c r="B1940" t="s">
        <v>359</v>
      </c>
      <c r="C1940" t="s">
        <v>78</v>
      </c>
      <c r="D1940" t="s">
        <v>79</v>
      </c>
      <c r="E1940" t="s">
        <v>218</v>
      </c>
      <c r="F1940">
        <v>1310720</v>
      </c>
      <c r="G1940">
        <f>MAX(I1938,I1939)</f>
        <v>4945524</v>
      </c>
      <c r="H1940">
        <f>CEILING((dram_access_latency+F1940/dram_bandwidth)*frequency,1)</f>
        <v>19376</v>
      </c>
      <c r="I1940">
        <f>G1940+H1940</f>
        <v>4964900</v>
      </c>
      <c r="J1940">
        <f>IF(AND(D1940&lt;&gt;"dram",D1940&lt;&gt;"control"),H1940,0)</f>
        <v>0</v>
      </c>
      <c r="K1940">
        <f>IF(D1940="dram",H1940,0)</f>
        <v>19376</v>
      </c>
      <c r="L1940">
        <v>1310720</v>
      </c>
      <c r="M1940">
        <v>0</v>
      </c>
    </row>
    <row r="1941" spans="1:13">
      <c r="A1941">
        <v>1939</v>
      </c>
      <c r="B1941" t="s">
        <v>361</v>
      </c>
      <c r="C1941" t="s">
        <v>78</v>
      </c>
      <c r="D1941" t="s">
        <v>79</v>
      </c>
      <c r="E1941" t="s">
        <v>218</v>
      </c>
      <c r="F1941">
        <v>40960</v>
      </c>
      <c r="G1941">
        <f>MAX(I1938,I1940)</f>
        <v>4964900</v>
      </c>
      <c r="H1941">
        <f>CEILING((dram_access_latency+F1941/dram_bandwidth)*frequency,1)</f>
        <v>703</v>
      </c>
      <c r="I1941">
        <f>G1941+H1941</f>
        <v>4965603</v>
      </c>
      <c r="J1941">
        <f>IF(AND(D1941&lt;&gt;"dram",D1941&lt;&gt;"control"),H1941,0)</f>
        <v>0</v>
      </c>
      <c r="K1941">
        <f>IF(D1941="dram",H1941,0)</f>
        <v>703</v>
      </c>
      <c r="L1941">
        <v>40960</v>
      </c>
      <c r="M1941">
        <v>0</v>
      </c>
    </row>
    <row r="1942" spans="1:13">
      <c r="A1942">
        <v>1940</v>
      </c>
      <c r="B1942" t="s">
        <v>61</v>
      </c>
      <c r="C1942" t="s">
        <v>85</v>
      </c>
      <c r="D1942" t="s">
        <v>17</v>
      </c>
      <c r="E1942" t="s">
        <v>218</v>
      </c>
      <c r="F1942">
        <v>0</v>
      </c>
      <c r="G1942">
        <f>MAX(I1937,I1800,I1940,I1802,I1941,I1939)</f>
        <v>4986365</v>
      </c>
      <c r="H1942">
        <f>'Operations'!I26</f>
        <v>40960</v>
      </c>
      <c r="I1942">
        <f>G1942+H1942</f>
        <v>5027325</v>
      </c>
      <c r="J1942">
        <f>IF(AND(D1942&lt;&gt;"dram",D1942&lt;&gt;"control"),H1942,0)</f>
        <v>40960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362</v>
      </c>
      <c r="C1943" t="s">
        <v>82</v>
      </c>
      <c r="D1943" t="s">
        <v>83</v>
      </c>
      <c r="E1943" t="s">
        <v>218</v>
      </c>
      <c r="F1943">
        <v>0</v>
      </c>
      <c r="G1943">
        <f>MAX(I1938,I1937)</f>
        <v>4945405</v>
      </c>
      <c r="H1943">
        <f>0</f>
        <v>40960</v>
      </c>
      <c r="I1943">
        <f>G1943+H1943</f>
        <v>4986365</v>
      </c>
      <c r="J1943">
        <f>IF(AND(D1943&lt;&gt;"dram",D1943&lt;&gt;"control"),H1943,0)</f>
        <v>0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363</v>
      </c>
      <c r="C1944" t="s">
        <v>87</v>
      </c>
      <c r="D1944" t="s">
        <v>79</v>
      </c>
      <c r="E1944" t="s">
        <v>218</v>
      </c>
      <c r="F1944">
        <v>1280</v>
      </c>
      <c r="G1944">
        <f>MAX(I1943,I1941)</f>
        <v>4986365</v>
      </c>
      <c r="H1944">
        <f>CEILING((dram_access_latency+F1944/dram_bandwidth)*frequency,1)</f>
        <v>119</v>
      </c>
      <c r="I1944">
        <f>G1944+H1944</f>
        <v>4986484</v>
      </c>
      <c r="J1944">
        <f>IF(AND(D1944&lt;&gt;"dram",D1944&lt;&gt;"control"),H1944,0)</f>
        <v>0</v>
      </c>
      <c r="K1944">
        <f>IF(D1944="dram",H1944,0)</f>
        <v>119</v>
      </c>
      <c r="L1944">
        <v>0</v>
      </c>
      <c r="M1944">
        <v>1280</v>
      </c>
    </row>
    <row r="1945" spans="1:13">
      <c r="A1945">
        <v>1943</v>
      </c>
      <c r="B1945" t="s">
        <v>359</v>
      </c>
      <c r="C1945" t="s">
        <v>78</v>
      </c>
      <c r="D1945" t="s">
        <v>79</v>
      </c>
      <c r="E1945" t="s">
        <v>219</v>
      </c>
      <c r="F1945">
        <v>1310720</v>
      </c>
      <c r="G1945">
        <f>MAX(I1943,I1944)</f>
        <v>4986484</v>
      </c>
      <c r="H1945">
        <f>CEILING((dram_access_latency+F1945/dram_bandwidth)*frequency,1)</f>
        <v>19376</v>
      </c>
      <c r="I1945">
        <f>G1945+H1945</f>
        <v>5005860</v>
      </c>
      <c r="J1945">
        <f>IF(AND(D1945&lt;&gt;"dram",D1945&lt;&gt;"control"),H1945,0)</f>
        <v>0</v>
      </c>
      <c r="K1945">
        <f>IF(D1945="dram",H1945,0)</f>
        <v>19376</v>
      </c>
      <c r="L1945">
        <v>1310720</v>
      </c>
      <c r="M1945">
        <v>0</v>
      </c>
    </row>
    <row r="1946" spans="1:13">
      <c r="A1946">
        <v>1944</v>
      </c>
      <c r="B1946" t="s">
        <v>361</v>
      </c>
      <c r="C1946" t="s">
        <v>78</v>
      </c>
      <c r="D1946" t="s">
        <v>79</v>
      </c>
      <c r="E1946" t="s">
        <v>219</v>
      </c>
      <c r="F1946">
        <v>40960</v>
      </c>
      <c r="G1946">
        <f>MAX(I1943,I1945)</f>
        <v>5005860</v>
      </c>
      <c r="H1946">
        <f>CEILING((dram_access_latency+F1946/dram_bandwidth)*frequency,1)</f>
        <v>703</v>
      </c>
      <c r="I1946">
        <f>G1946+H1946</f>
        <v>5006563</v>
      </c>
      <c r="J1946">
        <f>IF(AND(D1946&lt;&gt;"dram",D1946&lt;&gt;"control"),H1946,0)</f>
        <v>0</v>
      </c>
      <c r="K1946">
        <f>IF(D1946="dram",H1946,0)</f>
        <v>703</v>
      </c>
      <c r="L1946">
        <v>40960</v>
      </c>
      <c r="M1946">
        <v>0</v>
      </c>
    </row>
    <row r="1947" spans="1:13">
      <c r="A1947">
        <v>1945</v>
      </c>
      <c r="B1947" t="s">
        <v>61</v>
      </c>
      <c r="C1947" t="s">
        <v>85</v>
      </c>
      <c r="D1947" t="s">
        <v>17</v>
      </c>
      <c r="E1947" t="s">
        <v>219</v>
      </c>
      <c r="F1947">
        <v>0</v>
      </c>
      <c r="G1947">
        <f>MAX(I1942,I1800,I1945,I1802,I1946,I1944)</f>
        <v>5027325</v>
      </c>
      <c r="H1947">
        <f>'Operations'!I26</f>
        <v>40960</v>
      </c>
      <c r="I1947">
        <f>G1947+H1947</f>
        <v>5068285</v>
      </c>
      <c r="J1947">
        <f>IF(AND(D1947&lt;&gt;"dram",D1947&lt;&gt;"control"),H1947,0)</f>
        <v>40960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362</v>
      </c>
      <c r="C1948" t="s">
        <v>82</v>
      </c>
      <c r="D1948" t="s">
        <v>83</v>
      </c>
      <c r="E1948" t="s">
        <v>219</v>
      </c>
      <c r="F1948">
        <v>0</v>
      </c>
      <c r="G1948">
        <f>MAX(I1943,I1942)</f>
        <v>4986365</v>
      </c>
      <c r="H1948">
        <f>0</f>
        <v>40960</v>
      </c>
      <c r="I1948">
        <f>G1948+H1948</f>
        <v>5027325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363</v>
      </c>
      <c r="C1949" t="s">
        <v>87</v>
      </c>
      <c r="D1949" t="s">
        <v>79</v>
      </c>
      <c r="E1949" t="s">
        <v>219</v>
      </c>
      <c r="F1949">
        <v>1280</v>
      </c>
      <c r="G1949">
        <f>MAX(I1948,I1946)</f>
        <v>5027325</v>
      </c>
      <c r="H1949">
        <f>CEILING((dram_access_latency+F1949/dram_bandwidth)*frequency,1)</f>
        <v>119</v>
      </c>
      <c r="I1949">
        <f>G1949+H1949</f>
        <v>5027444</v>
      </c>
      <c r="J1949">
        <f>IF(AND(D1949&lt;&gt;"dram",D1949&lt;&gt;"control"),H1949,0)</f>
        <v>0</v>
      </c>
      <c r="K1949">
        <f>IF(D1949="dram",H1949,0)</f>
        <v>119</v>
      </c>
      <c r="L1949">
        <v>0</v>
      </c>
      <c r="M1949">
        <v>1280</v>
      </c>
    </row>
    <row r="1950" spans="1:13">
      <c r="A1950">
        <v>1948</v>
      </c>
      <c r="B1950" t="s">
        <v>359</v>
      </c>
      <c r="C1950" t="s">
        <v>78</v>
      </c>
      <c r="D1950" t="s">
        <v>79</v>
      </c>
      <c r="E1950" t="s">
        <v>220</v>
      </c>
      <c r="F1950">
        <v>1310720</v>
      </c>
      <c r="G1950">
        <f>MAX(I1948,I1949)</f>
        <v>5027444</v>
      </c>
      <c r="H1950">
        <f>CEILING((dram_access_latency+F1950/dram_bandwidth)*frequency,1)</f>
        <v>19376</v>
      </c>
      <c r="I1950">
        <f>G1950+H1950</f>
        <v>5046820</v>
      </c>
      <c r="J1950">
        <f>IF(AND(D1950&lt;&gt;"dram",D1950&lt;&gt;"control"),H1950,0)</f>
        <v>0</v>
      </c>
      <c r="K1950">
        <f>IF(D1950="dram",H1950,0)</f>
        <v>19376</v>
      </c>
      <c r="L1950">
        <v>1310720</v>
      </c>
      <c r="M1950">
        <v>0</v>
      </c>
    </row>
    <row r="1951" spans="1:13">
      <c r="A1951">
        <v>1949</v>
      </c>
      <c r="B1951" t="s">
        <v>361</v>
      </c>
      <c r="C1951" t="s">
        <v>78</v>
      </c>
      <c r="D1951" t="s">
        <v>79</v>
      </c>
      <c r="E1951" t="s">
        <v>220</v>
      </c>
      <c r="F1951">
        <v>40960</v>
      </c>
      <c r="G1951">
        <f>MAX(I1948,I1950)</f>
        <v>5046820</v>
      </c>
      <c r="H1951">
        <f>CEILING((dram_access_latency+F1951/dram_bandwidth)*frequency,1)</f>
        <v>703</v>
      </c>
      <c r="I1951">
        <f>G1951+H1951</f>
        <v>5047523</v>
      </c>
      <c r="J1951">
        <f>IF(AND(D1951&lt;&gt;"dram",D1951&lt;&gt;"control"),H1951,0)</f>
        <v>0</v>
      </c>
      <c r="K1951">
        <f>IF(D1951="dram",H1951,0)</f>
        <v>703</v>
      </c>
      <c r="L1951">
        <v>40960</v>
      </c>
      <c r="M1951">
        <v>0</v>
      </c>
    </row>
    <row r="1952" spans="1:13">
      <c r="A1952">
        <v>1950</v>
      </c>
      <c r="B1952" t="s">
        <v>61</v>
      </c>
      <c r="C1952" t="s">
        <v>85</v>
      </c>
      <c r="D1952" t="s">
        <v>17</v>
      </c>
      <c r="E1952" t="s">
        <v>220</v>
      </c>
      <c r="F1952">
        <v>0</v>
      </c>
      <c r="G1952">
        <f>MAX(I1947,I1800,I1950,I1802,I1951,I1949)</f>
        <v>5068285</v>
      </c>
      <c r="H1952">
        <f>'Operations'!I26</f>
        <v>40960</v>
      </c>
      <c r="I1952">
        <f>G1952+H1952</f>
        <v>5109245</v>
      </c>
      <c r="J1952">
        <f>IF(AND(D1952&lt;&gt;"dram",D1952&lt;&gt;"control"),H1952,0)</f>
        <v>40960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362</v>
      </c>
      <c r="C1953" t="s">
        <v>82</v>
      </c>
      <c r="D1953" t="s">
        <v>83</v>
      </c>
      <c r="E1953" t="s">
        <v>220</v>
      </c>
      <c r="F1953">
        <v>0</v>
      </c>
      <c r="G1953">
        <f>MAX(I1948,I1947)</f>
        <v>5027325</v>
      </c>
      <c r="H1953">
        <f>0</f>
        <v>40960</v>
      </c>
      <c r="I1953">
        <f>G1953+H1953</f>
        <v>5068285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363</v>
      </c>
      <c r="C1954" t="s">
        <v>87</v>
      </c>
      <c r="D1954" t="s">
        <v>79</v>
      </c>
      <c r="E1954" t="s">
        <v>220</v>
      </c>
      <c r="F1954">
        <v>1280</v>
      </c>
      <c r="G1954">
        <f>MAX(I1953,I1951)</f>
        <v>5068285</v>
      </c>
      <c r="H1954">
        <f>CEILING((dram_access_latency+F1954/dram_bandwidth)*frequency,1)</f>
        <v>119</v>
      </c>
      <c r="I1954">
        <f>G1954+H1954</f>
        <v>5068404</v>
      </c>
      <c r="J1954">
        <f>IF(AND(D1954&lt;&gt;"dram",D1954&lt;&gt;"control"),H1954,0)</f>
        <v>0</v>
      </c>
      <c r="K1954">
        <f>IF(D1954="dram",H1954,0)</f>
        <v>119</v>
      </c>
      <c r="L1954">
        <v>0</v>
      </c>
      <c r="M1954">
        <v>1280</v>
      </c>
    </row>
    <row r="1955" spans="1:13">
      <c r="A1955">
        <v>1953</v>
      </c>
      <c r="B1955" t="s">
        <v>359</v>
      </c>
      <c r="C1955" t="s">
        <v>78</v>
      </c>
      <c r="D1955" t="s">
        <v>79</v>
      </c>
      <c r="E1955" t="s">
        <v>221</v>
      </c>
      <c r="F1955">
        <v>1310720</v>
      </c>
      <c r="G1955">
        <f>MAX(I1953,I1954)</f>
        <v>5068404</v>
      </c>
      <c r="H1955">
        <f>CEILING((dram_access_latency+F1955/dram_bandwidth)*frequency,1)</f>
        <v>19376</v>
      </c>
      <c r="I1955">
        <f>G1955+H1955</f>
        <v>5087780</v>
      </c>
      <c r="J1955">
        <f>IF(AND(D1955&lt;&gt;"dram",D1955&lt;&gt;"control"),H1955,0)</f>
        <v>0</v>
      </c>
      <c r="K1955">
        <f>IF(D1955="dram",H1955,0)</f>
        <v>19376</v>
      </c>
      <c r="L1955">
        <v>1310720</v>
      </c>
      <c r="M1955">
        <v>0</v>
      </c>
    </row>
    <row r="1956" spans="1:13">
      <c r="A1956">
        <v>1954</v>
      </c>
      <c r="B1956" t="s">
        <v>361</v>
      </c>
      <c r="C1956" t="s">
        <v>78</v>
      </c>
      <c r="D1956" t="s">
        <v>79</v>
      </c>
      <c r="E1956" t="s">
        <v>221</v>
      </c>
      <c r="F1956">
        <v>40960</v>
      </c>
      <c r="G1956">
        <f>MAX(I1953,I1955)</f>
        <v>5087780</v>
      </c>
      <c r="H1956">
        <f>CEILING((dram_access_latency+F1956/dram_bandwidth)*frequency,1)</f>
        <v>703</v>
      </c>
      <c r="I1956">
        <f>G1956+H1956</f>
        <v>5088483</v>
      </c>
      <c r="J1956">
        <f>IF(AND(D1956&lt;&gt;"dram",D1956&lt;&gt;"control"),H1956,0)</f>
        <v>0</v>
      </c>
      <c r="K1956">
        <f>IF(D1956="dram",H1956,0)</f>
        <v>703</v>
      </c>
      <c r="L1956">
        <v>40960</v>
      </c>
      <c r="M1956">
        <v>0</v>
      </c>
    </row>
    <row r="1957" spans="1:13">
      <c r="A1957">
        <v>1955</v>
      </c>
      <c r="B1957" t="s">
        <v>61</v>
      </c>
      <c r="C1957" t="s">
        <v>85</v>
      </c>
      <c r="D1957" t="s">
        <v>17</v>
      </c>
      <c r="E1957" t="s">
        <v>221</v>
      </c>
      <c r="F1957">
        <v>0</v>
      </c>
      <c r="G1957">
        <f>MAX(I1952,I1800,I1955,I1802,I1956,I1954)</f>
        <v>5109245</v>
      </c>
      <c r="H1957">
        <f>'Operations'!I26</f>
        <v>40960</v>
      </c>
      <c r="I1957">
        <f>G1957+H1957</f>
        <v>5150205</v>
      </c>
      <c r="J1957">
        <f>IF(AND(D1957&lt;&gt;"dram",D1957&lt;&gt;"control"),H1957,0)</f>
        <v>40960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362</v>
      </c>
      <c r="C1958" t="s">
        <v>82</v>
      </c>
      <c r="D1958" t="s">
        <v>83</v>
      </c>
      <c r="E1958" t="s">
        <v>221</v>
      </c>
      <c r="F1958">
        <v>0</v>
      </c>
      <c r="G1958">
        <f>MAX(I1953,I1952)</f>
        <v>5068285</v>
      </c>
      <c r="H1958">
        <f>0</f>
        <v>40960</v>
      </c>
      <c r="I1958">
        <f>G1958+H1958</f>
        <v>5109245</v>
      </c>
      <c r="J1958">
        <f>IF(AND(D1958&lt;&gt;"dram",D1958&lt;&gt;"control"),H1958,0)</f>
        <v>0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363</v>
      </c>
      <c r="C1959" t="s">
        <v>87</v>
      </c>
      <c r="D1959" t="s">
        <v>79</v>
      </c>
      <c r="E1959" t="s">
        <v>221</v>
      </c>
      <c r="F1959">
        <v>1280</v>
      </c>
      <c r="G1959">
        <f>MAX(I1958,I1956)</f>
        <v>5109245</v>
      </c>
      <c r="H1959">
        <f>CEILING((dram_access_latency+F1959/dram_bandwidth)*frequency,1)</f>
        <v>119</v>
      </c>
      <c r="I1959">
        <f>G1959+H1959</f>
        <v>5109364</v>
      </c>
      <c r="J1959">
        <f>IF(AND(D1959&lt;&gt;"dram",D1959&lt;&gt;"control"),H1959,0)</f>
        <v>0</v>
      </c>
      <c r="K1959">
        <f>IF(D1959="dram",H1959,0)</f>
        <v>119</v>
      </c>
      <c r="L1959">
        <v>0</v>
      </c>
      <c r="M1959">
        <v>1280</v>
      </c>
    </row>
    <row r="1960" spans="1:13">
      <c r="A1960">
        <v>1958</v>
      </c>
      <c r="B1960" t="s">
        <v>359</v>
      </c>
      <c r="C1960" t="s">
        <v>78</v>
      </c>
      <c r="D1960" t="s">
        <v>79</v>
      </c>
      <c r="E1960" t="s">
        <v>313</v>
      </c>
      <c r="F1960">
        <v>1310720</v>
      </c>
      <c r="G1960">
        <f>MAX(I1958,I1959)</f>
        <v>5109364</v>
      </c>
      <c r="H1960">
        <f>CEILING((dram_access_latency+F1960/dram_bandwidth)*frequency,1)</f>
        <v>19376</v>
      </c>
      <c r="I1960">
        <f>G1960+H1960</f>
        <v>5128740</v>
      </c>
      <c r="J1960">
        <f>IF(AND(D1960&lt;&gt;"dram",D1960&lt;&gt;"control"),H1960,0)</f>
        <v>0</v>
      </c>
      <c r="K1960">
        <f>IF(D1960="dram",H1960,0)</f>
        <v>19376</v>
      </c>
      <c r="L1960">
        <v>1310720</v>
      </c>
      <c r="M1960">
        <v>0</v>
      </c>
    </row>
    <row r="1961" spans="1:13">
      <c r="A1961">
        <v>1959</v>
      </c>
      <c r="B1961" t="s">
        <v>361</v>
      </c>
      <c r="C1961" t="s">
        <v>78</v>
      </c>
      <c r="D1961" t="s">
        <v>79</v>
      </c>
      <c r="E1961" t="s">
        <v>313</v>
      </c>
      <c r="F1961">
        <v>40960</v>
      </c>
      <c r="G1961">
        <f>MAX(I1958,I1960)</f>
        <v>5128740</v>
      </c>
      <c r="H1961">
        <f>CEILING((dram_access_latency+F1961/dram_bandwidth)*frequency,1)</f>
        <v>703</v>
      </c>
      <c r="I1961">
        <f>G1961+H1961</f>
        <v>5129443</v>
      </c>
      <c r="J1961">
        <f>IF(AND(D1961&lt;&gt;"dram",D1961&lt;&gt;"control"),H1961,0)</f>
        <v>0</v>
      </c>
      <c r="K1961">
        <f>IF(D1961="dram",H1961,0)</f>
        <v>703</v>
      </c>
      <c r="L1961">
        <v>40960</v>
      </c>
      <c r="M1961">
        <v>0</v>
      </c>
    </row>
    <row r="1962" spans="1:13">
      <c r="A1962">
        <v>1960</v>
      </c>
      <c r="B1962" t="s">
        <v>61</v>
      </c>
      <c r="C1962" t="s">
        <v>85</v>
      </c>
      <c r="D1962" t="s">
        <v>17</v>
      </c>
      <c r="E1962" t="s">
        <v>313</v>
      </c>
      <c r="F1962">
        <v>0</v>
      </c>
      <c r="G1962">
        <f>MAX(I1957,I1800,I1960,I1802,I1961,I1959)</f>
        <v>5150205</v>
      </c>
      <c r="H1962">
        <f>'Operations'!I26</f>
        <v>40960</v>
      </c>
      <c r="I1962">
        <f>G1962+H1962</f>
        <v>5191165</v>
      </c>
      <c r="J1962">
        <f>IF(AND(D1962&lt;&gt;"dram",D1962&lt;&gt;"control"),H1962,0)</f>
        <v>40960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362</v>
      </c>
      <c r="C1963" t="s">
        <v>82</v>
      </c>
      <c r="D1963" t="s">
        <v>83</v>
      </c>
      <c r="E1963" t="s">
        <v>313</v>
      </c>
      <c r="F1963">
        <v>0</v>
      </c>
      <c r="G1963">
        <f>MAX(I1958,I1957)</f>
        <v>5109245</v>
      </c>
      <c r="H1963">
        <f>0</f>
        <v>40960</v>
      </c>
      <c r="I1963">
        <f>G1963+H1963</f>
        <v>5150205</v>
      </c>
      <c r="J1963">
        <f>IF(AND(D1963&lt;&gt;"dram",D1963&lt;&gt;"control"),H1963,0)</f>
        <v>0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363</v>
      </c>
      <c r="C1964" t="s">
        <v>87</v>
      </c>
      <c r="D1964" t="s">
        <v>79</v>
      </c>
      <c r="E1964" t="s">
        <v>313</v>
      </c>
      <c r="F1964">
        <v>1280</v>
      </c>
      <c r="G1964">
        <f>MAX(I1963,I1961)</f>
        <v>5150205</v>
      </c>
      <c r="H1964">
        <f>CEILING((dram_access_latency+F1964/dram_bandwidth)*frequency,1)</f>
        <v>119</v>
      </c>
      <c r="I1964">
        <f>G1964+H1964</f>
        <v>5150324</v>
      </c>
      <c r="J1964">
        <f>IF(AND(D1964&lt;&gt;"dram",D1964&lt;&gt;"control"),H1964,0)</f>
        <v>0</v>
      </c>
      <c r="K1964">
        <f>IF(D1964="dram",H1964,0)</f>
        <v>119</v>
      </c>
      <c r="L1964">
        <v>0</v>
      </c>
      <c r="M1964">
        <v>1280</v>
      </c>
    </row>
    <row r="1965" spans="1:13">
      <c r="A1965">
        <v>1963</v>
      </c>
      <c r="B1965" t="s">
        <v>359</v>
      </c>
      <c r="C1965" t="s">
        <v>78</v>
      </c>
      <c r="D1965" t="s">
        <v>79</v>
      </c>
      <c r="E1965" t="s">
        <v>314</v>
      </c>
      <c r="F1965">
        <v>1310720</v>
      </c>
      <c r="G1965">
        <f>MAX(I1963,I1964)</f>
        <v>5150324</v>
      </c>
      <c r="H1965">
        <f>CEILING((dram_access_latency+F1965/dram_bandwidth)*frequency,1)</f>
        <v>19376</v>
      </c>
      <c r="I1965">
        <f>G1965+H1965</f>
        <v>5169700</v>
      </c>
      <c r="J1965">
        <f>IF(AND(D1965&lt;&gt;"dram",D1965&lt;&gt;"control"),H1965,0)</f>
        <v>0</v>
      </c>
      <c r="K1965">
        <f>IF(D1965="dram",H1965,0)</f>
        <v>19376</v>
      </c>
      <c r="L1965">
        <v>1310720</v>
      </c>
      <c r="M1965">
        <v>0</v>
      </c>
    </row>
    <row r="1966" spans="1:13">
      <c r="A1966">
        <v>1964</v>
      </c>
      <c r="B1966" t="s">
        <v>361</v>
      </c>
      <c r="C1966" t="s">
        <v>78</v>
      </c>
      <c r="D1966" t="s">
        <v>79</v>
      </c>
      <c r="E1966" t="s">
        <v>314</v>
      </c>
      <c r="F1966">
        <v>40960</v>
      </c>
      <c r="G1966">
        <f>MAX(I1963,I1965)</f>
        <v>5169700</v>
      </c>
      <c r="H1966">
        <f>CEILING((dram_access_latency+F1966/dram_bandwidth)*frequency,1)</f>
        <v>703</v>
      </c>
      <c r="I1966">
        <f>G1966+H1966</f>
        <v>5170403</v>
      </c>
      <c r="J1966">
        <f>IF(AND(D1966&lt;&gt;"dram",D1966&lt;&gt;"control"),H1966,0)</f>
        <v>0</v>
      </c>
      <c r="K1966">
        <f>IF(D1966="dram",H1966,0)</f>
        <v>703</v>
      </c>
      <c r="L1966">
        <v>40960</v>
      </c>
      <c r="M1966">
        <v>0</v>
      </c>
    </row>
    <row r="1967" spans="1:13">
      <c r="A1967">
        <v>1965</v>
      </c>
      <c r="B1967" t="s">
        <v>61</v>
      </c>
      <c r="C1967" t="s">
        <v>85</v>
      </c>
      <c r="D1967" t="s">
        <v>17</v>
      </c>
      <c r="E1967" t="s">
        <v>314</v>
      </c>
      <c r="F1967">
        <v>0</v>
      </c>
      <c r="G1967">
        <f>MAX(I1962,I1800,I1965,I1802,I1966,I1964)</f>
        <v>5191165</v>
      </c>
      <c r="H1967">
        <f>'Operations'!I26</f>
        <v>40960</v>
      </c>
      <c r="I1967">
        <f>G1967+H1967</f>
        <v>5232125</v>
      </c>
      <c r="J1967">
        <f>IF(AND(D1967&lt;&gt;"dram",D1967&lt;&gt;"control"),H1967,0)</f>
        <v>40960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362</v>
      </c>
      <c r="C1968" t="s">
        <v>82</v>
      </c>
      <c r="D1968" t="s">
        <v>83</v>
      </c>
      <c r="E1968" t="s">
        <v>314</v>
      </c>
      <c r="F1968">
        <v>0</v>
      </c>
      <c r="G1968">
        <f>MAX(I1963,I1962)</f>
        <v>5150205</v>
      </c>
      <c r="H1968">
        <f>0</f>
        <v>40960</v>
      </c>
      <c r="I1968">
        <f>G1968+H1968</f>
        <v>5191165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363</v>
      </c>
      <c r="C1969" t="s">
        <v>87</v>
      </c>
      <c r="D1969" t="s">
        <v>79</v>
      </c>
      <c r="E1969" t="s">
        <v>314</v>
      </c>
      <c r="F1969">
        <v>1280</v>
      </c>
      <c r="G1969">
        <f>MAX(I1968,I1966)</f>
        <v>5191165</v>
      </c>
      <c r="H1969">
        <f>CEILING((dram_access_latency+F1969/dram_bandwidth)*frequency,1)</f>
        <v>119</v>
      </c>
      <c r="I1969">
        <f>G1969+H1969</f>
        <v>5191284</v>
      </c>
      <c r="J1969">
        <f>IF(AND(D1969&lt;&gt;"dram",D1969&lt;&gt;"control"),H1969,0)</f>
        <v>0</v>
      </c>
      <c r="K1969">
        <f>IF(D1969="dram",H1969,0)</f>
        <v>119</v>
      </c>
      <c r="L1969">
        <v>0</v>
      </c>
      <c r="M1969">
        <v>1280</v>
      </c>
    </row>
    <row r="1970" spans="1:13">
      <c r="A1970">
        <v>1968</v>
      </c>
      <c r="B1970" t="s">
        <v>359</v>
      </c>
      <c r="C1970" t="s">
        <v>78</v>
      </c>
      <c r="D1970" t="s">
        <v>79</v>
      </c>
      <c r="E1970" t="s">
        <v>315</v>
      </c>
      <c r="F1970">
        <v>1310720</v>
      </c>
      <c r="G1970">
        <f>MAX(I1968,I1969)</f>
        <v>5191284</v>
      </c>
      <c r="H1970">
        <f>CEILING((dram_access_latency+F1970/dram_bandwidth)*frequency,1)</f>
        <v>19376</v>
      </c>
      <c r="I1970">
        <f>G1970+H1970</f>
        <v>5210660</v>
      </c>
      <c r="J1970">
        <f>IF(AND(D1970&lt;&gt;"dram",D1970&lt;&gt;"control"),H1970,0)</f>
        <v>0</v>
      </c>
      <c r="K1970">
        <f>IF(D1970="dram",H1970,0)</f>
        <v>19376</v>
      </c>
      <c r="L1970">
        <v>1310720</v>
      </c>
      <c r="M1970">
        <v>0</v>
      </c>
    </row>
    <row r="1971" spans="1:13">
      <c r="A1971">
        <v>1969</v>
      </c>
      <c r="B1971" t="s">
        <v>361</v>
      </c>
      <c r="C1971" t="s">
        <v>78</v>
      </c>
      <c r="D1971" t="s">
        <v>79</v>
      </c>
      <c r="E1971" t="s">
        <v>315</v>
      </c>
      <c r="F1971">
        <v>40960</v>
      </c>
      <c r="G1971">
        <f>MAX(I1968,I1970)</f>
        <v>5210660</v>
      </c>
      <c r="H1971">
        <f>CEILING((dram_access_latency+F1971/dram_bandwidth)*frequency,1)</f>
        <v>703</v>
      </c>
      <c r="I1971">
        <f>G1971+H1971</f>
        <v>5211363</v>
      </c>
      <c r="J1971">
        <f>IF(AND(D1971&lt;&gt;"dram",D1971&lt;&gt;"control"),H1971,0)</f>
        <v>0</v>
      </c>
      <c r="K1971">
        <f>IF(D1971="dram",H1971,0)</f>
        <v>703</v>
      </c>
      <c r="L1971">
        <v>40960</v>
      </c>
      <c r="M1971">
        <v>0</v>
      </c>
    </row>
    <row r="1972" spans="1:13">
      <c r="A1972">
        <v>1970</v>
      </c>
      <c r="B1972" t="s">
        <v>61</v>
      </c>
      <c r="C1972" t="s">
        <v>85</v>
      </c>
      <c r="D1972" t="s">
        <v>17</v>
      </c>
      <c r="E1972" t="s">
        <v>315</v>
      </c>
      <c r="F1972">
        <v>0</v>
      </c>
      <c r="G1972">
        <f>MAX(I1967,I1800,I1970,I1802,I1971,I1969)</f>
        <v>5232125</v>
      </c>
      <c r="H1972">
        <f>'Operations'!I26</f>
        <v>40960</v>
      </c>
      <c r="I1972">
        <f>G1972+H1972</f>
        <v>5273085</v>
      </c>
      <c r="J1972">
        <f>IF(AND(D1972&lt;&gt;"dram",D1972&lt;&gt;"control"),H1972,0)</f>
        <v>40960</v>
      </c>
      <c r="K1972">
        <f>IF(D1972="dram",H1972,0)</f>
        <v>0</v>
      </c>
      <c r="L1972">
        <v>0</v>
      </c>
      <c r="M1972">
        <v>0</v>
      </c>
    </row>
    <row r="1973" spans="1:13">
      <c r="A1973">
        <v>1971</v>
      </c>
      <c r="B1973" t="s">
        <v>362</v>
      </c>
      <c r="C1973" t="s">
        <v>82</v>
      </c>
      <c r="D1973" t="s">
        <v>83</v>
      </c>
      <c r="E1973" t="s">
        <v>315</v>
      </c>
      <c r="F1973">
        <v>0</v>
      </c>
      <c r="G1973">
        <f>MAX(I1968,I1967)</f>
        <v>5191165</v>
      </c>
      <c r="H1973">
        <f>0</f>
        <v>40960</v>
      </c>
      <c r="I1973">
        <f>G1973+H1973</f>
        <v>5232125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363</v>
      </c>
      <c r="C1974" t="s">
        <v>87</v>
      </c>
      <c r="D1974" t="s">
        <v>79</v>
      </c>
      <c r="E1974" t="s">
        <v>315</v>
      </c>
      <c r="F1974">
        <v>1280</v>
      </c>
      <c r="G1974">
        <f>MAX(I1973,I1971)</f>
        <v>5232125</v>
      </c>
      <c r="H1974">
        <f>CEILING((dram_access_latency+F1974/dram_bandwidth)*frequency,1)</f>
        <v>119</v>
      </c>
      <c r="I1974">
        <f>G1974+H1974</f>
        <v>5232244</v>
      </c>
      <c r="J1974">
        <f>IF(AND(D1974&lt;&gt;"dram",D1974&lt;&gt;"control"),H1974,0)</f>
        <v>0</v>
      </c>
      <c r="K1974">
        <f>IF(D1974="dram",H1974,0)</f>
        <v>119</v>
      </c>
      <c r="L1974">
        <v>0</v>
      </c>
      <c r="M1974">
        <v>1280</v>
      </c>
    </row>
    <row r="1975" spans="1:13">
      <c r="A1975">
        <v>1973</v>
      </c>
      <c r="B1975" t="s">
        <v>359</v>
      </c>
      <c r="C1975" t="s">
        <v>78</v>
      </c>
      <c r="D1975" t="s">
        <v>79</v>
      </c>
      <c r="E1975" t="s">
        <v>316</v>
      </c>
      <c r="F1975">
        <v>1310720</v>
      </c>
      <c r="G1975">
        <f>MAX(I1973,I1974)</f>
        <v>5232244</v>
      </c>
      <c r="H1975">
        <f>CEILING((dram_access_latency+F1975/dram_bandwidth)*frequency,1)</f>
        <v>19376</v>
      </c>
      <c r="I1975">
        <f>G1975+H1975</f>
        <v>5251620</v>
      </c>
      <c r="J1975">
        <f>IF(AND(D1975&lt;&gt;"dram",D1975&lt;&gt;"control"),H1975,0)</f>
        <v>0</v>
      </c>
      <c r="K1975">
        <f>IF(D1975="dram",H1975,0)</f>
        <v>19376</v>
      </c>
      <c r="L1975">
        <v>1310720</v>
      </c>
      <c r="M1975">
        <v>0</v>
      </c>
    </row>
    <row r="1976" spans="1:13">
      <c r="A1976">
        <v>1974</v>
      </c>
      <c r="B1976" t="s">
        <v>361</v>
      </c>
      <c r="C1976" t="s">
        <v>78</v>
      </c>
      <c r="D1976" t="s">
        <v>79</v>
      </c>
      <c r="E1976" t="s">
        <v>316</v>
      </c>
      <c r="F1976">
        <v>40960</v>
      </c>
      <c r="G1976">
        <f>MAX(I1973,I1975)</f>
        <v>5251620</v>
      </c>
      <c r="H1976">
        <f>CEILING((dram_access_latency+F1976/dram_bandwidth)*frequency,1)</f>
        <v>703</v>
      </c>
      <c r="I1976">
        <f>G1976+H1976</f>
        <v>5252323</v>
      </c>
      <c r="J1976">
        <f>IF(AND(D1976&lt;&gt;"dram",D1976&lt;&gt;"control"),H1976,0)</f>
        <v>0</v>
      </c>
      <c r="K1976">
        <f>IF(D1976="dram",H1976,0)</f>
        <v>703</v>
      </c>
      <c r="L1976">
        <v>40960</v>
      </c>
      <c r="M1976">
        <v>0</v>
      </c>
    </row>
    <row r="1977" spans="1:13">
      <c r="A1977">
        <v>1975</v>
      </c>
      <c r="B1977" t="s">
        <v>61</v>
      </c>
      <c r="C1977" t="s">
        <v>85</v>
      </c>
      <c r="D1977" t="s">
        <v>17</v>
      </c>
      <c r="E1977" t="s">
        <v>316</v>
      </c>
      <c r="F1977">
        <v>0</v>
      </c>
      <c r="G1977">
        <f>MAX(I1972,I1800,I1975,I1802,I1976,I1974)</f>
        <v>5273085</v>
      </c>
      <c r="H1977">
        <f>'Operations'!I26</f>
        <v>40960</v>
      </c>
      <c r="I1977">
        <f>G1977+H1977</f>
        <v>5314045</v>
      </c>
      <c r="J1977">
        <f>IF(AND(D1977&lt;&gt;"dram",D1977&lt;&gt;"control"),H1977,0)</f>
        <v>40960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362</v>
      </c>
      <c r="C1978" t="s">
        <v>82</v>
      </c>
      <c r="D1978" t="s">
        <v>83</v>
      </c>
      <c r="E1978" t="s">
        <v>316</v>
      </c>
      <c r="F1978">
        <v>0</v>
      </c>
      <c r="G1978">
        <f>MAX(I1973,I1972)</f>
        <v>5232125</v>
      </c>
      <c r="H1978">
        <f>0</f>
        <v>40960</v>
      </c>
      <c r="I1978">
        <f>G1978+H1978</f>
        <v>5273085</v>
      </c>
      <c r="J1978">
        <f>IF(AND(D1978&lt;&gt;"dram",D1978&lt;&gt;"control"),H1978,0)</f>
        <v>0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363</v>
      </c>
      <c r="C1979" t="s">
        <v>87</v>
      </c>
      <c r="D1979" t="s">
        <v>79</v>
      </c>
      <c r="E1979" t="s">
        <v>316</v>
      </c>
      <c r="F1979">
        <v>1280</v>
      </c>
      <c r="G1979">
        <f>MAX(I1978,I1976)</f>
        <v>5273085</v>
      </c>
      <c r="H1979">
        <f>CEILING((dram_access_latency+F1979/dram_bandwidth)*frequency,1)</f>
        <v>119</v>
      </c>
      <c r="I1979">
        <f>G1979+H1979</f>
        <v>5273204</v>
      </c>
      <c r="J1979">
        <f>IF(AND(D1979&lt;&gt;"dram",D1979&lt;&gt;"control"),H1979,0)</f>
        <v>0</v>
      </c>
      <c r="K1979">
        <f>IF(D1979="dram",H1979,0)</f>
        <v>119</v>
      </c>
      <c r="L1979">
        <v>0</v>
      </c>
      <c r="M1979">
        <v>1280</v>
      </c>
    </row>
    <row r="1980" spans="1:13">
      <c r="A1980">
        <v>1978</v>
      </c>
      <c r="B1980" t="s">
        <v>359</v>
      </c>
      <c r="C1980" t="s">
        <v>78</v>
      </c>
      <c r="D1980" t="s">
        <v>79</v>
      </c>
      <c r="E1980" t="s">
        <v>317</v>
      </c>
      <c r="F1980">
        <v>1310720</v>
      </c>
      <c r="G1980">
        <f>MAX(I1978,I1979)</f>
        <v>5273204</v>
      </c>
      <c r="H1980">
        <f>CEILING((dram_access_latency+F1980/dram_bandwidth)*frequency,1)</f>
        <v>19376</v>
      </c>
      <c r="I1980">
        <f>G1980+H1980</f>
        <v>5292580</v>
      </c>
      <c r="J1980">
        <f>IF(AND(D1980&lt;&gt;"dram",D1980&lt;&gt;"control"),H1980,0)</f>
        <v>0</v>
      </c>
      <c r="K1980">
        <f>IF(D1980="dram",H1980,0)</f>
        <v>19376</v>
      </c>
      <c r="L1980">
        <v>1310720</v>
      </c>
      <c r="M1980">
        <v>0</v>
      </c>
    </row>
    <row r="1981" spans="1:13">
      <c r="A1981">
        <v>1979</v>
      </c>
      <c r="B1981" t="s">
        <v>361</v>
      </c>
      <c r="C1981" t="s">
        <v>78</v>
      </c>
      <c r="D1981" t="s">
        <v>79</v>
      </c>
      <c r="E1981" t="s">
        <v>317</v>
      </c>
      <c r="F1981">
        <v>40960</v>
      </c>
      <c r="G1981">
        <f>MAX(I1978,I1980)</f>
        <v>5292580</v>
      </c>
      <c r="H1981">
        <f>CEILING((dram_access_latency+F1981/dram_bandwidth)*frequency,1)</f>
        <v>703</v>
      </c>
      <c r="I1981">
        <f>G1981+H1981</f>
        <v>5293283</v>
      </c>
      <c r="J1981">
        <f>IF(AND(D1981&lt;&gt;"dram",D1981&lt;&gt;"control"),H1981,0)</f>
        <v>0</v>
      </c>
      <c r="K1981">
        <f>IF(D1981="dram",H1981,0)</f>
        <v>703</v>
      </c>
      <c r="L1981">
        <v>40960</v>
      </c>
      <c r="M1981">
        <v>0</v>
      </c>
    </row>
    <row r="1982" spans="1:13">
      <c r="A1982">
        <v>1980</v>
      </c>
      <c r="B1982" t="s">
        <v>61</v>
      </c>
      <c r="C1982" t="s">
        <v>85</v>
      </c>
      <c r="D1982" t="s">
        <v>17</v>
      </c>
      <c r="E1982" t="s">
        <v>317</v>
      </c>
      <c r="F1982">
        <v>0</v>
      </c>
      <c r="G1982">
        <f>MAX(I1977,I1800,I1980,I1802,I1981,I1979)</f>
        <v>5314045</v>
      </c>
      <c r="H1982">
        <f>'Operations'!I26</f>
        <v>40960</v>
      </c>
      <c r="I1982">
        <f>G1982+H1982</f>
        <v>5355005</v>
      </c>
      <c r="J1982">
        <f>IF(AND(D1982&lt;&gt;"dram",D1982&lt;&gt;"control"),H1982,0)</f>
        <v>40960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362</v>
      </c>
      <c r="C1983" t="s">
        <v>82</v>
      </c>
      <c r="D1983" t="s">
        <v>83</v>
      </c>
      <c r="E1983" t="s">
        <v>317</v>
      </c>
      <c r="F1983">
        <v>0</v>
      </c>
      <c r="G1983">
        <f>MAX(I1978,I1977)</f>
        <v>5273085</v>
      </c>
      <c r="H1983">
        <f>0</f>
        <v>40960</v>
      </c>
      <c r="I1983">
        <f>G1983+H1983</f>
        <v>5314045</v>
      </c>
      <c r="J1983">
        <f>IF(AND(D1983&lt;&gt;"dram",D1983&lt;&gt;"control"),H1983,0)</f>
        <v>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363</v>
      </c>
      <c r="C1984" t="s">
        <v>87</v>
      </c>
      <c r="D1984" t="s">
        <v>79</v>
      </c>
      <c r="E1984" t="s">
        <v>317</v>
      </c>
      <c r="F1984">
        <v>1280</v>
      </c>
      <c r="G1984">
        <f>MAX(I1983,I1981)</f>
        <v>5314045</v>
      </c>
      <c r="H1984">
        <f>CEILING((dram_access_latency+F1984/dram_bandwidth)*frequency,1)</f>
        <v>119</v>
      </c>
      <c r="I1984">
        <f>G1984+H1984</f>
        <v>5314164</v>
      </c>
      <c r="J1984">
        <f>IF(AND(D1984&lt;&gt;"dram",D1984&lt;&gt;"control"),H1984,0)</f>
        <v>0</v>
      </c>
      <c r="K1984">
        <f>IF(D1984="dram",H1984,0)</f>
        <v>119</v>
      </c>
      <c r="L1984">
        <v>0</v>
      </c>
      <c r="M1984">
        <v>1280</v>
      </c>
    </row>
    <row r="1985" spans="1:13">
      <c r="A1985">
        <v>1983</v>
      </c>
      <c r="B1985" t="s">
        <v>359</v>
      </c>
      <c r="C1985" t="s">
        <v>78</v>
      </c>
      <c r="D1985" t="s">
        <v>79</v>
      </c>
      <c r="E1985" t="s">
        <v>318</v>
      </c>
      <c r="F1985">
        <v>1310720</v>
      </c>
      <c r="G1985">
        <f>MAX(I1983,I1984)</f>
        <v>5314164</v>
      </c>
      <c r="H1985">
        <f>CEILING((dram_access_latency+F1985/dram_bandwidth)*frequency,1)</f>
        <v>19376</v>
      </c>
      <c r="I1985">
        <f>G1985+H1985</f>
        <v>5333540</v>
      </c>
      <c r="J1985">
        <f>IF(AND(D1985&lt;&gt;"dram",D1985&lt;&gt;"control"),H1985,0)</f>
        <v>0</v>
      </c>
      <c r="K1985">
        <f>IF(D1985="dram",H1985,0)</f>
        <v>19376</v>
      </c>
      <c r="L1985">
        <v>1310720</v>
      </c>
      <c r="M1985">
        <v>0</v>
      </c>
    </row>
    <row r="1986" spans="1:13">
      <c r="A1986">
        <v>1984</v>
      </c>
      <c r="B1986" t="s">
        <v>361</v>
      </c>
      <c r="C1986" t="s">
        <v>78</v>
      </c>
      <c r="D1986" t="s">
        <v>79</v>
      </c>
      <c r="E1986" t="s">
        <v>318</v>
      </c>
      <c r="F1986">
        <v>40960</v>
      </c>
      <c r="G1986">
        <f>MAX(I1983,I1985)</f>
        <v>5333540</v>
      </c>
      <c r="H1986">
        <f>CEILING((dram_access_latency+F1986/dram_bandwidth)*frequency,1)</f>
        <v>703</v>
      </c>
      <c r="I1986">
        <f>G1986+H1986</f>
        <v>5334243</v>
      </c>
      <c r="J1986">
        <f>IF(AND(D1986&lt;&gt;"dram",D1986&lt;&gt;"control"),H1986,0)</f>
        <v>0</v>
      </c>
      <c r="K1986">
        <f>IF(D1986="dram",H1986,0)</f>
        <v>703</v>
      </c>
      <c r="L1986">
        <v>40960</v>
      </c>
      <c r="M1986">
        <v>0</v>
      </c>
    </row>
    <row r="1987" spans="1:13">
      <c r="A1987">
        <v>1985</v>
      </c>
      <c r="B1987" t="s">
        <v>61</v>
      </c>
      <c r="C1987" t="s">
        <v>85</v>
      </c>
      <c r="D1987" t="s">
        <v>17</v>
      </c>
      <c r="E1987" t="s">
        <v>318</v>
      </c>
      <c r="F1987">
        <v>0</v>
      </c>
      <c r="G1987">
        <f>MAX(I1982,I1800,I1985,I1802,I1986,I1984)</f>
        <v>5355005</v>
      </c>
      <c r="H1987">
        <f>'Operations'!I26</f>
        <v>40960</v>
      </c>
      <c r="I1987">
        <f>G1987+H1987</f>
        <v>5395965</v>
      </c>
      <c r="J1987">
        <f>IF(AND(D1987&lt;&gt;"dram",D1987&lt;&gt;"control"),H1987,0)</f>
        <v>40960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362</v>
      </c>
      <c r="C1988" t="s">
        <v>82</v>
      </c>
      <c r="D1988" t="s">
        <v>83</v>
      </c>
      <c r="E1988" t="s">
        <v>318</v>
      </c>
      <c r="F1988">
        <v>0</v>
      </c>
      <c r="G1988">
        <f>MAX(I1983,I1982)</f>
        <v>5314045</v>
      </c>
      <c r="H1988">
        <f>0</f>
        <v>40960</v>
      </c>
      <c r="I1988">
        <f>G1988+H1988</f>
        <v>5355005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363</v>
      </c>
      <c r="C1989" t="s">
        <v>87</v>
      </c>
      <c r="D1989" t="s">
        <v>79</v>
      </c>
      <c r="E1989" t="s">
        <v>318</v>
      </c>
      <c r="F1989">
        <v>1280</v>
      </c>
      <c r="G1989">
        <f>MAX(I1988,I1986)</f>
        <v>5355005</v>
      </c>
      <c r="H1989">
        <f>CEILING((dram_access_latency+F1989/dram_bandwidth)*frequency,1)</f>
        <v>119</v>
      </c>
      <c r="I1989">
        <f>G1989+H1989</f>
        <v>5355124</v>
      </c>
      <c r="J1989">
        <f>IF(AND(D1989&lt;&gt;"dram",D1989&lt;&gt;"control"),H1989,0)</f>
        <v>0</v>
      </c>
      <c r="K1989">
        <f>IF(D1989="dram",H1989,0)</f>
        <v>119</v>
      </c>
      <c r="L1989">
        <v>0</v>
      </c>
      <c r="M1989">
        <v>1280</v>
      </c>
    </row>
    <row r="1990" spans="1:13">
      <c r="A1990">
        <v>1988</v>
      </c>
      <c r="B1990" t="s">
        <v>359</v>
      </c>
      <c r="C1990" t="s">
        <v>78</v>
      </c>
      <c r="D1990" t="s">
        <v>79</v>
      </c>
      <c r="E1990" t="s">
        <v>319</v>
      </c>
      <c r="F1990">
        <v>1310720</v>
      </c>
      <c r="G1990">
        <f>MAX(I1988,I1989)</f>
        <v>5355124</v>
      </c>
      <c r="H1990">
        <f>CEILING((dram_access_latency+F1990/dram_bandwidth)*frequency,1)</f>
        <v>19376</v>
      </c>
      <c r="I1990">
        <f>G1990+H1990</f>
        <v>5374500</v>
      </c>
      <c r="J1990">
        <f>IF(AND(D1990&lt;&gt;"dram",D1990&lt;&gt;"control"),H1990,0)</f>
        <v>0</v>
      </c>
      <c r="K1990">
        <f>IF(D1990="dram",H1990,0)</f>
        <v>19376</v>
      </c>
      <c r="L1990">
        <v>1310720</v>
      </c>
      <c r="M1990">
        <v>0</v>
      </c>
    </row>
    <row r="1991" spans="1:13">
      <c r="A1991">
        <v>1989</v>
      </c>
      <c r="B1991" t="s">
        <v>361</v>
      </c>
      <c r="C1991" t="s">
        <v>78</v>
      </c>
      <c r="D1991" t="s">
        <v>79</v>
      </c>
      <c r="E1991" t="s">
        <v>319</v>
      </c>
      <c r="F1991">
        <v>40960</v>
      </c>
      <c r="G1991">
        <f>MAX(I1988,I1990)</f>
        <v>5374500</v>
      </c>
      <c r="H1991">
        <f>CEILING((dram_access_latency+F1991/dram_bandwidth)*frequency,1)</f>
        <v>703</v>
      </c>
      <c r="I1991">
        <f>G1991+H1991</f>
        <v>5375203</v>
      </c>
      <c r="J1991">
        <f>IF(AND(D1991&lt;&gt;"dram",D1991&lt;&gt;"control"),H1991,0)</f>
        <v>0</v>
      </c>
      <c r="K1991">
        <f>IF(D1991="dram",H1991,0)</f>
        <v>703</v>
      </c>
      <c r="L1991">
        <v>40960</v>
      </c>
      <c r="M1991">
        <v>0</v>
      </c>
    </row>
    <row r="1992" spans="1:13">
      <c r="A1992">
        <v>1990</v>
      </c>
      <c r="B1992" t="s">
        <v>61</v>
      </c>
      <c r="C1992" t="s">
        <v>85</v>
      </c>
      <c r="D1992" t="s">
        <v>17</v>
      </c>
      <c r="E1992" t="s">
        <v>319</v>
      </c>
      <c r="F1992">
        <v>0</v>
      </c>
      <c r="G1992">
        <f>MAX(I1987,I1800,I1990,I1802,I1991,I1989)</f>
        <v>5395965</v>
      </c>
      <c r="H1992">
        <f>'Operations'!I26</f>
        <v>40960</v>
      </c>
      <c r="I1992">
        <f>G1992+H1992</f>
        <v>5436925</v>
      </c>
      <c r="J1992">
        <f>IF(AND(D1992&lt;&gt;"dram",D1992&lt;&gt;"control"),H1992,0)</f>
        <v>40960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362</v>
      </c>
      <c r="C1993" t="s">
        <v>82</v>
      </c>
      <c r="D1993" t="s">
        <v>83</v>
      </c>
      <c r="E1993" t="s">
        <v>319</v>
      </c>
      <c r="F1993">
        <v>0</v>
      </c>
      <c r="G1993">
        <f>MAX(I1988,I1987)</f>
        <v>5355005</v>
      </c>
      <c r="H1993">
        <f>0</f>
        <v>40960</v>
      </c>
      <c r="I1993">
        <f>G1993+H1993</f>
        <v>5395965</v>
      </c>
      <c r="J1993">
        <f>IF(AND(D1993&lt;&gt;"dram",D1993&lt;&gt;"control"),H1993,0)</f>
        <v>0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363</v>
      </c>
      <c r="C1994" t="s">
        <v>87</v>
      </c>
      <c r="D1994" t="s">
        <v>79</v>
      </c>
      <c r="E1994" t="s">
        <v>319</v>
      </c>
      <c r="F1994">
        <v>1280</v>
      </c>
      <c r="G1994">
        <f>MAX(I1993,I1991)</f>
        <v>5395965</v>
      </c>
      <c r="H1994">
        <f>CEILING((dram_access_latency+F1994/dram_bandwidth)*frequency,1)</f>
        <v>119</v>
      </c>
      <c r="I1994">
        <f>G1994+H1994</f>
        <v>5396084</v>
      </c>
      <c r="J1994">
        <f>IF(AND(D1994&lt;&gt;"dram",D1994&lt;&gt;"control"),H1994,0)</f>
        <v>0</v>
      </c>
      <c r="K1994">
        <f>IF(D1994="dram",H1994,0)</f>
        <v>119</v>
      </c>
      <c r="L1994">
        <v>0</v>
      </c>
      <c r="M1994">
        <v>1280</v>
      </c>
    </row>
    <row r="1995" spans="1:13">
      <c r="A1995">
        <v>1993</v>
      </c>
      <c r="B1995" t="s">
        <v>359</v>
      </c>
      <c r="C1995" t="s">
        <v>78</v>
      </c>
      <c r="D1995" t="s">
        <v>79</v>
      </c>
      <c r="E1995" t="s">
        <v>320</v>
      </c>
      <c r="F1995">
        <v>1310720</v>
      </c>
      <c r="G1995">
        <f>MAX(I1993,I1994)</f>
        <v>5396084</v>
      </c>
      <c r="H1995">
        <f>CEILING((dram_access_latency+F1995/dram_bandwidth)*frequency,1)</f>
        <v>19376</v>
      </c>
      <c r="I1995">
        <f>G1995+H1995</f>
        <v>5415460</v>
      </c>
      <c r="J1995">
        <f>IF(AND(D1995&lt;&gt;"dram",D1995&lt;&gt;"control"),H1995,0)</f>
        <v>0</v>
      </c>
      <c r="K1995">
        <f>IF(D1995="dram",H1995,0)</f>
        <v>19376</v>
      </c>
      <c r="L1995">
        <v>1310720</v>
      </c>
      <c r="M1995">
        <v>0</v>
      </c>
    </row>
    <row r="1996" spans="1:13">
      <c r="A1996">
        <v>1994</v>
      </c>
      <c r="B1996" t="s">
        <v>361</v>
      </c>
      <c r="C1996" t="s">
        <v>78</v>
      </c>
      <c r="D1996" t="s">
        <v>79</v>
      </c>
      <c r="E1996" t="s">
        <v>320</v>
      </c>
      <c r="F1996">
        <v>40960</v>
      </c>
      <c r="G1996">
        <f>MAX(I1993,I1995)</f>
        <v>5415460</v>
      </c>
      <c r="H1996">
        <f>CEILING((dram_access_latency+F1996/dram_bandwidth)*frequency,1)</f>
        <v>703</v>
      </c>
      <c r="I1996">
        <f>G1996+H1996</f>
        <v>5416163</v>
      </c>
      <c r="J1996">
        <f>IF(AND(D1996&lt;&gt;"dram",D1996&lt;&gt;"control"),H1996,0)</f>
        <v>0</v>
      </c>
      <c r="K1996">
        <f>IF(D1996="dram",H1996,0)</f>
        <v>703</v>
      </c>
      <c r="L1996">
        <v>40960</v>
      </c>
      <c r="M1996">
        <v>0</v>
      </c>
    </row>
    <row r="1997" spans="1:13">
      <c r="A1997">
        <v>1995</v>
      </c>
      <c r="B1997" t="s">
        <v>61</v>
      </c>
      <c r="C1997" t="s">
        <v>85</v>
      </c>
      <c r="D1997" t="s">
        <v>17</v>
      </c>
      <c r="E1997" t="s">
        <v>320</v>
      </c>
      <c r="F1997">
        <v>0</v>
      </c>
      <c r="G1997">
        <f>MAX(I1992,I1800,I1995,I1802,I1996,I1994)</f>
        <v>5436925</v>
      </c>
      <c r="H1997">
        <f>'Operations'!I26</f>
        <v>40960</v>
      </c>
      <c r="I1997">
        <f>G1997+H1997</f>
        <v>5477885</v>
      </c>
      <c r="J1997">
        <f>IF(AND(D1997&lt;&gt;"dram",D1997&lt;&gt;"control"),H1997,0)</f>
        <v>40960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362</v>
      </c>
      <c r="C1998" t="s">
        <v>82</v>
      </c>
      <c r="D1998" t="s">
        <v>83</v>
      </c>
      <c r="E1998" t="s">
        <v>320</v>
      </c>
      <c r="F1998">
        <v>0</v>
      </c>
      <c r="G1998">
        <f>MAX(I1993,I1992)</f>
        <v>5395965</v>
      </c>
      <c r="H1998">
        <f>0</f>
        <v>40960</v>
      </c>
      <c r="I1998">
        <f>G1998+H1998</f>
        <v>5436925</v>
      </c>
      <c r="J1998">
        <f>IF(AND(D1998&lt;&gt;"dram",D1998&lt;&gt;"control"),H1998,0)</f>
        <v>0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363</v>
      </c>
      <c r="C1999" t="s">
        <v>87</v>
      </c>
      <c r="D1999" t="s">
        <v>79</v>
      </c>
      <c r="E1999" t="s">
        <v>320</v>
      </c>
      <c r="F1999">
        <v>1280</v>
      </c>
      <c r="G1999">
        <f>MAX(I1998,I1996)</f>
        <v>5436925</v>
      </c>
      <c r="H1999">
        <f>CEILING((dram_access_latency+F1999/dram_bandwidth)*frequency,1)</f>
        <v>119</v>
      </c>
      <c r="I1999">
        <f>G1999+H1999</f>
        <v>5437044</v>
      </c>
      <c r="J1999">
        <f>IF(AND(D1999&lt;&gt;"dram",D1999&lt;&gt;"control"),H1999,0)</f>
        <v>0</v>
      </c>
      <c r="K1999">
        <f>IF(D1999="dram",H1999,0)</f>
        <v>119</v>
      </c>
      <c r="L1999">
        <v>0</v>
      </c>
      <c r="M1999">
        <v>1280</v>
      </c>
    </row>
    <row r="2000" spans="1:13">
      <c r="A2000">
        <v>1998</v>
      </c>
      <c r="B2000" t="s">
        <v>359</v>
      </c>
      <c r="C2000" t="s">
        <v>78</v>
      </c>
      <c r="D2000" t="s">
        <v>79</v>
      </c>
      <c r="E2000" t="s">
        <v>321</v>
      </c>
      <c r="F2000">
        <v>1310720</v>
      </c>
      <c r="G2000">
        <f>MAX(I1998,I1999)</f>
        <v>5437044</v>
      </c>
      <c r="H2000">
        <f>CEILING((dram_access_latency+F2000/dram_bandwidth)*frequency,1)</f>
        <v>19376</v>
      </c>
      <c r="I2000">
        <f>G2000+H2000</f>
        <v>5456420</v>
      </c>
      <c r="J2000">
        <f>IF(AND(D2000&lt;&gt;"dram",D2000&lt;&gt;"control"),H2000,0)</f>
        <v>0</v>
      </c>
      <c r="K2000">
        <f>IF(D2000="dram",H2000,0)</f>
        <v>19376</v>
      </c>
      <c r="L2000">
        <v>1310720</v>
      </c>
      <c r="M2000">
        <v>0</v>
      </c>
    </row>
    <row r="2001" spans="1:13">
      <c r="A2001">
        <v>1999</v>
      </c>
      <c r="B2001" t="s">
        <v>361</v>
      </c>
      <c r="C2001" t="s">
        <v>78</v>
      </c>
      <c r="D2001" t="s">
        <v>79</v>
      </c>
      <c r="E2001" t="s">
        <v>321</v>
      </c>
      <c r="F2001">
        <v>40960</v>
      </c>
      <c r="G2001">
        <f>MAX(I1998,I2000)</f>
        <v>5456420</v>
      </c>
      <c r="H2001">
        <f>CEILING((dram_access_latency+F2001/dram_bandwidth)*frequency,1)</f>
        <v>703</v>
      </c>
      <c r="I2001">
        <f>G2001+H2001</f>
        <v>5457123</v>
      </c>
      <c r="J2001">
        <f>IF(AND(D2001&lt;&gt;"dram",D2001&lt;&gt;"control"),H2001,0)</f>
        <v>0</v>
      </c>
      <c r="K2001">
        <f>IF(D2001="dram",H2001,0)</f>
        <v>703</v>
      </c>
      <c r="L2001">
        <v>40960</v>
      </c>
      <c r="M2001">
        <v>0</v>
      </c>
    </row>
    <row r="2002" spans="1:13">
      <c r="A2002">
        <v>2000</v>
      </c>
      <c r="B2002" t="s">
        <v>61</v>
      </c>
      <c r="C2002" t="s">
        <v>85</v>
      </c>
      <c r="D2002" t="s">
        <v>17</v>
      </c>
      <c r="E2002" t="s">
        <v>321</v>
      </c>
      <c r="F2002">
        <v>0</v>
      </c>
      <c r="G2002">
        <f>MAX(I1997,I1800,I2000,I1802,I2001,I1999)</f>
        <v>5477885</v>
      </c>
      <c r="H2002">
        <f>'Operations'!I26</f>
        <v>40960</v>
      </c>
      <c r="I2002">
        <f>G2002+H2002</f>
        <v>5518845</v>
      </c>
      <c r="J2002">
        <f>IF(AND(D2002&lt;&gt;"dram",D2002&lt;&gt;"control"),H2002,0)</f>
        <v>40960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362</v>
      </c>
      <c r="C2003" t="s">
        <v>82</v>
      </c>
      <c r="D2003" t="s">
        <v>83</v>
      </c>
      <c r="E2003" t="s">
        <v>321</v>
      </c>
      <c r="F2003">
        <v>0</v>
      </c>
      <c r="G2003">
        <f>MAX(I1998,I1997)</f>
        <v>5436925</v>
      </c>
      <c r="H2003">
        <f>0</f>
        <v>40960</v>
      </c>
      <c r="I2003">
        <f>G2003+H2003</f>
        <v>5477885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363</v>
      </c>
      <c r="C2004" t="s">
        <v>87</v>
      </c>
      <c r="D2004" t="s">
        <v>79</v>
      </c>
      <c r="E2004" t="s">
        <v>321</v>
      </c>
      <c r="F2004">
        <v>1280</v>
      </c>
      <c r="G2004">
        <f>MAX(I2003,I2001)</f>
        <v>5477885</v>
      </c>
      <c r="H2004">
        <f>CEILING((dram_access_latency+F2004/dram_bandwidth)*frequency,1)</f>
        <v>119</v>
      </c>
      <c r="I2004">
        <f>G2004+H2004</f>
        <v>5478004</v>
      </c>
      <c r="J2004">
        <f>IF(AND(D2004&lt;&gt;"dram",D2004&lt;&gt;"control"),H2004,0)</f>
        <v>0</v>
      </c>
      <c r="K2004">
        <f>IF(D2004="dram",H2004,0)</f>
        <v>119</v>
      </c>
      <c r="L2004">
        <v>0</v>
      </c>
      <c r="M2004">
        <v>1280</v>
      </c>
    </row>
    <row r="2005" spans="1:13">
      <c r="A2005">
        <v>2003</v>
      </c>
      <c r="B2005" t="s">
        <v>359</v>
      </c>
      <c r="C2005" t="s">
        <v>78</v>
      </c>
      <c r="D2005" t="s">
        <v>79</v>
      </c>
      <c r="E2005" t="s">
        <v>322</v>
      </c>
      <c r="F2005">
        <v>1310720</v>
      </c>
      <c r="G2005">
        <f>MAX(I2003,I2004)</f>
        <v>5478004</v>
      </c>
      <c r="H2005">
        <f>CEILING((dram_access_latency+F2005/dram_bandwidth)*frequency,1)</f>
        <v>19376</v>
      </c>
      <c r="I2005">
        <f>G2005+H2005</f>
        <v>5497380</v>
      </c>
      <c r="J2005">
        <f>IF(AND(D2005&lt;&gt;"dram",D2005&lt;&gt;"control"),H2005,0)</f>
        <v>0</v>
      </c>
      <c r="K2005">
        <f>IF(D2005="dram",H2005,0)</f>
        <v>19376</v>
      </c>
      <c r="L2005">
        <v>1310720</v>
      </c>
      <c r="M2005">
        <v>0</v>
      </c>
    </row>
    <row r="2006" spans="1:13">
      <c r="A2006">
        <v>2004</v>
      </c>
      <c r="B2006" t="s">
        <v>361</v>
      </c>
      <c r="C2006" t="s">
        <v>78</v>
      </c>
      <c r="D2006" t="s">
        <v>79</v>
      </c>
      <c r="E2006" t="s">
        <v>322</v>
      </c>
      <c r="F2006">
        <v>40960</v>
      </c>
      <c r="G2006">
        <f>MAX(I2003,I2005)</f>
        <v>5497380</v>
      </c>
      <c r="H2006">
        <f>CEILING((dram_access_latency+F2006/dram_bandwidth)*frequency,1)</f>
        <v>703</v>
      </c>
      <c r="I2006">
        <f>G2006+H2006</f>
        <v>5498083</v>
      </c>
      <c r="J2006">
        <f>IF(AND(D2006&lt;&gt;"dram",D2006&lt;&gt;"control"),H2006,0)</f>
        <v>0</v>
      </c>
      <c r="K2006">
        <f>IF(D2006="dram",H2006,0)</f>
        <v>703</v>
      </c>
      <c r="L2006">
        <v>40960</v>
      </c>
      <c r="M2006">
        <v>0</v>
      </c>
    </row>
    <row r="2007" spans="1:13">
      <c r="A2007">
        <v>2005</v>
      </c>
      <c r="B2007" t="s">
        <v>61</v>
      </c>
      <c r="C2007" t="s">
        <v>85</v>
      </c>
      <c r="D2007" t="s">
        <v>17</v>
      </c>
      <c r="E2007" t="s">
        <v>322</v>
      </c>
      <c r="F2007">
        <v>0</v>
      </c>
      <c r="G2007">
        <f>MAX(I2002,I1800,I2005,I1802,I2006,I2004)</f>
        <v>5518845</v>
      </c>
      <c r="H2007">
        <f>'Operations'!I26</f>
        <v>40960</v>
      </c>
      <c r="I2007">
        <f>G2007+H2007</f>
        <v>5559805</v>
      </c>
      <c r="J2007">
        <f>IF(AND(D2007&lt;&gt;"dram",D2007&lt;&gt;"control"),H2007,0)</f>
        <v>40960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362</v>
      </c>
      <c r="C2008" t="s">
        <v>82</v>
      </c>
      <c r="D2008" t="s">
        <v>83</v>
      </c>
      <c r="E2008" t="s">
        <v>322</v>
      </c>
      <c r="F2008">
        <v>0</v>
      </c>
      <c r="G2008">
        <f>MAX(I2003,I2002)</f>
        <v>5477885</v>
      </c>
      <c r="H2008">
        <f>0</f>
        <v>40960</v>
      </c>
      <c r="I2008">
        <f>G2008+H2008</f>
        <v>5518845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363</v>
      </c>
      <c r="C2009" t="s">
        <v>87</v>
      </c>
      <c r="D2009" t="s">
        <v>79</v>
      </c>
      <c r="E2009" t="s">
        <v>322</v>
      </c>
      <c r="F2009">
        <v>1280</v>
      </c>
      <c r="G2009">
        <f>MAX(I2008,I2006)</f>
        <v>5518845</v>
      </c>
      <c r="H2009">
        <f>CEILING((dram_access_latency+F2009/dram_bandwidth)*frequency,1)</f>
        <v>119</v>
      </c>
      <c r="I2009">
        <f>G2009+H2009</f>
        <v>5518964</v>
      </c>
      <c r="J2009">
        <f>IF(AND(D2009&lt;&gt;"dram",D2009&lt;&gt;"control"),H2009,0)</f>
        <v>0</v>
      </c>
      <c r="K2009">
        <f>IF(D2009="dram",H2009,0)</f>
        <v>119</v>
      </c>
      <c r="L2009">
        <v>0</v>
      </c>
      <c r="M2009">
        <v>1280</v>
      </c>
    </row>
    <row r="2010" spans="1:13">
      <c r="A2010">
        <v>2008</v>
      </c>
      <c r="B2010" t="s">
        <v>359</v>
      </c>
      <c r="C2010" t="s">
        <v>78</v>
      </c>
      <c r="D2010" t="s">
        <v>79</v>
      </c>
      <c r="E2010" t="s">
        <v>323</v>
      </c>
      <c r="F2010">
        <v>1310720</v>
      </c>
      <c r="G2010">
        <f>MAX(I2008,I2009)</f>
        <v>5518964</v>
      </c>
      <c r="H2010">
        <f>CEILING((dram_access_latency+F2010/dram_bandwidth)*frequency,1)</f>
        <v>19376</v>
      </c>
      <c r="I2010">
        <f>G2010+H2010</f>
        <v>5538340</v>
      </c>
      <c r="J2010">
        <f>IF(AND(D2010&lt;&gt;"dram",D2010&lt;&gt;"control"),H2010,0)</f>
        <v>0</v>
      </c>
      <c r="K2010">
        <f>IF(D2010="dram",H2010,0)</f>
        <v>19376</v>
      </c>
      <c r="L2010">
        <v>1310720</v>
      </c>
      <c r="M2010">
        <v>0</v>
      </c>
    </row>
    <row r="2011" spans="1:13">
      <c r="A2011">
        <v>2009</v>
      </c>
      <c r="B2011" t="s">
        <v>361</v>
      </c>
      <c r="C2011" t="s">
        <v>78</v>
      </c>
      <c r="D2011" t="s">
        <v>79</v>
      </c>
      <c r="E2011" t="s">
        <v>323</v>
      </c>
      <c r="F2011">
        <v>40960</v>
      </c>
      <c r="G2011">
        <f>MAX(I2008,I2010)</f>
        <v>5538340</v>
      </c>
      <c r="H2011">
        <f>CEILING((dram_access_latency+F2011/dram_bandwidth)*frequency,1)</f>
        <v>703</v>
      </c>
      <c r="I2011">
        <f>G2011+H2011</f>
        <v>5539043</v>
      </c>
      <c r="J2011">
        <f>IF(AND(D2011&lt;&gt;"dram",D2011&lt;&gt;"control"),H2011,0)</f>
        <v>0</v>
      </c>
      <c r="K2011">
        <f>IF(D2011="dram",H2011,0)</f>
        <v>703</v>
      </c>
      <c r="L2011">
        <v>40960</v>
      </c>
      <c r="M2011">
        <v>0</v>
      </c>
    </row>
    <row r="2012" spans="1:13">
      <c r="A2012">
        <v>2010</v>
      </c>
      <c r="B2012" t="s">
        <v>61</v>
      </c>
      <c r="C2012" t="s">
        <v>85</v>
      </c>
      <c r="D2012" t="s">
        <v>17</v>
      </c>
      <c r="E2012" t="s">
        <v>323</v>
      </c>
      <c r="F2012">
        <v>0</v>
      </c>
      <c r="G2012">
        <f>MAX(I2007,I1800,I2010,I1802,I2011,I2009)</f>
        <v>5559805</v>
      </c>
      <c r="H2012">
        <f>'Operations'!I26</f>
        <v>40960</v>
      </c>
      <c r="I2012">
        <f>G2012+H2012</f>
        <v>5600765</v>
      </c>
      <c r="J2012">
        <f>IF(AND(D2012&lt;&gt;"dram",D2012&lt;&gt;"control"),H2012,0)</f>
        <v>40960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362</v>
      </c>
      <c r="C2013" t="s">
        <v>82</v>
      </c>
      <c r="D2013" t="s">
        <v>83</v>
      </c>
      <c r="E2013" t="s">
        <v>323</v>
      </c>
      <c r="F2013">
        <v>0</v>
      </c>
      <c r="G2013">
        <f>MAX(I2008,I2007)</f>
        <v>5518845</v>
      </c>
      <c r="H2013">
        <f>0</f>
        <v>40960</v>
      </c>
      <c r="I2013">
        <f>G2013+H2013</f>
        <v>5559805</v>
      </c>
      <c r="J2013">
        <f>IF(AND(D2013&lt;&gt;"dram",D2013&lt;&gt;"control"),H2013,0)</f>
        <v>0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363</v>
      </c>
      <c r="C2014" t="s">
        <v>87</v>
      </c>
      <c r="D2014" t="s">
        <v>79</v>
      </c>
      <c r="E2014" t="s">
        <v>323</v>
      </c>
      <c r="F2014">
        <v>1280</v>
      </c>
      <c r="G2014">
        <f>MAX(I2013,I2011)</f>
        <v>5559805</v>
      </c>
      <c r="H2014">
        <f>CEILING((dram_access_latency+F2014/dram_bandwidth)*frequency,1)</f>
        <v>119</v>
      </c>
      <c r="I2014">
        <f>G2014+H2014</f>
        <v>5559924</v>
      </c>
      <c r="J2014">
        <f>IF(AND(D2014&lt;&gt;"dram",D2014&lt;&gt;"control"),H2014,0)</f>
        <v>0</v>
      </c>
      <c r="K2014">
        <f>IF(D2014="dram",H2014,0)</f>
        <v>119</v>
      </c>
      <c r="L2014">
        <v>0</v>
      </c>
      <c r="M2014">
        <v>1280</v>
      </c>
    </row>
    <row r="2015" spans="1:13">
      <c r="A2015">
        <v>2013</v>
      </c>
      <c r="B2015" t="s">
        <v>359</v>
      </c>
      <c r="C2015" t="s">
        <v>78</v>
      </c>
      <c r="D2015" t="s">
        <v>79</v>
      </c>
      <c r="E2015" t="s">
        <v>364</v>
      </c>
      <c r="F2015">
        <v>1310720</v>
      </c>
      <c r="G2015">
        <f>MAX(I2013,I2014)</f>
        <v>5559924</v>
      </c>
      <c r="H2015">
        <f>CEILING((dram_access_latency+F2015/dram_bandwidth)*frequency,1)</f>
        <v>19376</v>
      </c>
      <c r="I2015">
        <f>G2015+H2015</f>
        <v>5579300</v>
      </c>
      <c r="J2015">
        <f>IF(AND(D2015&lt;&gt;"dram",D2015&lt;&gt;"control"),H2015,0)</f>
        <v>0</v>
      </c>
      <c r="K2015">
        <f>IF(D2015="dram",H2015,0)</f>
        <v>19376</v>
      </c>
      <c r="L2015">
        <v>1310720</v>
      </c>
      <c r="M2015">
        <v>0</v>
      </c>
    </row>
    <row r="2016" spans="1:13">
      <c r="A2016">
        <v>2014</v>
      </c>
      <c r="B2016" t="s">
        <v>361</v>
      </c>
      <c r="C2016" t="s">
        <v>78</v>
      </c>
      <c r="D2016" t="s">
        <v>79</v>
      </c>
      <c r="E2016" t="s">
        <v>364</v>
      </c>
      <c r="F2016">
        <v>40960</v>
      </c>
      <c r="G2016">
        <f>MAX(I2013,I2015)</f>
        <v>5579300</v>
      </c>
      <c r="H2016">
        <f>CEILING((dram_access_latency+F2016/dram_bandwidth)*frequency,1)</f>
        <v>703</v>
      </c>
      <c r="I2016">
        <f>G2016+H2016</f>
        <v>5580003</v>
      </c>
      <c r="J2016">
        <f>IF(AND(D2016&lt;&gt;"dram",D2016&lt;&gt;"control"),H2016,0)</f>
        <v>0</v>
      </c>
      <c r="K2016">
        <f>IF(D2016="dram",H2016,0)</f>
        <v>703</v>
      </c>
      <c r="L2016">
        <v>40960</v>
      </c>
      <c r="M2016">
        <v>0</v>
      </c>
    </row>
    <row r="2017" spans="1:13">
      <c r="A2017">
        <v>2015</v>
      </c>
      <c r="B2017" t="s">
        <v>61</v>
      </c>
      <c r="C2017" t="s">
        <v>85</v>
      </c>
      <c r="D2017" t="s">
        <v>17</v>
      </c>
      <c r="E2017" t="s">
        <v>364</v>
      </c>
      <c r="F2017">
        <v>0</v>
      </c>
      <c r="G2017">
        <f>MAX(I2012,I1800,I2015,I1802,I2016,I2014)</f>
        <v>5600765</v>
      </c>
      <c r="H2017">
        <f>'Operations'!I26</f>
        <v>40960</v>
      </c>
      <c r="I2017">
        <f>G2017+H2017</f>
        <v>5641725</v>
      </c>
      <c r="J2017">
        <f>IF(AND(D2017&lt;&gt;"dram",D2017&lt;&gt;"control"),H2017,0)</f>
        <v>40960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362</v>
      </c>
      <c r="C2018" t="s">
        <v>82</v>
      </c>
      <c r="D2018" t="s">
        <v>83</v>
      </c>
      <c r="E2018" t="s">
        <v>364</v>
      </c>
      <c r="F2018">
        <v>0</v>
      </c>
      <c r="G2018">
        <f>MAX(I2013,I2012)</f>
        <v>5559805</v>
      </c>
      <c r="H2018">
        <f>0</f>
        <v>40960</v>
      </c>
      <c r="I2018">
        <f>G2018+H2018</f>
        <v>5600765</v>
      </c>
      <c r="J2018">
        <f>IF(AND(D2018&lt;&gt;"dram",D2018&lt;&gt;"control"),H2018,0)</f>
        <v>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363</v>
      </c>
      <c r="C2019" t="s">
        <v>87</v>
      </c>
      <c r="D2019" t="s">
        <v>79</v>
      </c>
      <c r="E2019" t="s">
        <v>364</v>
      </c>
      <c r="F2019">
        <v>1280</v>
      </c>
      <c r="G2019">
        <f>MAX(I2018,I2016)</f>
        <v>5600765</v>
      </c>
      <c r="H2019">
        <f>CEILING((dram_access_latency+F2019/dram_bandwidth)*frequency,1)</f>
        <v>119</v>
      </c>
      <c r="I2019">
        <f>G2019+H2019</f>
        <v>5600884</v>
      </c>
      <c r="J2019">
        <f>IF(AND(D2019&lt;&gt;"dram",D2019&lt;&gt;"control"),H2019,0)</f>
        <v>0</v>
      </c>
      <c r="K2019">
        <f>IF(D2019="dram",H2019,0)</f>
        <v>119</v>
      </c>
      <c r="L2019">
        <v>0</v>
      </c>
      <c r="M2019">
        <v>1280</v>
      </c>
    </row>
    <row r="2020" spans="1:13">
      <c r="A2020">
        <v>2018</v>
      </c>
      <c r="B2020" t="s">
        <v>359</v>
      </c>
      <c r="C2020" t="s">
        <v>78</v>
      </c>
      <c r="D2020" t="s">
        <v>79</v>
      </c>
      <c r="E2020" t="s">
        <v>365</v>
      </c>
      <c r="F2020">
        <v>1310720</v>
      </c>
      <c r="G2020">
        <f>MAX(I2018,I2019)</f>
        <v>5600884</v>
      </c>
      <c r="H2020">
        <f>CEILING((dram_access_latency+F2020/dram_bandwidth)*frequency,1)</f>
        <v>19376</v>
      </c>
      <c r="I2020">
        <f>G2020+H2020</f>
        <v>5620260</v>
      </c>
      <c r="J2020">
        <f>IF(AND(D2020&lt;&gt;"dram",D2020&lt;&gt;"control"),H2020,0)</f>
        <v>0</v>
      </c>
      <c r="K2020">
        <f>IF(D2020="dram",H2020,0)</f>
        <v>19376</v>
      </c>
      <c r="L2020">
        <v>1310720</v>
      </c>
      <c r="M2020">
        <v>0</v>
      </c>
    </row>
    <row r="2021" spans="1:13">
      <c r="A2021">
        <v>2019</v>
      </c>
      <c r="B2021" t="s">
        <v>361</v>
      </c>
      <c r="C2021" t="s">
        <v>78</v>
      </c>
      <c r="D2021" t="s">
        <v>79</v>
      </c>
      <c r="E2021" t="s">
        <v>365</v>
      </c>
      <c r="F2021">
        <v>40960</v>
      </c>
      <c r="G2021">
        <f>MAX(I2018,I2020)</f>
        <v>5620260</v>
      </c>
      <c r="H2021">
        <f>CEILING((dram_access_latency+F2021/dram_bandwidth)*frequency,1)</f>
        <v>703</v>
      </c>
      <c r="I2021">
        <f>G2021+H2021</f>
        <v>5620963</v>
      </c>
      <c r="J2021">
        <f>IF(AND(D2021&lt;&gt;"dram",D2021&lt;&gt;"control"),H2021,0)</f>
        <v>0</v>
      </c>
      <c r="K2021">
        <f>IF(D2021="dram",H2021,0)</f>
        <v>703</v>
      </c>
      <c r="L2021">
        <v>40960</v>
      </c>
      <c r="M2021">
        <v>0</v>
      </c>
    </row>
    <row r="2022" spans="1:13">
      <c r="A2022">
        <v>2020</v>
      </c>
      <c r="B2022" t="s">
        <v>61</v>
      </c>
      <c r="C2022" t="s">
        <v>85</v>
      </c>
      <c r="D2022" t="s">
        <v>17</v>
      </c>
      <c r="E2022" t="s">
        <v>365</v>
      </c>
      <c r="F2022">
        <v>0</v>
      </c>
      <c r="G2022">
        <f>MAX(I2017,I1800,I2020,I1802,I2021,I2019)</f>
        <v>5641725</v>
      </c>
      <c r="H2022">
        <f>'Operations'!I26</f>
        <v>40960</v>
      </c>
      <c r="I2022">
        <f>G2022+H2022</f>
        <v>5682685</v>
      </c>
      <c r="J2022">
        <f>IF(AND(D2022&lt;&gt;"dram",D2022&lt;&gt;"control"),H2022,0)</f>
        <v>40960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362</v>
      </c>
      <c r="C2023" t="s">
        <v>82</v>
      </c>
      <c r="D2023" t="s">
        <v>83</v>
      </c>
      <c r="E2023" t="s">
        <v>365</v>
      </c>
      <c r="F2023">
        <v>0</v>
      </c>
      <c r="G2023">
        <f>MAX(I2018,I2017)</f>
        <v>5600765</v>
      </c>
      <c r="H2023">
        <f>0</f>
        <v>40960</v>
      </c>
      <c r="I2023">
        <f>G2023+H2023</f>
        <v>5641725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363</v>
      </c>
      <c r="C2024" t="s">
        <v>87</v>
      </c>
      <c r="D2024" t="s">
        <v>79</v>
      </c>
      <c r="E2024" t="s">
        <v>365</v>
      </c>
      <c r="F2024">
        <v>1280</v>
      </c>
      <c r="G2024">
        <f>MAX(I2023,I2021)</f>
        <v>5641725</v>
      </c>
      <c r="H2024">
        <f>CEILING((dram_access_latency+F2024/dram_bandwidth)*frequency,1)</f>
        <v>119</v>
      </c>
      <c r="I2024">
        <f>G2024+H2024</f>
        <v>5641844</v>
      </c>
      <c r="J2024">
        <f>IF(AND(D2024&lt;&gt;"dram",D2024&lt;&gt;"control"),H2024,0)</f>
        <v>0</v>
      </c>
      <c r="K2024">
        <f>IF(D2024="dram",H2024,0)</f>
        <v>119</v>
      </c>
      <c r="L2024">
        <v>0</v>
      </c>
      <c r="M2024">
        <v>1280</v>
      </c>
    </row>
    <row r="2025" spans="1:13">
      <c r="A2025">
        <v>2023</v>
      </c>
      <c r="B2025" t="s">
        <v>359</v>
      </c>
      <c r="C2025" t="s">
        <v>78</v>
      </c>
      <c r="D2025" t="s">
        <v>79</v>
      </c>
      <c r="E2025" t="s">
        <v>366</v>
      </c>
      <c r="F2025">
        <v>1310720</v>
      </c>
      <c r="G2025">
        <f>MAX(I2023,I2024)</f>
        <v>5641844</v>
      </c>
      <c r="H2025">
        <f>CEILING((dram_access_latency+F2025/dram_bandwidth)*frequency,1)</f>
        <v>19376</v>
      </c>
      <c r="I2025">
        <f>G2025+H2025</f>
        <v>5661220</v>
      </c>
      <c r="J2025">
        <f>IF(AND(D2025&lt;&gt;"dram",D2025&lt;&gt;"control"),H2025,0)</f>
        <v>0</v>
      </c>
      <c r="K2025">
        <f>IF(D2025="dram",H2025,0)</f>
        <v>19376</v>
      </c>
      <c r="L2025">
        <v>1310720</v>
      </c>
      <c r="M2025">
        <v>0</v>
      </c>
    </row>
    <row r="2026" spans="1:13">
      <c r="A2026">
        <v>2024</v>
      </c>
      <c r="B2026" t="s">
        <v>361</v>
      </c>
      <c r="C2026" t="s">
        <v>78</v>
      </c>
      <c r="D2026" t="s">
        <v>79</v>
      </c>
      <c r="E2026" t="s">
        <v>366</v>
      </c>
      <c r="F2026">
        <v>40960</v>
      </c>
      <c r="G2026">
        <f>MAX(I2023,I2025)</f>
        <v>5661220</v>
      </c>
      <c r="H2026">
        <f>CEILING((dram_access_latency+F2026/dram_bandwidth)*frequency,1)</f>
        <v>703</v>
      </c>
      <c r="I2026">
        <f>G2026+H2026</f>
        <v>5661923</v>
      </c>
      <c r="J2026">
        <f>IF(AND(D2026&lt;&gt;"dram",D2026&lt;&gt;"control"),H2026,0)</f>
        <v>0</v>
      </c>
      <c r="K2026">
        <f>IF(D2026="dram",H2026,0)</f>
        <v>703</v>
      </c>
      <c r="L2026">
        <v>40960</v>
      </c>
      <c r="M2026">
        <v>0</v>
      </c>
    </row>
    <row r="2027" spans="1:13">
      <c r="A2027">
        <v>2025</v>
      </c>
      <c r="B2027" t="s">
        <v>61</v>
      </c>
      <c r="C2027" t="s">
        <v>85</v>
      </c>
      <c r="D2027" t="s">
        <v>17</v>
      </c>
      <c r="E2027" t="s">
        <v>366</v>
      </c>
      <c r="F2027">
        <v>0</v>
      </c>
      <c r="G2027">
        <f>MAX(I2022,I1800,I2025,I1802,I2026,I2024)</f>
        <v>5682685</v>
      </c>
      <c r="H2027">
        <f>'Operations'!I26</f>
        <v>40960</v>
      </c>
      <c r="I2027">
        <f>G2027+H2027</f>
        <v>5723645</v>
      </c>
      <c r="J2027">
        <f>IF(AND(D2027&lt;&gt;"dram",D2027&lt;&gt;"control"),H2027,0)</f>
        <v>40960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362</v>
      </c>
      <c r="C2028" t="s">
        <v>82</v>
      </c>
      <c r="D2028" t="s">
        <v>83</v>
      </c>
      <c r="E2028" t="s">
        <v>366</v>
      </c>
      <c r="F2028">
        <v>0</v>
      </c>
      <c r="G2028">
        <f>MAX(I2023,I2022)</f>
        <v>5641725</v>
      </c>
      <c r="H2028">
        <f>0</f>
        <v>40960</v>
      </c>
      <c r="I2028">
        <f>G2028+H2028</f>
        <v>5682685</v>
      </c>
      <c r="J2028">
        <f>IF(AND(D2028&lt;&gt;"dram",D2028&lt;&gt;"control"),H2028,0)</f>
        <v>0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363</v>
      </c>
      <c r="C2029" t="s">
        <v>87</v>
      </c>
      <c r="D2029" t="s">
        <v>79</v>
      </c>
      <c r="E2029" t="s">
        <v>366</v>
      </c>
      <c r="F2029">
        <v>1280</v>
      </c>
      <c r="G2029">
        <f>MAX(I2028,I2026)</f>
        <v>5682685</v>
      </c>
      <c r="H2029">
        <f>CEILING((dram_access_latency+F2029/dram_bandwidth)*frequency,1)</f>
        <v>119</v>
      </c>
      <c r="I2029">
        <f>G2029+H2029</f>
        <v>5682804</v>
      </c>
      <c r="J2029">
        <f>IF(AND(D2029&lt;&gt;"dram",D2029&lt;&gt;"control"),H2029,0)</f>
        <v>0</v>
      </c>
      <c r="K2029">
        <f>IF(D2029="dram",H2029,0)</f>
        <v>119</v>
      </c>
      <c r="L2029">
        <v>0</v>
      </c>
      <c r="M2029">
        <v>1280</v>
      </c>
    </row>
    <row r="2030" spans="1:13">
      <c r="A2030">
        <v>2028</v>
      </c>
      <c r="B2030" t="s">
        <v>359</v>
      </c>
      <c r="C2030" t="s">
        <v>78</v>
      </c>
      <c r="D2030" t="s">
        <v>79</v>
      </c>
      <c r="E2030" t="s">
        <v>367</v>
      </c>
      <c r="F2030">
        <v>1310720</v>
      </c>
      <c r="G2030">
        <f>MAX(I2028,I2029)</f>
        <v>5682804</v>
      </c>
      <c r="H2030">
        <f>CEILING((dram_access_latency+F2030/dram_bandwidth)*frequency,1)</f>
        <v>19376</v>
      </c>
      <c r="I2030">
        <f>G2030+H2030</f>
        <v>5702180</v>
      </c>
      <c r="J2030">
        <f>IF(AND(D2030&lt;&gt;"dram",D2030&lt;&gt;"control"),H2030,0)</f>
        <v>0</v>
      </c>
      <c r="K2030">
        <f>IF(D2030="dram",H2030,0)</f>
        <v>19376</v>
      </c>
      <c r="L2030">
        <v>1310720</v>
      </c>
      <c r="M2030">
        <v>0</v>
      </c>
    </row>
    <row r="2031" spans="1:13">
      <c r="A2031">
        <v>2029</v>
      </c>
      <c r="B2031" t="s">
        <v>361</v>
      </c>
      <c r="C2031" t="s">
        <v>78</v>
      </c>
      <c r="D2031" t="s">
        <v>79</v>
      </c>
      <c r="E2031" t="s">
        <v>367</v>
      </c>
      <c r="F2031">
        <v>40960</v>
      </c>
      <c r="G2031">
        <f>MAX(I2028,I2030)</f>
        <v>5702180</v>
      </c>
      <c r="H2031">
        <f>CEILING((dram_access_latency+F2031/dram_bandwidth)*frequency,1)</f>
        <v>703</v>
      </c>
      <c r="I2031">
        <f>G2031+H2031</f>
        <v>5702883</v>
      </c>
      <c r="J2031">
        <f>IF(AND(D2031&lt;&gt;"dram",D2031&lt;&gt;"control"),H2031,0)</f>
        <v>0</v>
      </c>
      <c r="K2031">
        <f>IF(D2031="dram",H2031,0)</f>
        <v>703</v>
      </c>
      <c r="L2031">
        <v>40960</v>
      </c>
      <c r="M2031">
        <v>0</v>
      </c>
    </row>
    <row r="2032" spans="1:13">
      <c r="A2032">
        <v>2030</v>
      </c>
      <c r="B2032" t="s">
        <v>61</v>
      </c>
      <c r="C2032" t="s">
        <v>85</v>
      </c>
      <c r="D2032" t="s">
        <v>17</v>
      </c>
      <c r="E2032" t="s">
        <v>367</v>
      </c>
      <c r="F2032">
        <v>0</v>
      </c>
      <c r="G2032">
        <f>MAX(I2027,I1800,I2030,I1802,I2031,I2029)</f>
        <v>5723645</v>
      </c>
      <c r="H2032">
        <f>'Operations'!I26</f>
        <v>40960</v>
      </c>
      <c r="I2032">
        <f>G2032+H2032</f>
        <v>5764605</v>
      </c>
      <c r="J2032">
        <f>IF(AND(D2032&lt;&gt;"dram",D2032&lt;&gt;"control"),H2032,0)</f>
        <v>40960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362</v>
      </c>
      <c r="C2033" t="s">
        <v>82</v>
      </c>
      <c r="D2033" t="s">
        <v>83</v>
      </c>
      <c r="E2033" t="s">
        <v>367</v>
      </c>
      <c r="F2033">
        <v>0</v>
      </c>
      <c r="G2033">
        <f>MAX(I2028,I2027)</f>
        <v>5682685</v>
      </c>
      <c r="H2033">
        <f>0</f>
        <v>40960</v>
      </c>
      <c r="I2033">
        <f>G2033+H2033</f>
        <v>5723645</v>
      </c>
      <c r="J2033">
        <f>IF(AND(D2033&lt;&gt;"dram",D2033&lt;&gt;"control"),H2033,0)</f>
        <v>0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363</v>
      </c>
      <c r="C2034" t="s">
        <v>87</v>
      </c>
      <c r="D2034" t="s">
        <v>79</v>
      </c>
      <c r="E2034" t="s">
        <v>367</v>
      </c>
      <c r="F2034">
        <v>1280</v>
      </c>
      <c r="G2034">
        <f>MAX(I2033,I2031)</f>
        <v>5723645</v>
      </c>
      <c r="H2034">
        <f>CEILING((dram_access_latency+F2034/dram_bandwidth)*frequency,1)</f>
        <v>119</v>
      </c>
      <c r="I2034">
        <f>G2034+H2034</f>
        <v>5723764</v>
      </c>
      <c r="J2034">
        <f>IF(AND(D2034&lt;&gt;"dram",D2034&lt;&gt;"control"),H2034,0)</f>
        <v>0</v>
      </c>
      <c r="K2034">
        <f>IF(D2034="dram",H2034,0)</f>
        <v>119</v>
      </c>
      <c r="L2034">
        <v>0</v>
      </c>
      <c r="M2034">
        <v>1280</v>
      </c>
    </row>
    <row r="2035" spans="1:13">
      <c r="A2035">
        <v>2033</v>
      </c>
      <c r="B2035" t="s">
        <v>359</v>
      </c>
      <c r="C2035" t="s">
        <v>78</v>
      </c>
      <c r="D2035" t="s">
        <v>79</v>
      </c>
      <c r="E2035" t="s">
        <v>368</v>
      </c>
      <c r="F2035">
        <v>1310720</v>
      </c>
      <c r="G2035">
        <f>MAX(I2033,I2034)</f>
        <v>5723764</v>
      </c>
      <c r="H2035">
        <f>CEILING((dram_access_latency+F2035/dram_bandwidth)*frequency,1)</f>
        <v>19376</v>
      </c>
      <c r="I2035">
        <f>G2035+H2035</f>
        <v>5743140</v>
      </c>
      <c r="J2035">
        <f>IF(AND(D2035&lt;&gt;"dram",D2035&lt;&gt;"control"),H2035,0)</f>
        <v>0</v>
      </c>
      <c r="K2035">
        <f>IF(D2035="dram",H2035,0)</f>
        <v>19376</v>
      </c>
      <c r="L2035">
        <v>1310720</v>
      </c>
      <c r="M2035">
        <v>0</v>
      </c>
    </row>
    <row r="2036" spans="1:13">
      <c r="A2036">
        <v>2034</v>
      </c>
      <c r="B2036" t="s">
        <v>361</v>
      </c>
      <c r="C2036" t="s">
        <v>78</v>
      </c>
      <c r="D2036" t="s">
        <v>79</v>
      </c>
      <c r="E2036" t="s">
        <v>368</v>
      </c>
      <c r="F2036">
        <v>40960</v>
      </c>
      <c r="G2036">
        <f>MAX(I2033,I2035)</f>
        <v>5743140</v>
      </c>
      <c r="H2036">
        <f>CEILING((dram_access_latency+F2036/dram_bandwidth)*frequency,1)</f>
        <v>703</v>
      </c>
      <c r="I2036">
        <f>G2036+H2036</f>
        <v>5743843</v>
      </c>
      <c r="J2036">
        <f>IF(AND(D2036&lt;&gt;"dram",D2036&lt;&gt;"control"),H2036,0)</f>
        <v>0</v>
      </c>
      <c r="K2036">
        <f>IF(D2036="dram",H2036,0)</f>
        <v>703</v>
      </c>
      <c r="L2036">
        <v>40960</v>
      </c>
      <c r="M2036">
        <v>0</v>
      </c>
    </row>
    <row r="2037" spans="1:13">
      <c r="A2037">
        <v>2035</v>
      </c>
      <c r="B2037" t="s">
        <v>61</v>
      </c>
      <c r="C2037" t="s">
        <v>85</v>
      </c>
      <c r="D2037" t="s">
        <v>17</v>
      </c>
      <c r="E2037" t="s">
        <v>368</v>
      </c>
      <c r="F2037">
        <v>0</v>
      </c>
      <c r="G2037">
        <f>MAX(I2032,I1800,I2035,I1802,I2036,I2034)</f>
        <v>5764605</v>
      </c>
      <c r="H2037">
        <f>'Operations'!I26</f>
        <v>40960</v>
      </c>
      <c r="I2037">
        <f>G2037+H2037</f>
        <v>5805565</v>
      </c>
      <c r="J2037">
        <f>IF(AND(D2037&lt;&gt;"dram",D2037&lt;&gt;"control"),H2037,0)</f>
        <v>40960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362</v>
      </c>
      <c r="C2038" t="s">
        <v>82</v>
      </c>
      <c r="D2038" t="s">
        <v>83</v>
      </c>
      <c r="E2038" t="s">
        <v>368</v>
      </c>
      <c r="F2038">
        <v>0</v>
      </c>
      <c r="G2038">
        <f>MAX(I2033,I2032)</f>
        <v>5723645</v>
      </c>
      <c r="H2038">
        <f>0</f>
        <v>40960</v>
      </c>
      <c r="I2038">
        <f>G2038+H2038</f>
        <v>5764605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363</v>
      </c>
      <c r="C2039" t="s">
        <v>87</v>
      </c>
      <c r="D2039" t="s">
        <v>79</v>
      </c>
      <c r="E2039" t="s">
        <v>368</v>
      </c>
      <c r="F2039">
        <v>1280</v>
      </c>
      <c r="G2039">
        <f>MAX(I2038,I2036)</f>
        <v>5764605</v>
      </c>
      <c r="H2039">
        <f>CEILING((dram_access_latency+F2039/dram_bandwidth)*frequency,1)</f>
        <v>119</v>
      </c>
      <c r="I2039">
        <f>G2039+H2039</f>
        <v>5764724</v>
      </c>
      <c r="J2039">
        <f>IF(AND(D2039&lt;&gt;"dram",D2039&lt;&gt;"control"),H2039,0)</f>
        <v>0</v>
      </c>
      <c r="K2039">
        <f>IF(D2039="dram",H2039,0)</f>
        <v>119</v>
      </c>
      <c r="L2039">
        <v>0</v>
      </c>
      <c r="M2039">
        <v>1280</v>
      </c>
    </row>
    <row r="2040" spans="1:13">
      <c r="A2040">
        <v>2038</v>
      </c>
      <c r="B2040" t="s">
        <v>359</v>
      </c>
      <c r="C2040" t="s">
        <v>78</v>
      </c>
      <c r="D2040" t="s">
        <v>79</v>
      </c>
      <c r="E2040" t="s">
        <v>369</v>
      </c>
      <c r="F2040">
        <v>1310720</v>
      </c>
      <c r="G2040">
        <f>MAX(I2038,I2039)</f>
        <v>5764724</v>
      </c>
      <c r="H2040">
        <f>CEILING((dram_access_latency+F2040/dram_bandwidth)*frequency,1)</f>
        <v>19376</v>
      </c>
      <c r="I2040">
        <f>G2040+H2040</f>
        <v>5784100</v>
      </c>
      <c r="J2040">
        <f>IF(AND(D2040&lt;&gt;"dram",D2040&lt;&gt;"control"),H2040,0)</f>
        <v>0</v>
      </c>
      <c r="K2040">
        <f>IF(D2040="dram",H2040,0)</f>
        <v>19376</v>
      </c>
      <c r="L2040">
        <v>1310720</v>
      </c>
      <c r="M2040">
        <v>0</v>
      </c>
    </row>
    <row r="2041" spans="1:13">
      <c r="A2041">
        <v>2039</v>
      </c>
      <c r="B2041" t="s">
        <v>361</v>
      </c>
      <c r="C2041" t="s">
        <v>78</v>
      </c>
      <c r="D2041" t="s">
        <v>79</v>
      </c>
      <c r="E2041" t="s">
        <v>369</v>
      </c>
      <c r="F2041">
        <v>40960</v>
      </c>
      <c r="G2041">
        <f>MAX(I2038,I2040)</f>
        <v>5784100</v>
      </c>
      <c r="H2041">
        <f>CEILING((dram_access_latency+F2041/dram_bandwidth)*frequency,1)</f>
        <v>703</v>
      </c>
      <c r="I2041">
        <f>G2041+H2041</f>
        <v>5784803</v>
      </c>
      <c r="J2041">
        <f>IF(AND(D2041&lt;&gt;"dram",D2041&lt;&gt;"control"),H2041,0)</f>
        <v>0</v>
      </c>
      <c r="K2041">
        <f>IF(D2041="dram",H2041,0)</f>
        <v>703</v>
      </c>
      <c r="L2041">
        <v>40960</v>
      </c>
      <c r="M2041">
        <v>0</v>
      </c>
    </row>
    <row r="2042" spans="1:13">
      <c r="A2042">
        <v>2040</v>
      </c>
      <c r="B2042" t="s">
        <v>61</v>
      </c>
      <c r="C2042" t="s">
        <v>85</v>
      </c>
      <c r="D2042" t="s">
        <v>17</v>
      </c>
      <c r="E2042" t="s">
        <v>369</v>
      </c>
      <c r="F2042">
        <v>0</v>
      </c>
      <c r="G2042">
        <f>MAX(I2037,I1800,I2040,I1802,I2041,I2039)</f>
        <v>5805565</v>
      </c>
      <c r="H2042">
        <f>'Operations'!I26</f>
        <v>40960</v>
      </c>
      <c r="I2042">
        <f>G2042+H2042</f>
        <v>5846525</v>
      </c>
      <c r="J2042">
        <f>IF(AND(D2042&lt;&gt;"dram",D2042&lt;&gt;"control"),H2042,0)</f>
        <v>40960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362</v>
      </c>
      <c r="C2043" t="s">
        <v>82</v>
      </c>
      <c r="D2043" t="s">
        <v>83</v>
      </c>
      <c r="E2043" t="s">
        <v>369</v>
      </c>
      <c r="F2043">
        <v>0</v>
      </c>
      <c r="G2043">
        <f>MAX(I2038,I2037)</f>
        <v>5764605</v>
      </c>
      <c r="H2043">
        <f>0</f>
        <v>40960</v>
      </c>
      <c r="I2043">
        <f>G2043+H2043</f>
        <v>5805565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363</v>
      </c>
      <c r="C2044" t="s">
        <v>87</v>
      </c>
      <c r="D2044" t="s">
        <v>79</v>
      </c>
      <c r="E2044" t="s">
        <v>369</v>
      </c>
      <c r="F2044">
        <v>1280</v>
      </c>
      <c r="G2044">
        <f>MAX(I2043,I2041)</f>
        <v>5805565</v>
      </c>
      <c r="H2044">
        <f>CEILING((dram_access_latency+F2044/dram_bandwidth)*frequency,1)</f>
        <v>119</v>
      </c>
      <c r="I2044">
        <f>G2044+H2044</f>
        <v>5805684</v>
      </c>
      <c r="J2044">
        <f>IF(AND(D2044&lt;&gt;"dram",D2044&lt;&gt;"control"),H2044,0)</f>
        <v>0</v>
      </c>
      <c r="K2044">
        <f>IF(D2044="dram",H2044,0)</f>
        <v>119</v>
      </c>
      <c r="L2044">
        <v>0</v>
      </c>
      <c r="M2044">
        <v>1280</v>
      </c>
    </row>
    <row r="2045" spans="1:13">
      <c r="A2045">
        <v>2043</v>
      </c>
      <c r="B2045" t="s">
        <v>359</v>
      </c>
      <c r="C2045" t="s">
        <v>78</v>
      </c>
      <c r="D2045" t="s">
        <v>79</v>
      </c>
      <c r="E2045" t="s">
        <v>370</v>
      </c>
      <c r="F2045">
        <v>1310720</v>
      </c>
      <c r="G2045">
        <f>MAX(I2043,I2044)</f>
        <v>5805684</v>
      </c>
      <c r="H2045">
        <f>CEILING((dram_access_latency+F2045/dram_bandwidth)*frequency,1)</f>
        <v>19376</v>
      </c>
      <c r="I2045">
        <f>G2045+H2045</f>
        <v>5825060</v>
      </c>
      <c r="J2045">
        <f>IF(AND(D2045&lt;&gt;"dram",D2045&lt;&gt;"control"),H2045,0)</f>
        <v>0</v>
      </c>
      <c r="K2045">
        <f>IF(D2045="dram",H2045,0)</f>
        <v>19376</v>
      </c>
      <c r="L2045">
        <v>1310720</v>
      </c>
      <c r="M2045">
        <v>0</v>
      </c>
    </row>
    <row r="2046" spans="1:13">
      <c r="A2046">
        <v>2044</v>
      </c>
      <c r="B2046" t="s">
        <v>361</v>
      </c>
      <c r="C2046" t="s">
        <v>78</v>
      </c>
      <c r="D2046" t="s">
        <v>79</v>
      </c>
      <c r="E2046" t="s">
        <v>370</v>
      </c>
      <c r="F2046">
        <v>40960</v>
      </c>
      <c r="G2046">
        <f>MAX(I2043,I2045)</f>
        <v>5825060</v>
      </c>
      <c r="H2046">
        <f>CEILING((dram_access_latency+F2046/dram_bandwidth)*frequency,1)</f>
        <v>703</v>
      </c>
      <c r="I2046">
        <f>G2046+H2046</f>
        <v>5825763</v>
      </c>
      <c r="J2046">
        <f>IF(AND(D2046&lt;&gt;"dram",D2046&lt;&gt;"control"),H2046,0)</f>
        <v>0</v>
      </c>
      <c r="K2046">
        <f>IF(D2046="dram",H2046,0)</f>
        <v>703</v>
      </c>
      <c r="L2046">
        <v>40960</v>
      </c>
      <c r="M2046">
        <v>0</v>
      </c>
    </row>
    <row r="2047" spans="1:13">
      <c r="A2047">
        <v>2045</v>
      </c>
      <c r="B2047" t="s">
        <v>61</v>
      </c>
      <c r="C2047" t="s">
        <v>85</v>
      </c>
      <c r="D2047" t="s">
        <v>17</v>
      </c>
      <c r="E2047" t="s">
        <v>370</v>
      </c>
      <c r="F2047">
        <v>0</v>
      </c>
      <c r="G2047">
        <f>MAX(I2042,I1800,I2045,I1802,I2046,I2044)</f>
        <v>5846525</v>
      </c>
      <c r="H2047">
        <f>'Operations'!I26</f>
        <v>40960</v>
      </c>
      <c r="I2047">
        <f>G2047+H2047</f>
        <v>5887485</v>
      </c>
      <c r="J2047">
        <f>IF(AND(D2047&lt;&gt;"dram",D2047&lt;&gt;"control"),H2047,0)</f>
        <v>40960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362</v>
      </c>
      <c r="C2048" t="s">
        <v>82</v>
      </c>
      <c r="D2048" t="s">
        <v>83</v>
      </c>
      <c r="E2048" t="s">
        <v>370</v>
      </c>
      <c r="F2048">
        <v>0</v>
      </c>
      <c r="G2048">
        <f>MAX(I2043,I2042)</f>
        <v>5805565</v>
      </c>
      <c r="H2048">
        <f>0</f>
        <v>40960</v>
      </c>
      <c r="I2048">
        <f>G2048+H2048</f>
        <v>5846525</v>
      </c>
      <c r="J2048">
        <f>IF(AND(D2048&lt;&gt;"dram",D2048&lt;&gt;"control"),H2048,0)</f>
        <v>0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363</v>
      </c>
      <c r="C2049" t="s">
        <v>87</v>
      </c>
      <c r="D2049" t="s">
        <v>79</v>
      </c>
      <c r="E2049" t="s">
        <v>370</v>
      </c>
      <c r="F2049">
        <v>1280</v>
      </c>
      <c r="G2049">
        <f>MAX(I2048,I2046)</f>
        <v>5846525</v>
      </c>
      <c r="H2049">
        <f>CEILING((dram_access_latency+F2049/dram_bandwidth)*frequency,1)</f>
        <v>119</v>
      </c>
      <c r="I2049">
        <f>G2049+H2049</f>
        <v>5846644</v>
      </c>
      <c r="J2049">
        <f>IF(AND(D2049&lt;&gt;"dram",D2049&lt;&gt;"control"),H2049,0)</f>
        <v>0</v>
      </c>
      <c r="K2049">
        <f>IF(D2049="dram",H2049,0)</f>
        <v>119</v>
      </c>
      <c r="L2049">
        <v>0</v>
      </c>
      <c r="M2049">
        <v>1280</v>
      </c>
    </row>
    <row r="2050" spans="1:13">
      <c r="A2050">
        <v>2048</v>
      </c>
      <c r="B2050" t="s">
        <v>371</v>
      </c>
      <c r="C2050" t="s">
        <v>82</v>
      </c>
      <c r="D2050" t="s">
        <v>83</v>
      </c>
      <c r="E2050" t="s">
        <v>80</v>
      </c>
      <c r="F2050">
        <v>0</v>
      </c>
      <c r="G2050">
        <f>MAX(I2048,I2047)</f>
        <v>5846525</v>
      </c>
      <c r="H2050">
        <f>0</f>
        <v>40960</v>
      </c>
      <c r="I2050">
        <f>G2050+H2050</f>
        <v>5887485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372</v>
      </c>
      <c r="C2051" t="s">
        <v>87</v>
      </c>
      <c r="D2051" t="s">
        <v>79</v>
      </c>
      <c r="E2051" t="s">
        <v>80</v>
      </c>
      <c r="F2051">
        <v>1280</v>
      </c>
      <c r="G2051">
        <f>MAX(I2050,I2049)</f>
        <v>5887485</v>
      </c>
      <c r="H2051">
        <f>CEILING((dram_access_latency+F2051/dram_bandwidth)*frequency,1)</f>
        <v>119</v>
      </c>
      <c r="I2051">
        <f>G2051+H2051</f>
        <v>5887604</v>
      </c>
      <c r="J2051">
        <f>IF(AND(D2051&lt;&gt;"dram",D2051&lt;&gt;"control"),H2051,0)</f>
        <v>0</v>
      </c>
      <c r="K2051">
        <f>IF(D2051="dram",H2051,0)</f>
        <v>119</v>
      </c>
      <c r="L2051">
        <v>0</v>
      </c>
      <c r="M2051">
        <v>1280</v>
      </c>
    </row>
    <row r="2052" spans="1:13">
      <c r="A2052">
        <v>2050</v>
      </c>
      <c r="B2052" t="s">
        <v>373</v>
      </c>
      <c r="C2052" t="s">
        <v>82</v>
      </c>
      <c r="D2052" t="s">
        <v>83</v>
      </c>
      <c r="E2052" t="s">
        <v>80</v>
      </c>
      <c r="F2052">
        <v>0</v>
      </c>
      <c r="G2052">
        <f>MAX(I2050,I2049)</f>
        <v>5887485</v>
      </c>
      <c r="H2052">
        <f>0</f>
        <v>0</v>
      </c>
      <c r="I2052">
        <f>G2052+H2052</f>
        <v>5887485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374</v>
      </c>
      <c r="C2053" t="s">
        <v>82</v>
      </c>
      <c r="D2053" t="s">
        <v>83</v>
      </c>
      <c r="E2053" t="s">
        <v>80</v>
      </c>
      <c r="F2053">
        <v>0</v>
      </c>
      <c r="G2053">
        <f>MAX(I2052,I2051)</f>
        <v>5887485</v>
      </c>
      <c r="H2053">
        <f>0</f>
        <v>119</v>
      </c>
      <c r="I2053">
        <f>G2053+H2053</f>
        <v>5887604</v>
      </c>
      <c r="J2053">
        <f>IF(AND(D2053&lt;&gt;"dram",D2053&lt;&gt;"control"),H2053,0)</f>
        <v>0</v>
      </c>
      <c r="K2053">
        <f>IF(D2053="dram",H2053,0)</f>
        <v>0</v>
      </c>
      <c r="L2053">
        <v>0</v>
      </c>
      <c r="M20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375</v>
      </c>
    </row>
    <row r="2" spans="1:6">
      <c r="A2" t="s">
        <v>376</v>
      </c>
      <c r="B2">
        <f>MAX(Events!I2:I2053)</f>
        <v>5887604</v>
      </c>
    </row>
    <row r="3" spans="1:6">
      <c r="A3" t="s">
        <v>377</v>
      </c>
      <c r="B3">
        <f>SUM(Events!L2:L2053)</f>
        <v>189760780</v>
      </c>
    </row>
    <row r="4" spans="1:6">
      <c r="A4" t="s">
        <v>378</v>
      </c>
      <c r="B4">
        <f>SUM(Events!M2:M2053)</f>
        <v>9945588</v>
      </c>
    </row>
    <row r="6" spans="1:6">
      <c r="A6" s="1" t="s">
        <v>379</v>
      </c>
    </row>
    <row r="7" spans="1:6">
      <c r="A7" s="1" t="s">
        <v>380</v>
      </c>
      <c r="B7" s="1" t="s">
        <v>381</v>
      </c>
      <c r="C7" s="1" t="s">
        <v>382</v>
      </c>
      <c r="D7" s="1" t="s">
        <v>383</v>
      </c>
      <c r="E7" s="1" t="s">
        <v>384</v>
      </c>
      <c r="F7" s="1" t="s">
        <v>385</v>
      </c>
    </row>
    <row r="8" spans="1:6">
      <c r="A8" t="s">
        <v>386</v>
      </c>
      <c r="B8">
        <v>1</v>
      </c>
      <c r="C8">
        <v>0</v>
      </c>
      <c r="D8">
        <v>1</v>
      </c>
      <c r="E8">
        <v>510</v>
      </c>
      <c r="F8" t="s">
        <v>387</v>
      </c>
    </row>
    <row r="9" spans="1:6">
      <c r="A9" t="s">
        <v>388</v>
      </c>
      <c r="B9">
        <v>1</v>
      </c>
      <c r="C9">
        <v>0</v>
      </c>
      <c r="D9">
        <v>1</v>
      </c>
      <c r="E9">
        <v>2662</v>
      </c>
      <c r="F9" t="s">
        <v>387</v>
      </c>
    </row>
    <row r="10" spans="1:6">
      <c r="A10" t="s">
        <v>389</v>
      </c>
      <c r="B10">
        <v>4</v>
      </c>
      <c r="C10">
        <v>0</v>
      </c>
      <c r="D10">
        <v>2</v>
      </c>
      <c r="E10">
        <v>65536</v>
      </c>
      <c r="F10" t="s">
        <v>390</v>
      </c>
    </row>
    <row r="11" spans="1:6">
      <c r="A11" t="s">
        <v>391</v>
      </c>
      <c r="B11">
        <v>4</v>
      </c>
      <c r="C11">
        <v>0</v>
      </c>
      <c r="D11">
        <v>2</v>
      </c>
      <c r="E11">
        <v>65536</v>
      </c>
      <c r="F11" t="s">
        <v>390</v>
      </c>
    </row>
    <row r="12" spans="1:6">
      <c r="A12" t="s">
        <v>392</v>
      </c>
      <c r="B12">
        <v>4</v>
      </c>
      <c r="C12">
        <v>0</v>
      </c>
      <c r="D12">
        <v>2</v>
      </c>
      <c r="E12">
        <v>65536</v>
      </c>
      <c r="F12" t="s">
        <v>390</v>
      </c>
    </row>
    <row r="13" spans="1:6">
      <c r="A13" t="s">
        <v>393</v>
      </c>
      <c r="B13">
        <v>1</v>
      </c>
      <c r="C13">
        <v>0</v>
      </c>
      <c r="D13">
        <v>1</v>
      </c>
      <c r="E13">
        <v>386</v>
      </c>
      <c r="F13" t="s">
        <v>387</v>
      </c>
    </row>
    <row r="14" spans="1:6">
      <c r="A14" t="s">
        <v>394</v>
      </c>
      <c r="B14">
        <v>1</v>
      </c>
      <c r="C14">
        <v>0</v>
      </c>
      <c r="D14">
        <v>1</v>
      </c>
      <c r="E14">
        <v>674</v>
      </c>
      <c r="F14" t="s">
        <v>387</v>
      </c>
    </row>
    <row r="15" spans="1:6">
      <c r="A15" t="s">
        <v>395</v>
      </c>
      <c r="B15">
        <v>1</v>
      </c>
      <c r="C15">
        <v>0</v>
      </c>
      <c r="D15">
        <v>1</v>
      </c>
      <c r="E15">
        <v>921</v>
      </c>
      <c r="F15" t="s">
        <v>387</v>
      </c>
    </row>
    <row r="16" spans="1:6">
      <c r="A16" t="s">
        <v>396</v>
      </c>
      <c r="B16">
        <v>1</v>
      </c>
      <c r="C16">
        <v>0</v>
      </c>
      <c r="D16">
        <v>1</v>
      </c>
      <c r="E16">
        <v>386</v>
      </c>
      <c r="F16" t="s">
        <v>387</v>
      </c>
    </row>
    <row r="17" spans="1:6">
      <c r="A17" t="s">
        <v>397</v>
      </c>
      <c r="B17">
        <v>1</v>
      </c>
      <c r="C17">
        <v>0</v>
      </c>
      <c r="D17">
        <v>1</v>
      </c>
      <c r="E17">
        <v>674</v>
      </c>
      <c r="F17" t="s">
        <v>387</v>
      </c>
    </row>
    <row r="18" spans="1:6">
      <c r="A18" t="s">
        <v>398</v>
      </c>
      <c r="B18">
        <v>1</v>
      </c>
      <c r="C18">
        <v>0</v>
      </c>
      <c r="D18">
        <v>1</v>
      </c>
      <c r="E18">
        <v>895</v>
      </c>
      <c r="F18" t="s">
        <v>387</v>
      </c>
    </row>
    <row r="19" spans="1:6">
      <c r="A19" t="s">
        <v>399</v>
      </c>
      <c r="B19">
        <v>16</v>
      </c>
      <c r="C19">
        <v>7</v>
      </c>
      <c r="D19">
        <v>13</v>
      </c>
      <c r="E19">
        <v>6965</v>
      </c>
      <c r="F19" t="s">
        <v>400</v>
      </c>
    </row>
    <row r="20" spans="1:6">
      <c r="A20" t="s">
        <v>401</v>
      </c>
      <c r="B20">
        <v>32</v>
      </c>
      <c r="C20">
        <v>7</v>
      </c>
      <c r="D20">
        <v>29</v>
      </c>
      <c r="E20">
        <v>1436</v>
      </c>
      <c r="F20" t="s">
        <v>402</v>
      </c>
    </row>
    <row r="21" spans="1:6">
      <c r="A21" t="s">
        <v>403</v>
      </c>
      <c r="B21">
        <v>4</v>
      </c>
      <c r="C21">
        <v>0</v>
      </c>
      <c r="D21">
        <v>1</v>
      </c>
      <c r="E21">
        <v>915</v>
      </c>
      <c r="F21" t="s">
        <v>387</v>
      </c>
    </row>
    <row r="22" spans="1:6">
      <c r="A22" t="s">
        <v>404</v>
      </c>
      <c r="B22">
        <v>1</v>
      </c>
      <c r="C22">
        <v>0</v>
      </c>
      <c r="D22">
        <v>1</v>
      </c>
      <c r="E22">
        <v>109</v>
      </c>
      <c r="F22" t="s">
        <v>387</v>
      </c>
    </row>
    <row r="23" spans="1:6">
      <c r="A23" t="s">
        <v>405</v>
      </c>
      <c r="B23">
        <v>8</v>
      </c>
      <c r="C23">
        <v>7</v>
      </c>
      <c r="D23">
        <v>5</v>
      </c>
      <c r="E23">
        <v>2967</v>
      </c>
      <c r="F23" t="s">
        <v>406</v>
      </c>
    </row>
    <row r="24" spans="1:6">
      <c r="A24" t="s">
        <v>407</v>
      </c>
      <c r="B24">
        <v>32</v>
      </c>
      <c r="C24">
        <v>7</v>
      </c>
      <c r="D24">
        <v>29</v>
      </c>
      <c r="E24">
        <v>692</v>
      </c>
      <c r="F24" t="s">
        <v>402</v>
      </c>
    </row>
    <row r="25" spans="1:6">
      <c r="A25" t="s">
        <v>408</v>
      </c>
      <c r="B25">
        <v>32</v>
      </c>
      <c r="C25">
        <v>9</v>
      </c>
      <c r="D25">
        <v>29</v>
      </c>
      <c r="E25">
        <v>1452</v>
      </c>
      <c r="F25" t="s">
        <v>402</v>
      </c>
    </row>
    <row r="26" spans="1:6">
      <c r="A26" t="s">
        <v>409</v>
      </c>
      <c r="B26">
        <v>4</v>
      </c>
      <c r="C26">
        <v>0</v>
      </c>
      <c r="D26">
        <v>2</v>
      </c>
      <c r="E26">
        <v>65536</v>
      </c>
      <c r="F26" t="s">
        <v>390</v>
      </c>
    </row>
    <row r="27" spans="1:6">
      <c r="A27" t="s">
        <v>410</v>
      </c>
      <c r="B27">
        <v>1</v>
      </c>
      <c r="C27">
        <v>0</v>
      </c>
      <c r="D27">
        <v>1</v>
      </c>
      <c r="E27">
        <v>510</v>
      </c>
      <c r="F27" t="s">
        <v>387</v>
      </c>
    </row>
    <row r="28" spans="1:6">
      <c r="A28" t="s">
        <v>411</v>
      </c>
      <c r="B28">
        <v>1</v>
      </c>
      <c r="C28">
        <v>0</v>
      </c>
      <c r="D28">
        <v>1</v>
      </c>
      <c r="E28">
        <v>2662</v>
      </c>
      <c r="F28" t="s">
        <v>387</v>
      </c>
    </row>
    <row r="29" spans="1:6">
      <c r="A29" t="s">
        <v>412</v>
      </c>
      <c r="B29">
        <v>43</v>
      </c>
      <c r="C29">
        <v>5</v>
      </c>
      <c r="D29">
        <v>41</v>
      </c>
      <c r="E29">
        <v>16384</v>
      </c>
      <c r="F29" t="s">
        <v>413</v>
      </c>
    </row>
    <row r="30" spans="1:6">
      <c r="A30" t="s">
        <v>414</v>
      </c>
      <c r="B30">
        <v>43</v>
      </c>
      <c r="C30">
        <v>7</v>
      </c>
      <c r="D30">
        <v>41</v>
      </c>
      <c r="E30">
        <v>16384</v>
      </c>
      <c r="F30" t="s">
        <v>413</v>
      </c>
    </row>
    <row r="31" spans="1:6">
      <c r="A31" t="s">
        <v>415</v>
      </c>
      <c r="B31">
        <v>16</v>
      </c>
      <c r="C31">
        <v>7</v>
      </c>
      <c r="D31">
        <v>14</v>
      </c>
      <c r="E31">
        <v>44032</v>
      </c>
      <c r="F31" t="s">
        <v>416</v>
      </c>
    </row>
    <row r="32" spans="1:6">
      <c r="A32" t="s">
        <v>417</v>
      </c>
      <c r="B32">
        <v>50</v>
      </c>
      <c r="C32">
        <v>5</v>
      </c>
      <c r="D32">
        <v>48</v>
      </c>
      <c r="E32">
        <v>40960</v>
      </c>
      <c r="F3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2026-07-31T00:36:06Z</dcterms:created>
  <dcterms:modified xsi:type="dcterms:W3CDTF">2026-07-31T00:36:06Z</dcterms:modified>
</cp:coreProperties>
</file>